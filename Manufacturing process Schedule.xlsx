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rtdnas2\QCReports\LEON\MP schedule working folder\"/>
    </mc:Choice>
  </mc:AlternateContent>
  <xr:revisionPtr revIDLastSave="0" documentId="8_{98F0C315-572E-4ECF-8F6C-6D7FCBF9D857}" xr6:coauthVersionLast="47" xr6:coauthVersionMax="47" xr10:uidLastSave="{00000000-0000-0000-0000-000000000000}"/>
  <bookViews>
    <workbookView xWindow="1785" yWindow="1800" windowWidth="18810" windowHeight="9360" xr2:uid="{5460531B-758A-46AD-95B2-E72277A5C9F7}"/>
  </bookViews>
  <sheets>
    <sheet name="Priority Sheet" sheetId="22" r:id="rId1"/>
    <sheet name="DELIVERY SCHEDULE" sheetId="19" r:id="rId2"/>
  </sheets>
  <externalReferences>
    <externalReference r:id="rId3"/>
  </externalReferences>
  <definedNames>
    <definedName name="_xlnm._FilterDatabase" localSheetId="1" hidden="1">'DELIVERY SCHEDULE'!$A$3:$R$552</definedName>
    <definedName name="_xlnm._FilterDatabase" localSheetId="0" hidden="1">'Priority Sheet'!$A$1:$EX$131</definedName>
    <definedName name="Cust">[1]Customers!$A$1:$A$78</definedName>
    <definedName name="month">[1]Report!#REF!</definedName>
    <definedName name="_xlnm.Print_Titles" localSheetId="1">'DELIVERY SCHEDULE'!$1:$3</definedName>
    <definedName name="year">[1]Report!#REF!</definedName>
    <definedName name="Z_2383B994_5DA1_4BB7_BA01_728624653006_.wvu.Cols" localSheetId="1" hidden="1">'DELIVERY SCHEDULE'!$U:$U</definedName>
    <definedName name="Z_2383B994_5DA1_4BB7_BA01_728624653006_.wvu.FilterData" localSheetId="1" hidden="1">'DELIVERY SCHEDULE'!$A$3:$R$3</definedName>
    <definedName name="Z_2383B994_5DA1_4BB7_BA01_728624653006_.wvu.PrintTitles" localSheetId="1" hidden="1">'DELIVERY SCHEDULE'!$1:$3</definedName>
    <definedName name="Z_2CF83A42_D815_4571_8877_DB621A116308_.wvu.Cols" localSheetId="1" hidden="1">'DELIVERY SCHEDULE'!$U:$U</definedName>
    <definedName name="Z_2CF83A42_D815_4571_8877_DB621A116308_.wvu.FilterData" localSheetId="1" hidden="1">'DELIVERY SCHEDULE'!$A$3:$R$3</definedName>
    <definedName name="Z_2CF83A42_D815_4571_8877_DB621A116308_.wvu.PrintTitles" localSheetId="1" hidden="1">'DELIVERY SCHEDULE'!$1:$3</definedName>
    <definedName name="Z_FFA6C093_E866_4B92_9807_8D478A2763D4_.wvu.Cols" localSheetId="1" hidden="1">'DELIVERY SCHEDULE'!$U:$U</definedName>
    <definedName name="Z_FFA6C093_E866_4B92_9807_8D478A2763D4_.wvu.FilterData" localSheetId="1" hidden="1">'DELIVERY SCHEDULE'!$A$3:$R$3</definedName>
    <definedName name="Z_FFA6C093_E866_4B92_9807_8D478A2763D4_.wvu.PrintTitles" localSheetId="1" hidden="1">'DELIVERY SCHEDULE'!$1:$3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52" i="19" l="1"/>
  <c r="R1951" i="19"/>
  <c r="R1950" i="19"/>
  <c r="R1949" i="19"/>
  <c r="R1948" i="19"/>
  <c r="R1947" i="19"/>
  <c r="R1946" i="19"/>
  <c r="R1945" i="19"/>
  <c r="R1944" i="19"/>
  <c r="R1943" i="19"/>
  <c r="R1942" i="19"/>
  <c r="R1941" i="19"/>
  <c r="R1940" i="19"/>
  <c r="R1939" i="19"/>
  <c r="R1938" i="19"/>
  <c r="R1937" i="19"/>
  <c r="R1936" i="19"/>
  <c r="R1935" i="19"/>
  <c r="R1934" i="19"/>
  <c r="R1933" i="19"/>
  <c r="R1932" i="19"/>
  <c r="R1931" i="19"/>
  <c r="R1930" i="19"/>
  <c r="R1929" i="19"/>
  <c r="R1928" i="19"/>
  <c r="R1927" i="19"/>
  <c r="R1926" i="19"/>
  <c r="R1925" i="19"/>
  <c r="R1924" i="19"/>
  <c r="R1923" i="19"/>
  <c r="R1922" i="19"/>
  <c r="R1921" i="19"/>
  <c r="R1920" i="19"/>
  <c r="R1919" i="19"/>
  <c r="R1918" i="19"/>
  <c r="R1917" i="19"/>
  <c r="R1916" i="19"/>
  <c r="R1915" i="19"/>
  <c r="R1914" i="19"/>
  <c r="R1913" i="19"/>
  <c r="R1912" i="19"/>
  <c r="R1911" i="19"/>
  <c r="R1910" i="19"/>
  <c r="R1909" i="19"/>
  <c r="R1908" i="19"/>
  <c r="R1907" i="19"/>
  <c r="R1906" i="19"/>
  <c r="R1905" i="19"/>
  <c r="R1904" i="19"/>
  <c r="R1903" i="19"/>
  <c r="R1902" i="19"/>
  <c r="R1901" i="19"/>
  <c r="R1900" i="19"/>
  <c r="R1899" i="19"/>
  <c r="R1898" i="19"/>
  <c r="R1897" i="19"/>
  <c r="R1896" i="19"/>
  <c r="R1895" i="19"/>
  <c r="R1894" i="19"/>
  <c r="R1893" i="19"/>
  <c r="R1892" i="19"/>
  <c r="R1891" i="19"/>
  <c r="R1890" i="19"/>
  <c r="R1889" i="19"/>
  <c r="R1888" i="19"/>
  <c r="R1887" i="19"/>
  <c r="R1886" i="19"/>
  <c r="R1885" i="19"/>
  <c r="R1884" i="19"/>
  <c r="R1883" i="19"/>
  <c r="R1882" i="19"/>
  <c r="R1881" i="19"/>
  <c r="R1880" i="19"/>
  <c r="R1879" i="19"/>
  <c r="R1878" i="19"/>
  <c r="R1877" i="19"/>
  <c r="R1876" i="19"/>
  <c r="R1875" i="19"/>
  <c r="R1874" i="19"/>
  <c r="R1873" i="19"/>
  <c r="R1872" i="19"/>
  <c r="R1871" i="19"/>
  <c r="R1870" i="19"/>
  <c r="R1869" i="19"/>
  <c r="R1868" i="19"/>
  <c r="R1867" i="19"/>
  <c r="R1866" i="19"/>
  <c r="R1865" i="19"/>
  <c r="R1864" i="19"/>
  <c r="R1863" i="19"/>
  <c r="R1862" i="19"/>
  <c r="R1861" i="19"/>
  <c r="R1860" i="19"/>
  <c r="R1859" i="19"/>
  <c r="R1858" i="19"/>
  <c r="R1857" i="19"/>
  <c r="R1856" i="19"/>
  <c r="R1855" i="19"/>
  <c r="R1854" i="19"/>
  <c r="R1853" i="19"/>
  <c r="R1852" i="19"/>
  <c r="R1851" i="19"/>
  <c r="R1850" i="19"/>
  <c r="R1849" i="19"/>
  <c r="R1848" i="19"/>
  <c r="R1847" i="19"/>
  <c r="R1846" i="19"/>
  <c r="R1845" i="19"/>
  <c r="R1844" i="19"/>
  <c r="R1843" i="19"/>
  <c r="R1842" i="19"/>
  <c r="R1841" i="19"/>
  <c r="R1840" i="19"/>
  <c r="R1839" i="19"/>
  <c r="R1838" i="19"/>
  <c r="R1837" i="19"/>
  <c r="R1836" i="19"/>
  <c r="R1835" i="19"/>
  <c r="R1834" i="19"/>
  <c r="R1833" i="19"/>
  <c r="R1832" i="19"/>
  <c r="R1831" i="19"/>
  <c r="R1830" i="19"/>
  <c r="R1829" i="19"/>
  <c r="R1828" i="19"/>
  <c r="R1827" i="19"/>
  <c r="R1826" i="19"/>
  <c r="R1825" i="19"/>
  <c r="R1824" i="19"/>
  <c r="R1823" i="19"/>
  <c r="R1822" i="19"/>
  <c r="R1821" i="19"/>
  <c r="R1820" i="19"/>
  <c r="R1819" i="19"/>
  <c r="R1818" i="19"/>
  <c r="R1817" i="19"/>
  <c r="R1816" i="19"/>
  <c r="R1815" i="19"/>
  <c r="R1814" i="19"/>
  <c r="R1813" i="19"/>
  <c r="R1812" i="19"/>
  <c r="R1811" i="19"/>
  <c r="R1810" i="19"/>
  <c r="R1809" i="19"/>
  <c r="R1808" i="19"/>
  <c r="R1807" i="19"/>
  <c r="R1806" i="19"/>
  <c r="R1805" i="19"/>
  <c r="R1804" i="19"/>
  <c r="R1803" i="19"/>
  <c r="R1802" i="19"/>
  <c r="R1801" i="19"/>
  <c r="R1800" i="19"/>
  <c r="R1799" i="19"/>
  <c r="R1798" i="19"/>
  <c r="R1797" i="19"/>
  <c r="R1796" i="19"/>
  <c r="R1795" i="19"/>
  <c r="R1794" i="19"/>
  <c r="R1793" i="19"/>
  <c r="R1792" i="19"/>
  <c r="R1791" i="19"/>
  <c r="R1790" i="19"/>
  <c r="R1789" i="19"/>
  <c r="R1788" i="19"/>
  <c r="R1787" i="19"/>
  <c r="R1786" i="19"/>
  <c r="R1785" i="19"/>
  <c r="R1784" i="19"/>
  <c r="R1783" i="19"/>
  <c r="R1782" i="19"/>
  <c r="R1781" i="19"/>
  <c r="R1780" i="19"/>
  <c r="R1779" i="19"/>
  <c r="R1778" i="19"/>
  <c r="R1777" i="19"/>
  <c r="R1776" i="19"/>
  <c r="R1775" i="19"/>
  <c r="R1774" i="19"/>
  <c r="R1773" i="19"/>
  <c r="R1772" i="19"/>
  <c r="R1771" i="19"/>
  <c r="R1770" i="19"/>
  <c r="R1769" i="19"/>
  <c r="R1768" i="19"/>
  <c r="R1767" i="19"/>
  <c r="R1766" i="19"/>
  <c r="R1765" i="19"/>
  <c r="R1764" i="19"/>
  <c r="R1763" i="19"/>
  <c r="R1762" i="19"/>
  <c r="R1761" i="19"/>
  <c r="R1760" i="19"/>
  <c r="R1759" i="19"/>
  <c r="R1758" i="19"/>
  <c r="R1757" i="19"/>
  <c r="R1756" i="19"/>
  <c r="R1755" i="19"/>
  <c r="R1754" i="19"/>
  <c r="R1753" i="19"/>
  <c r="R1752" i="19"/>
  <c r="R1751" i="19"/>
  <c r="R1750" i="19"/>
  <c r="R1749" i="19"/>
  <c r="R1748" i="19"/>
  <c r="R1747" i="19"/>
  <c r="R1746" i="19"/>
  <c r="R1745" i="19"/>
  <c r="R1744" i="19"/>
  <c r="R1743" i="19"/>
  <c r="R1742" i="19"/>
  <c r="R1741" i="19"/>
  <c r="R1740" i="19"/>
  <c r="R1739" i="19"/>
  <c r="R1738" i="19"/>
  <c r="R1737" i="19"/>
  <c r="R1736" i="19"/>
  <c r="R1735" i="19"/>
  <c r="R1734" i="19"/>
  <c r="R1733" i="19"/>
  <c r="R1732" i="19"/>
  <c r="R1731" i="19"/>
  <c r="R1730" i="19"/>
  <c r="R1729" i="19"/>
  <c r="R1728" i="19"/>
  <c r="R1727" i="19"/>
  <c r="R1726" i="19"/>
  <c r="R1725" i="19"/>
  <c r="R1724" i="19"/>
  <c r="R1723" i="19"/>
  <c r="R1722" i="19"/>
  <c r="R1721" i="19"/>
  <c r="R1720" i="19"/>
  <c r="R1719" i="19"/>
  <c r="R1718" i="19"/>
  <c r="R1717" i="19"/>
  <c r="R1716" i="19"/>
  <c r="R1715" i="19"/>
  <c r="R1714" i="19"/>
  <c r="R1713" i="19"/>
  <c r="R1712" i="19"/>
  <c r="R1711" i="19"/>
  <c r="R1710" i="19"/>
  <c r="R1709" i="19"/>
  <c r="R1708" i="19"/>
  <c r="R1707" i="19"/>
  <c r="R1706" i="19"/>
  <c r="R1705" i="19"/>
  <c r="R1704" i="19"/>
  <c r="R1703" i="19"/>
  <c r="R1702" i="19"/>
  <c r="R1701" i="19"/>
  <c r="R1700" i="19"/>
  <c r="R1699" i="19"/>
  <c r="R1698" i="19"/>
  <c r="R1697" i="19"/>
  <c r="R1696" i="19"/>
  <c r="R1695" i="19"/>
  <c r="R1694" i="19"/>
  <c r="R1693" i="19"/>
  <c r="R1692" i="19"/>
  <c r="R1691" i="19"/>
  <c r="R1690" i="19"/>
  <c r="R1689" i="19"/>
  <c r="R1688" i="19"/>
  <c r="R1687" i="19"/>
  <c r="R1686" i="19"/>
  <c r="R1685" i="19"/>
  <c r="R1684" i="19"/>
  <c r="R1683" i="19"/>
  <c r="R1682" i="19"/>
  <c r="R1681" i="19"/>
  <c r="R1680" i="19"/>
  <c r="R1679" i="19"/>
  <c r="R1678" i="19"/>
  <c r="R1677" i="19"/>
  <c r="R1676" i="19"/>
  <c r="R1675" i="19"/>
  <c r="R1674" i="19"/>
  <c r="R1673" i="19"/>
  <c r="R1672" i="19"/>
  <c r="R1671" i="19"/>
  <c r="R1670" i="19"/>
  <c r="R1669" i="19"/>
  <c r="R1668" i="19"/>
  <c r="R1667" i="19"/>
  <c r="R1666" i="19"/>
  <c r="R1665" i="19"/>
  <c r="R1664" i="19"/>
  <c r="R1663" i="19"/>
  <c r="R1662" i="19"/>
  <c r="R1661" i="19"/>
  <c r="R1660" i="19"/>
  <c r="R1659" i="19"/>
  <c r="R1658" i="19"/>
  <c r="R1657" i="19"/>
  <c r="R1656" i="19"/>
  <c r="R1655" i="19"/>
  <c r="R1654" i="19"/>
  <c r="R1653" i="19"/>
  <c r="R1652" i="19"/>
  <c r="R1651" i="19"/>
  <c r="R1650" i="19"/>
  <c r="R1649" i="19"/>
  <c r="R1648" i="19"/>
  <c r="R1647" i="19"/>
  <c r="R1646" i="19"/>
  <c r="R1645" i="19"/>
  <c r="R1644" i="19"/>
  <c r="R1643" i="19"/>
  <c r="R1642" i="19"/>
  <c r="R1641" i="19"/>
  <c r="R1640" i="19"/>
  <c r="R1639" i="19"/>
  <c r="R1638" i="19"/>
  <c r="R1637" i="19"/>
  <c r="R1636" i="19"/>
  <c r="R1635" i="19"/>
  <c r="R1634" i="19"/>
  <c r="R1633" i="19"/>
  <c r="R1632" i="19"/>
  <c r="R1631" i="19"/>
  <c r="R1630" i="19"/>
  <c r="R1629" i="19"/>
  <c r="R1628" i="19"/>
  <c r="R1627" i="19"/>
  <c r="R1626" i="19"/>
  <c r="R1625" i="19"/>
  <c r="R1624" i="19"/>
  <c r="R1623" i="19"/>
  <c r="R1622" i="19"/>
  <c r="R1621" i="19"/>
  <c r="R1620" i="19"/>
  <c r="R1619" i="19"/>
  <c r="R1618" i="19"/>
  <c r="R1617" i="19"/>
  <c r="R1616" i="19"/>
  <c r="R1615" i="19"/>
  <c r="R1614" i="19"/>
  <c r="R1613" i="19"/>
  <c r="R1612" i="19"/>
  <c r="R1611" i="19"/>
  <c r="R1610" i="19"/>
  <c r="R1609" i="19"/>
  <c r="R1608" i="19"/>
  <c r="R1607" i="19"/>
  <c r="R1606" i="19"/>
  <c r="R1605" i="19"/>
  <c r="R1604" i="19"/>
  <c r="R1603" i="19"/>
  <c r="R1602" i="19"/>
  <c r="R1601" i="19"/>
  <c r="R1600" i="19"/>
  <c r="R1599" i="19"/>
  <c r="R1598" i="19"/>
  <c r="R1597" i="19"/>
  <c r="R1596" i="19"/>
  <c r="R1595" i="19"/>
  <c r="R1594" i="19"/>
  <c r="R1593" i="19"/>
  <c r="R1592" i="19"/>
  <c r="R1591" i="19"/>
  <c r="R1590" i="19"/>
  <c r="R1589" i="19"/>
  <c r="R1588" i="19"/>
  <c r="R1587" i="19"/>
  <c r="R1586" i="19"/>
  <c r="R1585" i="19"/>
  <c r="R1584" i="19"/>
  <c r="R1583" i="19"/>
  <c r="R1582" i="19"/>
  <c r="R1581" i="19"/>
  <c r="R1580" i="19"/>
  <c r="R1579" i="19"/>
  <c r="R1578" i="19"/>
  <c r="R1577" i="19"/>
  <c r="R1576" i="19"/>
  <c r="R1575" i="19"/>
  <c r="R1574" i="19"/>
  <c r="R1573" i="19"/>
  <c r="R1572" i="19"/>
  <c r="R1571" i="19"/>
  <c r="R1570" i="19"/>
  <c r="R1569" i="19"/>
  <c r="R1568" i="19"/>
  <c r="R1567" i="19"/>
  <c r="R1566" i="19"/>
  <c r="R1565" i="19"/>
  <c r="R1564" i="19"/>
  <c r="R1563" i="19"/>
  <c r="R1562" i="19"/>
  <c r="R1561" i="19"/>
  <c r="R1560" i="19"/>
  <c r="R1559" i="19"/>
  <c r="R1558" i="19"/>
  <c r="R1557" i="19"/>
  <c r="R1556" i="19"/>
  <c r="R1555" i="19"/>
  <c r="R1554" i="19"/>
  <c r="R1553" i="19"/>
  <c r="R1552" i="19"/>
  <c r="R1551" i="19"/>
  <c r="R1550" i="19"/>
  <c r="R1549" i="19"/>
  <c r="R1548" i="19"/>
  <c r="R1547" i="19"/>
  <c r="R1546" i="19"/>
  <c r="R1545" i="19"/>
  <c r="R1544" i="19"/>
  <c r="R1543" i="19"/>
  <c r="R1542" i="19"/>
  <c r="R1541" i="19"/>
  <c r="R1540" i="19"/>
  <c r="R1539" i="19"/>
  <c r="R1538" i="19"/>
  <c r="R1537" i="19"/>
  <c r="R1536" i="19"/>
  <c r="R1535" i="19"/>
  <c r="R1534" i="19"/>
  <c r="R1533" i="19"/>
  <c r="R1532" i="19"/>
  <c r="R1531" i="19"/>
  <c r="R1530" i="19"/>
  <c r="R1529" i="19"/>
  <c r="R1528" i="19"/>
  <c r="R1527" i="19"/>
  <c r="R1526" i="19"/>
  <c r="R1525" i="19"/>
  <c r="R1524" i="19"/>
  <c r="R1523" i="19"/>
  <c r="R1522" i="19"/>
  <c r="R1521" i="19"/>
  <c r="R1520" i="19"/>
  <c r="R1519" i="19"/>
  <c r="R1518" i="19"/>
  <c r="R1517" i="19"/>
  <c r="R1516" i="19"/>
  <c r="R1515" i="19"/>
  <c r="R1514" i="19"/>
  <c r="R1513" i="19"/>
  <c r="R1512" i="19"/>
  <c r="R1511" i="19"/>
  <c r="R1510" i="19"/>
  <c r="R1509" i="19"/>
  <c r="R1508" i="19"/>
  <c r="R1507" i="19"/>
  <c r="R1506" i="19"/>
  <c r="R1505" i="19"/>
  <c r="R1504" i="19"/>
  <c r="R1503" i="19"/>
  <c r="R1502" i="19"/>
  <c r="R1501" i="19"/>
  <c r="R1500" i="19"/>
  <c r="R1499" i="19"/>
  <c r="R1498" i="19"/>
  <c r="R1497" i="19"/>
  <c r="R1496" i="19"/>
  <c r="R1495" i="19"/>
  <c r="R1494" i="19"/>
  <c r="R1493" i="19"/>
  <c r="R1492" i="19"/>
  <c r="R1491" i="19"/>
  <c r="R1490" i="19"/>
  <c r="R1489" i="19"/>
  <c r="R1488" i="19"/>
  <c r="R1487" i="19"/>
  <c r="R1486" i="19"/>
  <c r="R1485" i="19"/>
  <c r="R1484" i="19"/>
  <c r="R1483" i="19"/>
  <c r="R1482" i="19"/>
  <c r="R1481" i="19"/>
  <c r="R1480" i="19"/>
  <c r="R1479" i="19"/>
  <c r="R1478" i="19"/>
  <c r="R1477" i="19"/>
  <c r="R1476" i="19"/>
  <c r="R1475" i="19"/>
  <c r="R1474" i="19"/>
  <c r="R1473" i="19"/>
  <c r="R1472" i="19"/>
  <c r="R1471" i="19"/>
  <c r="R1470" i="19"/>
  <c r="R1469" i="19"/>
  <c r="R1468" i="19"/>
  <c r="R1467" i="19"/>
  <c r="R1466" i="19"/>
  <c r="R1465" i="19"/>
  <c r="R1464" i="19"/>
  <c r="R1463" i="19"/>
  <c r="R1462" i="19"/>
  <c r="R1461" i="19"/>
  <c r="R1460" i="19"/>
  <c r="R1459" i="19"/>
  <c r="R1458" i="19"/>
  <c r="R1457" i="19"/>
  <c r="R1456" i="19"/>
  <c r="R1455" i="19"/>
  <c r="R1454" i="19"/>
  <c r="R1453" i="19"/>
  <c r="R1452" i="19"/>
  <c r="R1451" i="19"/>
  <c r="R1450" i="19"/>
  <c r="R1449" i="19"/>
  <c r="R1448" i="19"/>
  <c r="R1447" i="19"/>
  <c r="R1446" i="19"/>
  <c r="R1445" i="19"/>
  <c r="R1444" i="19"/>
  <c r="R1443" i="19"/>
  <c r="R1442" i="19"/>
  <c r="R1441" i="19"/>
  <c r="R1440" i="19"/>
  <c r="R1439" i="19"/>
  <c r="R1438" i="19"/>
  <c r="R1437" i="19"/>
  <c r="R1436" i="19"/>
  <c r="R1435" i="19"/>
  <c r="R1434" i="19"/>
  <c r="R1433" i="19"/>
  <c r="R1432" i="19"/>
  <c r="R1431" i="19"/>
  <c r="R1430" i="19"/>
  <c r="R1429" i="19"/>
  <c r="R1428" i="19"/>
  <c r="R1427" i="19"/>
  <c r="R1426" i="19"/>
  <c r="R1425" i="19"/>
  <c r="R1424" i="19"/>
  <c r="R1423" i="19"/>
  <c r="R1422" i="19"/>
  <c r="R1421" i="19"/>
  <c r="R1420" i="19"/>
  <c r="R1419" i="19"/>
  <c r="R1418" i="19"/>
  <c r="R1417" i="19"/>
  <c r="R1416" i="19"/>
  <c r="R1415" i="19"/>
  <c r="R1414" i="19"/>
  <c r="R1413" i="19"/>
  <c r="R1412" i="19"/>
  <c r="R1411" i="19"/>
  <c r="R1410" i="19"/>
  <c r="R1409" i="19"/>
  <c r="R1408" i="19"/>
  <c r="R1407" i="19"/>
  <c r="R1406" i="19"/>
  <c r="R1405" i="19"/>
  <c r="R1404" i="19"/>
  <c r="R1403" i="19"/>
  <c r="R1402" i="19"/>
  <c r="R1401" i="19"/>
  <c r="R1400" i="19"/>
  <c r="R1399" i="19"/>
  <c r="R1398" i="19"/>
  <c r="R1397" i="19"/>
  <c r="R1396" i="19"/>
  <c r="R1395" i="19"/>
  <c r="R1394" i="19"/>
  <c r="R1393" i="19"/>
  <c r="R1392" i="19"/>
  <c r="R1391" i="19"/>
  <c r="R1390" i="19"/>
  <c r="R1389" i="19"/>
  <c r="R1388" i="19"/>
  <c r="R1387" i="19"/>
  <c r="R1386" i="19"/>
  <c r="R1385" i="19"/>
  <c r="R1384" i="19"/>
  <c r="R1383" i="19"/>
  <c r="R1382" i="19"/>
  <c r="R1381" i="19"/>
  <c r="R1380" i="19"/>
  <c r="R1379" i="19"/>
  <c r="R1378" i="19"/>
  <c r="R1377" i="19"/>
  <c r="R1376" i="19"/>
  <c r="R1375" i="19"/>
  <c r="R1374" i="19"/>
  <c r="R1373" i="19"/>
  <c r="R1372" i="19"/>
  <c r="R1371" i="19"/>
  <c r="R1370" i="19"/>
  <c r="R1369" i="19"/>
  <c r="R1368" i="19"/>
  <c r="R1367" i="19"/>
  <c r="R1366" i="19"/>
  <c r="R1365" i="19"/>
  <c r="R1364" i="19"/>
  <c r="R1363" i="19"/>
  <c r="R1362" i="19"/>
  <c r="R1361" i="19"/>
  <c r="R1360" i="19"/>
  <c r="R1359" i="19"/>
  <c r="R1358" i="19"/>
  <c r="R1357" i="19"/>
  <c r="R1356" i="19"/>
  <c r="R1355" i="19"/>
  <c r="R1354" i="19"/>
  <c r="R1353" i="19"/>
  <c r="R1352" i="19"/>
  <c r="R1351" i="19"/>
  <c r="R1350" i="19"/>
  <c r="R1349" i="19"/>
  <c r="R1348" i="19"/>
  <c r="R1347" i="19"/>
  <c r="R1346" i="19"/>
  <c r="R1345" i="19"/>
  <c r="R1344" i="19"/>
  <c r="R1343" i="19"/>
  <c r="R1342" i="19"/>
  <c r="R1341" i="19"/>
  <c r="R1340" i="19"/>
  <c r="R1339" i="19"/>
  <c r="R1338" i="19"/>
  <c r="R1337" i="19"/>
  <c r="R1336" i="19"/>
  <c r="R1335" i="19"/>
  <c r="R1334" i="19"/>
  <c r="R1333" i="19"/>
  <c r="R1332" i="19"/>
  <c r="R1331" i="19"/>
  <c r="R1330" i="19"/>
  <c r="R1329" i="19"/>
  <c r="R1328" i="19"/>
  <c r="R1327" i="19"/>
  <c r="R1326" i="19"/>
  <c r="R1325" i="19"/>
  <c r="R1324" i="19"/>
  <c r="R1323" i="19"/>
  <c r="R1322" i="19"/>
  <c r="R1321" i="19"/>
  <c r="R1320" i="19"/>
  <c r="R1319" i="19"/>
  <c r="R1318" i="19"/>
  <c r="R1317" i="19"/>
  <c r="R1316" i="19"/>
  <c r="R1315" i="19"/>
  <c r="R1314" i="19"/>
  <c r="R1313" i="19"/>
  <c r="R1312" i="19"/>
  <c r="R1311" i="19"/>
  <c r="R1310" i="19"/>
  <c r="R1309" i="19"/>
  <c r="R1308" i="19"/>
  <c r="R1307" i="19"/>
  <c r="R1306" i="19"/>
  <c r="R1305" i="19"/>
  <c r="R1304" i="19"/>
  <c r="R1303" i="19"/>
  <c r="R1302" i="19"/>
  <c r="R1301" i="19"/>
  <c r="R1300" i="19"/>
  <c r="R1299" i="19"/>
  <c r="R1298" i="19"/>
  <c r="R1297" i="19"/>
  <c r="R1296" i="19"/>
  <c r="R1295" i="19"/>
  <c r="R1294" i="19"/>
  <c r="R1293" i="19"/>
  <c r="R1292" i="19"/>
  <c r="R1291" i="19"/>
  <c r="R1290" i="19"/>
  <c r="R1289" i="19"/>
  <c r="R1288" i="19"/>
  <c r="R1287" i="19"/>
  <c r="R1286" i="19"/>
  <c r="R1285" i="19"/>
  <c r="R1284" i="19"/>
  <c r="R1283" i="19"/>
  <c r="R1282" i="19"/>
  <c r="R1281" i="19"/>
  <c r="R1280" i="19"/>
  <c r="R1279" i="19"/>
  <c r="R1278" i="19"/>
  <c r="R1277" i="19"/>
  <c r="R1276" i="19"/>
  <c r="R1275" i="19"/>
  <c r="R1274" i="19"/>
  <c r="R1273" i="19"/>
  <c r="R1272" i="19"/>
  <c r="R1271" i="19"/>
  <c r="R1270" i="19"/>
  <c r="R1269" i="19"/>
  <c r="R1268" i="19"/>
  <c r="R1267" i="19"/>
  <c r="R1266" i="19"/>
  <c r="R1265" i="19"/>
  <c r="R1264" i="19"/>
  <c r="R1263" i="19"/>
  <c r="R1262" i="19"/>
  <c r="R1261" i="19"/>
  <c r="R1260" i="19"/>
  <c r="R1259" i="19"/>
  <c r="R1258" i="19"/>
  <c r="R1257" i="19"/>
  <c r="R1256" i="19"/>
  <c r="R1255" i="19"/>
  <c r="R1254" i="19"/>
  <c r="R1253" i="19"/>
  <c r="R1252" i="19"/>
  <c r="R1251" i="19"/>
  <c r="R1250" i="19"/>
  <c r="R1249" i="19"/>
  <c r="R1248" i="19"/>
  <c r="R1247" i="19"/>
  <c r="R1246" i="19"/>
  <c r="R1245" i="19"/>
  <c r="R1244" i="19"/>
  <c r="R1243" i="19"/>
  <c r="R1242" i="19"/>
  <c r="R1241" i="19"/>
  <c r="R1240" i="19"/>
  <c r="R1239" i="19"/>
  <c r="R1238" i="19"/>
  <c r="R1237" i="19"/>
  <c r="R1236" i="19"/>
  <c r="R1235" i="19"/>
  <c r="R1234" i="19"/>
  <c r="R1233" i="19"/>
  <c r="R1232" i="19"/>
  <c r="R1231" i="19"/>
  <c r="R1230" i="19"/>
  <c r="R1229" i="19"/>
  <c r="R1228" i="19"/>
  <c r="R1227" i="19"/>
  <c r="R1226" i="19"/>
  <c r="R1225" i="19"/>
  <c r="R1224" i="19"/>
  <c r="R1223" i="19"/>
  <c r="R1222" i="19"/>
  <c r="R1221" i="19"/>
  <c r="R1220" i="19"/>
  <c r="R1219" i="19"/>
  <c r="R1218" i="19"/>
  <c r="R1217" i="19"/>
  <c r="R1216" i="19"/>
  <c r="R1215" i="19"/>
  <c r="R1214" i="19"/>
  <c r="R1213" i="19"/>
  <c r="R1212" i="19"/>
  <c r="R1211" i="19"/>
  <c r="R1210" i="19"/>
  <c r="R1209" i="19"/>
  <c r="R1208" i="19"/>
  <c r="R1207" i="19"/>
  <c r="R1206" i="19"/>
  <c r="R1205" i="19"/>
  <c r="R1204" i="19"/>
  <c r="R1203" i="19"/>
  <c r="R1202" i="19"/>
  <c r="R1201" i="19"/>
  <c r="R1200" i="19"/>
  <c r="R1199" i="19"/>
  <c r="R1198" i="19"/>
  <c r="R1197" i="19"/>
  <c r="R1196" i="19"/>
  <c r="R1195" i="19"/>
  <c r="R1194" i="19"/>
  <c r="R1193" i="19"/>
  <c r="R1192" i="19"/>
  <c r="R1191" i="19"/>
  <c r="R1190" i="19"/>
  <c r="R1189" i="19"/>
  <c r="R1188" i="19"/>
  <c r="R1187" i="19"/>
  <c r="R1186" i="19"/>
  <c r="R1185" i="19"/>
  <c r="R1184" i="19"/>
  <c r="R1183" i="19"/>
  <c r="R1182" i="19"/>
  <c r="R1181" i="19"/>
  <c r="R1180" i="19"/>
  <c r="R1179" i="19"/>
  <c r="R1178" i="19"/>
  <c r="R1177" i="19"/>
  <c r="R1176" i="19"/>
  <c r="R1175" i="19"/>
  <c r="R1174" i="19"/>
  <c r="R1173" i="19"/>
  <c r="R1172" i="19"/>
  <c r="R1171" i="19"/>
  <c r="R1170" i="19"/>
  <c r="R1169" i="19"/>
  <c r="R1168" i="19"/>
  <c r="R1167" i="19"/>
  <c r="R1166" i="19"/>
  <c r="R1165" i="19"/>
  <c r="R1164" i="19"/>
  <c r="R1163" i="19"/>
  <c r="R1162" i="19"/>
  <c r="R1161" i="19"/>
  <c r="R1160" i="19"/>
  <c r="R1159" i="19"/>
  <c r="R1158" i="19"/>
  <c r="R1157" i="19"/>
  <c r="R1156" i="19"/>
  <c r="R1155" i="19"/>
  <c r="R1154" i="19"/>
  <c r="R1153" i="19"/>
  <c r="R1152" i="19"/>
  <c r="R1151" i="19"/>
  <c r="R1150" i="19"/>
  <c r="R1149" i="19"/>
  <c r="R1148" i="19"/>
  <c r="R1147" i="19"/>
  <c r="R1146" i="19"/>
  <c r="R1145" i="19"/>
  <c r="R1144" i="19"/>
  <c r="R1143" i="19"/>
  <c r="R1142" i="19"/>
  <c r="R1141" i="19"/>
  <c r="R1140" i="19"/>
  <c r="R1139" i="19"/>
  <c r="R1138" i="19"/>
  <c r="R1137" i="19"/>
  <c r="R1136" i="19"/>
  <c r="R1135" i="19"/>
  <c r="R1134" i="19"/>
  <c r="R1133" i="19"/>
  <c r="R1132" i="19"/>
  <c r="R1131" i="19"/>
  <c r="R1130" i="19"/>
  <c r="R1129" i="19"/>
  <c r="R1128" i="19"/>
  <c r="R1127" i="19"/>
  <c r="R1126" i="19"/>
  <c r="R1125" i="19"/>
  <c r="R1124" i="19"/>
  <c r="R1123" i="19"/>
  <c r="R1122" i="19"/>
  <c r="R1121" i="19"/>
  <c r="R1120" i="19"/>
  <c r="R1119" i="19"/>
  <c r="R1118" i="19"/>
  <c r="R1117" i="19"/>
  <c r="R1116" i="19"/>
  <c r="R1115" i="19"/>
  <c r="R1114" i="19"/>
  <c r="R1113" i="19"/>
  <c r="R1112" i="19"/>
  <c r="R1111" i="19"/>
  <c r="R1110" i="19"/>
  <c r="R1109" i="19"/>
  <c r="R1108" i="19"/>
  <c r="R1107" i="19"/>
  <c r="R1106" i="19"/>
  <c r="R1105" i="19"/>
  <c r="R1104" i="19"/>
  <c r="R1103" i="19"/>
  <c r="R1102" i="19"/>
  <c r="R1101" i="19"/>
  <c r="R1100" i="19"/>
  <c r="R1099" i="19"/>
  <c r="R1098" i="19"/>
  <c r="R1097" i="19"/>
  <c r="R1096" i="19"/>
  <c r="R1095" i="19"/>
  <c r="R1094" i="19"/>
  <c r="R1093" i="19"/>
  <c r="R1092" i="19"/>
  <c r="R1091" i="19"/>
  <c r="R1090" i="19"/>
  <c r="R1089" i="19"/>
  <c r="R1088" i="19"/>
  <c r="R1087" i="19"/>
  <c r="R1086" i="19"/>
  <c r="R1085" i="19"/>
  <c r="R1084" i="19"/>
  <c r="R1083" i="19"/>
  <c r="R1082" i="19"/>
  <c r="R1081" i="19"/>
  <c r="R1080" i="19"/>
  <c r="R1079" i="19"/>
  <c r="R1078" i="19"/>
  <c r="R1077" i="19"/>
  <c r="R1076" i="19"/>
  <c r="R1075" i="19"/>
  <c r="R1074" i="19"/>
  <c r="R1073" i="19"/>
  <c r="R1072" i="19"/>
  <c r="R1071" i="19"/>
  <c r="R1070" i="19"/>
  <c r="R1069" i="19"/>
  <c r="R1068" i="19"/>
  <c r="R1067" i="19"/>
  <c r="R1066" i="19"/>
  <c r="R1065" i="19"/>
  <c r="R1064" i="19"/>
  <c r="R1063" i="19"/>
  <c r="R1062" i="19"/>
  <c r="R1061" i="19"/>
  <c r="R1060" i="19"/>
  <c r="R1059" i="19"/>
  <c r="R1058" i="19"/>
  <c r="R1057" i="19"/>
  <c r="R1056" i="19"/>
  <c r="R1055" i="19"/>
  <c r="R1054" i="19"/>
  <c r="R1053" i="19"/>
  <c r="R1052" i="19"/>
  <c r="R1051" i="19"/>
  <c r="R1050" i="19"/>
  <c r="R1049" i="19"/>
  <c r="R1048" i="19"/>
  <c r="R1047" i="19"/>
  <c r="R1046" i="19"/>
  <c r="R1045" i="19"/>
  <c r="R1044" i="19"/>
  <c r="R1043" i="19"/>
  <c r="R1042" i="19"/>
  <c r="R1041" i="19"/>
  <c r="R1040" i="19"/>
  <c r="R1039" i="19"/>
  <c r="R1038" i="19"/>
  <c r="R1037" i="19"/>
  <c r="R1036" i="19"/>
  <c r="R1035" i="19"/>
  <c r="R1034" i="19"/>
  <c r="R1033" i="19"/>
  <c r="R1032" i="19"/>
  <c r="R1031" i="19"/>
  <c r="R1030" i="19"/>
  <c r="R1029" i="19"/>
  <c r="R1028" i="19"/>
  <c r="R1027" i="19"/>
  <c r="R1026" i="19"/>
  <c r="R1025" i="19"/>
  <c r="R1024" i="19"/>
  <c r="R1023" i="19"/>
  <c r="R1022" i="19"/>
  <c r="R1021" i="19"/>
  <c r="R1020" i="19"/>
  <c r="R1019" i="19"/>
  <c r="R1018" i="19"/>
  <c r="R1017" i="19"/>
  <c r="R1016" i="19"/>
  <c r="R1015" i="19"/>
  <c r="R1014" i="19"/>
  <c r="R1013" i="19"/>
  <c r="R1012" i="19"/>
  <c r="R1011" i="19"/>
  <c r="R1010" i="19"/>
  <c r="R1009" i="19"/>
  <c r="R1008" i="19"/>
  <c r="R1007" i="19"/>
  <c r="R1006" i="19"/>
  <c r="R1005" i="19"/>
  <c r="R1004" i="19"/>
  <c r="R1003" i="19"/>
  <c r="R1002" i="19"/>
  <c r="R1001" i="19"/>
  <c r="R1000" i="19"/>
  <c r="R999" i="19"/>
  <c r="R998" i="19"/>
  <c r="R997" i="19"/>
  <c r="R996" i="19"/>
  <c r="R995" i="19"/>
  <c r="R994" i="19"/>
  <c r="R993" i="19"/>
  <c r="R992" i="19"/>
  <c r="R991" i="19"/>
  <c r="R990" i="19"/>
  <c r="R989" i="19"/>
  <c r="R988" i="19"/>
  <c r="R987" i="19"/>
  <c r="R986" i="19"/>
  <c r="R985" i="19"/>
  <c r="R984" i="19"/>
  <c r="R983" i="19"/>
  <c r="R982" i="19"/>
  <c r="R981" i="19"/>
  <c r="R980" i="19"/>
  <c r="R979" i="19"/>
  <c r="R978" i="19"/>
  <c r="R977" i="19"/>
  <c r="R976" i="19"/>
  <c r="R975" i="19"/>
  <c r="R974" i="19"/>
  <c r="R973" i="19"/>
  <c r="R972" i="19"/>
  <c r="R971" i="19"/>
  <c r="R970" i="19"/>
  <c r="R969" i="19"/>
  <c r="R968" i="19"/>
  <c r="R967" i="19"/>
  <c r="R966" i="19"/>
  <c r="R965" i="19"/>
  <c r="R964" i="19"/>
  <c r="R963" i="19"/>
  <c r="R962" i="19"/>
  <c r="R961" i="19"/>
  <c r="R960" i="19"/>
  <c r="R959" i="19"/>
  <c r="R958" i="19"/>
  <c r="R957" i="19"/>
  <c r="R956" i="19"/>
  <c r="R955" i="19"/>
  <c r="R954" i="19"/>
  <c r="R953" i="19"/>
  <c r="R952" i="19"/>
  <c r="R951" i="19"/>
  <c r="R950" i="19"/>
  <c r="R949" i="19"/>
  <c r="R948" i="19"/>
  <c r="R947" i="19"/>
  <c r="R946" i="19"/>
  <c r="R945" i="19"/>
  <c r="R944" i="19"/>
  <c r="R943" i="19"/>
  <c r="R942" i="19"/>
  <c r="R941" i="19"/>
  <c r="R940" i="19"/>
  <c r="R939" i="19"/>
  <c r="R938" i="19"/>
  <c r="R937" i="19"/>
  <c r="R936" i="19"/>
  <c r="R935" i="19"/>
  <c r="R934" i="19"/>
  <c r="R933" i="19"/>
  <c r="R932" i="19"/>
  <c r="R931" i="19"/>
  <c r="R930" i="19"/>
  <c r="R929" i="19"/>
  <c r="R928" i="19"/>
  <c r="R927" i="19"/>
  <c r="R926" i="19"/>
  <c r="R925" i="19"/>
  <c r="R924" i="19"/>
  <c r="R923" i="19"/>
  <c r="R922" i="19"/>
  <c r="R921" i="19"/>
  <c r="R920" i="19"/>
  <c r="R919" i="19"/>
  <c r="R918" i="19"/>
  <c r="R917" i="19"/>
  <c r="R916" i="19"/>
  <c r="R915" i="19"/>
  <c r="R914" i="19"/>
  <c r="R913" i="19"/>
  <c r="R912" i="19"/>
  <c r="R911" i="19"/>
  <c r="R910" i="19"/>
  <c r="R909" i="19"/>
  <c r="R908" i="19"/>
  <c r="R907" i="19"/>
  <c r="R906" i="19"/>
  <c r="R905" i="19"/>
  <c r="R904" i="19"/>
  <c r="R903" i="19"/>
  <c r="R902" i="19"/>
  <c r="R901" i="19"/>
  <c r="R900" i="19"/>
  <c r="R899" i="19"/>
  <c r="R898" i="19"/>
  <c r="R897" i="19"/>
  <c r="R896" i="19"/>
  <c r="R895" i="19"/>
  <c r="R894" i="19"/>
  <c r="R893" i="19"/>
  <c r="R892" i="19"/>
  <c r="R891" i="19"/>
  <c r="R890" i="19"/>
  <c r="R889" i="19"/>
  <c r="R888" i="19"/>
  <c r="R887" i="19"/>
  <c r="R886" i="19"/>
  <c r="R885" i="19"/>
  <c r="R884" i="19"/>
  <c r="R883" i="19"/>
  <c r="R882" i="19"/>
  <c r="R881" i="19"/>
  <c r="R880" i="19"/>
  <c r="R879" i="19"/>
  <c r="R878" i="19"/>
  <c r="R877" i="19"/>
  <c r="R876" i="19"/>
  <c r="R875" i="19"/>
  <c r="R874" i="19"/>
  <c r="R873" i="19"/>
  <c r="R872" i="19"/>
  <c r="R871" i="19"/>
  <c r="R870" i="19"/>
  <c r="R869" i="19"/>
  <c r="R868" i="19"/>
  <c r="R867" i="19"/>
  <c r="R866" i="19"/>
  <c r="R865" i="19"/>
  <c r="R864" i="19"/>
  <c r="R863" i="19"/>
  <c r="R862" i="19"/>
  <c r="R861" i="19"/>
  <c r="R860" i="19"/>
  <c r="R859" i="19"/>
  <c r="R858" i="19"/>
  <c r="R857" i="19"/>
  <c r="R856" i="19"/>
  <c r="R855" i="19"/>
  <c r="R854" i="19"/>
  <c r="R853" i="19"/>
  <c r="R852" i="19"/>
  <c r="R851" i="19"/>
  <c r="R850" i="19"/>
  <c r="R849" i="19"/>
  <c r="R848" i="19"/>
  <c r="R847" i="19"/>
  <c r="R846" i="19"/>
  <c r="R845" i="19"/>
  <c r="R844" i="19"/>
  <c r="R843" i="19"/>
  <c r="R842" i="19"/>
  <c r="R841" i="19"/>
  <c r="R840" i="19"/>
  <c r="R839" i="19"/>
  <c r="R838" i="19"/>
  <c r="R837" i="19"/>
  <c r="R836" i="19"/>
  <c r="R835" i="19"/>
  <c r="R834" i="19"/>
  <c r="R833" i="19"/>
  <c r="R832" i="19"/>
  <c r="R831" i="19"/>
  <c r="R830" i="19"/>
  <c r="R829" i="19"/>
  <c r="R828" i="19"/>
  <c r="R827" i="19"/>
  <c r="R826" i="19"/>
  <c r="R825" i="19"/>
  <c r="R824" i="19"/>
  <c r="R823" i="19"/>
  <c r="R822" i="19"/>
  <c r="R821" i="19"/>
  <c r="R820" i="19"/>
  <c r="R819" i="19"/>
  <c r="R818" i="19"/>
  <c r="R817" i="19"/>
  <c r="R816" i="19"/>
  <c r="R815" i="19"/>
  <c r="R814" i="19"/>
  <c r="R813" i="19"/>
  <c r="R812" i="19"/>
  <c r="R811" i="19"/>
  <c r="R810" i="19"/>
  <c r="R809" i="19"/>
  <c r="R808" i="19"/>
  <c r="R807" i="19"/>
  <c r="R806" i="19"/>
  <c r="R805" i="19"/>
  <c r="R804" i="19"/>
  <c r="R803" i="19"/>
  <c r="R802" i="19"/>
  <c r="R801" i="19"/>
  <c r="R800" i="19"/>
  <c r="R799" i="19"/>
  <c r="R798" i="19"/>
  <c r="R797" i="19"/>
  <c r="R796" i="19"/>
  <c r="R795" i="19"/>
  <c r="R794" i="19"/>
  <c r="R793" i="19"/>
  <c r="R792" i="19"/>
  <c r="R791" i="19"/>
  <c r="R790" i="19"/>
  <c r="R789" i="19"/>
  <c r="R788" i="19"/>
  <c r="R787" i="19"/>
  <c r="R786" i="19"/>
  <c r="R785" i="19"/>
  <c r="R784" i="19"/>
  <c r="R783" i="19"/>
  <c r="R782" i="19"/>
  <c r="R781" i="19"/>
  <c r="R780" i="19"/>
  <c r="R779" i="19"/>
  <c r="R778" i="19"/>
  <c r="R777" i="19"/>
  <c r="R776" i="19"/>
  <c r="R775" i="19"/>
  <c r="R774" i="19"/>
  <c r="R773" i="19"/>
  <c r="R772" i="19"/>
  <c r="R771" i="19"/>
  <c r="R770" i="19"/>
  <c r="R769" i="19"/>
  <c r="R768" i="19"/>
  <c r="R767" i="19"/>
  <c r="R766" i="19"/>
  <c r="R765" i="19"/>
  <c r="R764" i="19"/>
  <c r="R763" i="19"/>
  <c r="R762" i="19"/>
  <c r="R761" i="19"/>
  <c r="R760" i="19"/>
  <c r="R759" i="19"/>
  <c r="R758" i="19"/>
  <c r="R757" i="19"/>
  <c r="R756" i="19"/>
  <c r="R755" i="19"/>
  <c r="R754" i="19"/>
  <c r="R753" i="19"/>
  <c r="R752" i="19"/>
  <c r="R751" i="19"/>
  <c r="R750" i="19"/>
  <c r="R749" i="19"/>
  <c r="R748" i="19"/>
  <c r="R747" i="19"/>
  <c r="R746" i="19"/>
  <c r="R745" i="19"/>
  <c r="R744" i="19"/>
  <c r="R743" i="19"/>
  <c r="R742" i="19"/>
  <c r="R741" i="19"/>
  <c r="R740" i="19"/>
  <c r="R739" i="19"/>
  <c r="R738" i="19"/>
  <c r="R737" i="19"/>
  <c r="R736" i="19"/>
  <c r="R735" i="19"/>
  <c r="R734" i="19"/>
  <c r="R733" i="19"/>
  <c r="R732" i="19"/>
  <c r="R731" i="19"/>
  <c r="R730" i="19"/>
  <c r="R729" i="19"/>
  <c r="R728" i="19"/>
  <c r="R727" i="19"/>
  <c r="R726" i="19"/>
  <c r="R725" i="19"/>
  <c r="R724" i="19"/>
  <c r="R723" i="19"/>
  <c r="R722" i="19"/>
  <c r="R721" i="19"/>
  <c r="R720" i="19"/>
  <c r="R719" i="19"/>
  <c r="R718" i="19"/>
  <c r="R717" i="19"/>
  <c r="R716" i="19"/>
  <c r="R715" i="19"/>
  <c r="R714" i="19"/>
  <c r="R713" i="19"/>
  <c r="R712" i="19"/>
  <c r="R711" i="19"/>
  <c r="R710" i="19"/>
  <c r="R709" i="19"/>
  <c r="R708" i="19"/>
  <c r="R707" i="19"/>
  <c r="R706" i="19"/>
  <c r="R705" i="19"/>
  <c r="R704" i="19"/>
  <c r="R703" i="19"/>
  <c r="R702" i="19"/>
  <c r="R701" i="19"/>
  <c r="R700" i="19"/>
  <c r="R699" i="19"/>
  <c r="R698" i="19"/>
  <c r="R697" i="19"/>
  <c r="R696" i="19"/>
  <c r="R695" i="19"/>
  <c r="R694" i="19"/>
  <c r="R693" i="19"/>
  <c r="R692" i="19"/>
  <c r="R691" i="19"/>
  <c r="R690" i="19"/>
  <c r="R689" i="19"/>
  <c r="R688" i="19"/>
  <c r="R687" i="19"/>
  <c r="R686" i="19"/>
  <c r="R685" i="19"/>
  <c r="R684" i="19"/>
  <c r="R683" i="19"/>
  <c r="R682" i="19"/>
  <c r="R681" i="19"/>
  <c r="R680" i="19"/>
  <c r="R679" i="19"/>
  <c r="R678" i="19"/>
  <c r="R677" i="19"/>
  <c r="R676" i="19"/>
  <c r="R675" i="19"/>
  <c r="R674" i="19"/>
  <c r="R673" i="19"/>
  <c r="R672" i="19"/>
  <c r="R671" i="19"/>
  <c r="R670" i="19"/>
  <c r="R669" i="19"/>
  <c r="R668" i="19"/>
  <c r="R667" i="19"/>
  <c r="R666" i="19"/>
  <c r="R665" i="19"/>
  <c r="R664" i="19"/>
  <c r="R663" i="19"/>
  <c r="R662" i="19"/>
  <c r="R661" i="19"/>
  <c r="R660" i="19"/>
  <c r="R659" i="19"/>
  <c r="R658" i="19"/>
  <c r="R657" i="19"/>
  <c r="R656" i="19"/>
  <c r="R655" i="19"/>
  <c r="R654" i="19"/>
  <c r="R653" i="19"/>
  <c r="R652" i="19"/>
  <c r="R651" i="19"/>
  <c r="R650" i="19"/>
  <c r="R649" i="19"/>
  <c r="R648" i="19"/>
  <c r="R647" i="19"/>
  <c r="R646" i="19"/>
  <c r="R645" i="19"/>
  <c r="R644" i="19"/>
  <c r="R643" i="19"/>
  <c r="R642" i="19"/>
  <c r="R641" i="19"/>
  <c r="R640" i="19"/>
  <c r="R639" i="19"/>
  <c r="R638" i="19"/>
  <c r="R637" i="19"/>
  <c r="R636" i="19"/>
  <c r="R635" i="19"/>
  <c r="R634" i="19"/>
  <c r="R633" i="19"/>
  <c r="R632" i="19"/>
  <c r="R631" i="19"/>
  <c r="R630" i="19"/>
  <c r="R629" i="19"/>
  <c r="R628" i="19"/>
  <c r="R627" i="19"/>
  <c r="R626" i="19"/>
  <c r="R625" i="19"/>
  <c r="R624" i="19"/>
  <c r="R623" i="19"/>
  <c r="R622" i="19"/>
  <c r="R621" i="19"/>
  <c r="R620" i="19"/>
  <c r="R619" i="19"/>
  <c r="R618" i="19"/>
  <c r="R617" i="19"/>
  <c r="R616" i="19"/>
  <c r="R615" i="19"/>
  <c r="R614" i="19"/>
  <c r="R613" i="19"/>
  <c r="R612" i="19"/>
  <c r="R611" i="19"/>
  <c r="R610" i="19"/>
  <c r="R609" i="19"/>
  <c r="R608" i="19"/>
  <c r="R607" i="19"/>
  <c r="R606" i="19"/>
  <c r="R605" i="19"/>
  <c r="R604" i="19"/>
  <c r="R603" i="19"/>
  <c r="R602" i="19"/>
  <c r="R601" i="19"/>
  <c r="R600" i="19"/>
  <c r="R599" i="19"/>
  <c r="R598" i="19"/>
  <c r="R597" i="19"/>
  <c r="R596" i="19"/>
  <c r="R595" i="19"/>
  <c r="R594" i="19"/>
  <c r="R593" i="19"/>
  <c r="R592" i="19"/>
  <c r="R591" i="19"/>
  <c r="R590" i="19"/>
  <c r="R589" i="19"/>
  <c r="R588" i="19"/>
  <c r="R587" i="19"/>
  <c r="R586" i="19"/>
  <c r="R585" i="19"/>
  <c r="R584" i="19"/>
  <c r="R583" i="19"/>
  <c r="R582" i="19"/>
  <c r="R581" i="19"/>
  <c r="R580" i="19"/>
  <c r="R579" i="19"/>
  <c r="R578" i="19"/>
  <c r="R577" i="19"/>
  <c r="R576" i="19"/>
  <c r="R575" i="19"/>
  <c r="R574" i="19"/>
  <c r="R573" i="19"/>
  <c r="R572" i="19"/>
  <c r="R571" i="19"/>
  <c r="R570" i="19"/>
  <c r="R569" i="19"/>
  <c r="R568" i="19"/>
  <c r="R567" i="19"/>
  <c r="R566" i="19"/>
  <c r="R565" i="19"/>
  <c r="R564" i="19"/>
  <c r="R563" i="19"/>
  <c r="R562" i="19"/>
  <c r="R561" i="19"/>
  <c r="R560" i="19"/>
  <c r="R559" i="19"/>
  <c r="R558" i="19"/>
  <c r="R557" i="19"/>
  <c r="R556" i="19"/>
  <c r="R555" i="19"/>
  <c r="R554" i="19"/>
  <c r="R553" i="19"/>
  <c r="R552" i="19"/>
  <c r="R551" i="19"/>
  <c r="R550" i="19"/>
  <c r="R549" i="19"/>
  <c r="R548" i="19"/>
  <c r="R547" i="19"/>
  <c r="R546" i="19"/>
  <c r="R545" i="19"/>
  <c r="R544" i="19"/>
  <c r="R543" i="19"/>
  <c r="R542" i="19"/>
  <c r="R541" i="19"/>
  <c r="R540" i="19"/>
  <c r="R539" i="19"/>
  <c r="R538" i="19"/>
  <c r="R537" i="19"/>
  <c r="R536" i="19"/>
  <c r="R535" i="19"/>
  <c r="R534" i="19"/>
  <c r="R533" i="19"/>
  <c r="R532" i="19"/>
  <c r="R531" i="19"/>
  <c r="R530" i="19"/>
  <c r="R529" i="19"/>
  <c r="R528" i="19"/>
  <c r="R527" i="19"/>
  <c r="R526" i="19"/>
  <c r="R525" i="19"/>
  <c r="R524" i="19"/>
  <c r="R523" i="19"/>
  <c r="R522" i="19"/>
  <c r="R521" i="19"/>
  <c r="R520" i="19"/>
  <c r="R519" i="19"/>
  <c r="R518" i="19"/>
  <c r="R517" i="19"/>
  <c r="R516" i="19"/>
  <c r="R515" i="19"/>
  <c r="R514" i="19"/>
  <c r="R513" i="19"/>
  <c r="R512" i="19"/>
  <c r="R511" i="19"/>
  <c r="R510" i="19"/>
  <c r="R509" i="19"/>
  <c r="R508" i="19"/>
  <c r="R507" i="19"/>
  <c r="R506" i="19"/>
  <c r="R505" i="19"/>
  <c r="R504" i="19"/>
  <c r="R503" i="19"/>
  <c r="R502" i="19"/>
  <c r="R501" i="19"/>
  <c r="R500" i="19"/>
  <c r="R499" i="19"/>
  <c r="R498" i="19"/>
  <c r="R497" i="19"/>
  <c r="R496" i="19"/>
  <c r="R495" i="19"/>
  <c r="R494" i="19"/>
  <c r="R493" i="19"/>
  <c r="R492" i="19"/>
  <c r="R491" i="19"/>
  <c r="R490" i="19"/>
  <c r="R489" i="19"/>
  <c r="R488" i="19"/>
  <c r="R487" i="19"/>
  <c r="R486" i="19"/>
  <c r="R485" i="19"/>
  <c r="R484" i="19"/>
  <c r="R483" i="19"/>
  <c r="R482" i="19"/>
  <c r="R481" i="19"/>
  <c r="R480" i="19"/>
  <c r="R479" i="19"/>
  <c r="R478" i="19"/>
  <c r="R477" i="19"/>
  <c r="R476" i="19"/>
  <c r="R475" i="19"/>
  <c r="R474" i="19"/>
  <c r="R473" i="19"/>
  <c r="R472" i="19"/>
  <c r="R471" i="19"/>
  <c r="R470" i="19"/>
  <c r="R469" i="19"/>
  <c r="R468" i="19"/>
  <c r="R467" i="19"/>
  <c r="R466" i="19"/>
  <c r="R465" i="19"/>
  <c r="R464" i="19"/>
  <c r="R463" i="19"/>
  <c r="R462" i="19"/>
  <c r="R461" i="19"/>
  <c r="R460" i="19"/>
  <c r="R459" i="19"/>
  <c r="R458" i="19"/>
  <c r="R457" i="19"/>
  <c r="R456" i="19"/>
  <c r="R455" i="19"/>
  <c r="R454" i="19"/>
  <c r="R453" i="19"/>
  <c r="R452" i="19"/>
  <c r="R451" i="19"/>
  <c r="R450" i="19"/>
  <c r="R449" i="19"/>
  <c r="R448" i="19"/>
  <c r="R447" i="19"/>
  <c r="R446" i="19"/>
  <c r="R445" i="19"/>
  <c r="R444" i="19"/>
  <c r="R443" i="19"/>
  <c r="R442" i="19"/>
  <c r="R441" i="19"/>
  <c r="R440" i="19"/>
  <c r="R439" i="19"/>
  <c r="R438" i="19"/>
  <c r="R437" i="19"/>
  <c r="R436" i="19"/>
  <c r="R434" i="19"/>
  <c r="R433" i="19"/>
  <c r="R432" i="19"/>
  <c r="R431" i="19"/>
  <c r="R430" i="19"/>
  <c r="R429" i="19"/>
  <c r="R428" i="19"/>
  <c r="R427" i="19"/>
  <c r="R426" i="19"/>
  <c r="R425" i="19"/>
  <c r="R424" i="19"/>
  <c r="R423" i="19"/>
  <c r="R422" i="19"/>
  <c r="R421" i="19"/>
  <c r="R420" i="19"/>
  <c r="R419" i="19"/>
  <c r="R418" i="19"/>
  <c r="R417" i="19"/>
  <c r="R416" i="19"/>
  <c r="R415" i="19"/>
  <c r="R414" i="19"/>
  <c r="R413" i="19"/>
  <c r="R412" i="19"/>
  <c r="R411" i="19"/>
  <c r="R410" i="19"/>
  <c r="R409" i="19"/>
  <c r="R408" i="19"/>
  <c r="R407" i="19"/>
  <c r="R406" i="19"/>
  <c r="R405" i="19"/>
  <c r="R404" i="19"/>
  <c r="R403" i="19"/>
  <c r="R402" i="19"/>
  <c r="R401" i="19"/>
  <c r="R400" i="19"/>
  <c r="R399" i="19"/>
  <c r="R398" i="19"/>
  <c r="R397" i="19"/>
  <c r="R396" i="19"/>
  <c r="R395" i="19"/>
  <c r="R394" i="19"/>
  <c r="R393" i="19"/>
  <c r="R392" i="19"/>
  <c r="R391" i="19"/>
  <c r="R390" i="19"/>
  <c r="R389" i="19"/>
  <c r="R388" i="19"/>
  <c r="R387" i="19"/>
  <c r="R386" i="19"/>
  <c r="R385" i="19"/>
  <c r="R384" i="19"/>
  <c r="R383" i="19"/>
  <c r="R382" i="19"/>
  <c r="R381" i="19"/>
  <c r="R380" i="19"/>
  <c r="R379" i="19"/>
  <c r="R378" i="19"/>
  <c r="R377" i="19"/>
  <c r="R376" i="19"/>
  <c r="R375" i="19"/>
  <c r="R374" i="19"/>
  <c r="R373" i="19"/>
  <c r="R372" i="19"/>
  <c r="R371" i="19"/>
  <c r="R370" i="19"/>
  <c r="R369" i="19"/>
  <c r="R368" i="19"/>
  <c r="R367" i="19"/>
  <c r="R366" i="19"/>
  <c r="R365" i="19"/>
  <c r="R364" i="19"/>
  <c r="R363" i="19"/>
  <c r="R362" i="19"/>
  <c r="R361" i="19"/>
  <c r="R360" i="19"/>
  <c r="R359" i="19"/>
  <c r="R358" i="19"/>
  <c r="R357" i="19"/>
  <c r="R356" i="19"/>
  <c r="R355" i="19"/>
  <c r="R354" i="19"/>
  <c r="R353" i="19"/>
  <c r="R352" i="19"/>
  <c r="R351" i="19"/>
  <c r="R350" i="19"/>
  <c r="R349" i="19"/>
  <c r="R348" i="19"/>
  <c r="R347" i="19"/>
  <c r="R346" i="19"/>
  <c r="R345" i="19"/>
  <c r="R344" i="19"/>
  <c r="R343" i="19"/>
  <c r="R342" i="19"/>
  <c r="R341" i="19"/>
  <c r="R340" i="19"/>
  <c r="R339" i="19"/>
  <c r="R338" i="19"/>
  <c r="R337" i="19"/>
  <c r="R335" i="19"/>
  <c r="R334" i="19"/>
  <c r="R333" i="19"/>
  <c r="R332" i="19"/>
  <c r="R331" i="19"/>
  <c r="R330" i="19"/>
  <c r="R329" i="19"/>
  <c r="R328" i="19"/>
  <c r="R327" i="19"/>
  <c r="R326" i="19"/>
  <c r="R325" i="19"/>
  <c r="R324" i="19"/>
  <c r="R323" i="19"/>
  <c r="R322" i="19"/>
  <c r="R321" i="19"/>
  <c r="R320" i="19"/>
  <c r="R319" i="19"/>
  <c r="R318" i="19"/>
  <c r="R317" i="19"/>
  <c r="R316" i="19"/>
  <c r="R315" i="19"/>
  <c r="R314" i="19"/>
  <c r="R313" i="19"/>
  <c r="R312" i="19"/>
  <c r="R311" i="19"/>
  <c r="R310" i="19"/>
  <c r="R309" i="19"/>
  <c r="R308" i="19"/>
  <c r="R307" i="19"/>
  <c r="R306" i="19"/>
  <c r="R305" i="19"/>
  <c r="R304" i="19"/>
  <c r="R303" i="19"/>
  <c r="R302" i="19"/>
  <c r="R301" i="19"/>
  <c r="R300" i="19"/>
  <c r="R299" i="19"/>
  <c r="R298" i="19"/>
  <c r="R297" i="19"/>
  <c r="R296" i="19"/>
  <c r="R295" i="19"/>
  <c r="R294" i="19"/>
  <c r="R293" i="19"/>
  <c r="R292" i="19"/>
  <c r="R291" i="19"/>
  <c r="R290" i="19"/>
  <c r="R289" i="19"/>
  <c r="R288" i="19"/>
  <c r="R287" i="19"/>
  <c r="R286" i="19"/>
  <c r="R285" i="19"/>
  <c r="R284" i="19"/>
  <c r="R283" i="19"/>
  <c r="R282" i="19"/>
  <c r="R281" i="19"/>
  <c r="R280" i="19"/>
  <c r="R279" i="19"/>
  <c r="R278" i="19"/>
  <c r="R277" i="19"/>
  <c r="R276" i="19"/>
  <c r="R275" i="19"/>
  <c r="R274" i="19"/>
  <c r="R273" i="19"/>
  <c r="R272" i="19"/>
  <c r="R271" i="19"/>
  <c r="R270" i="19"/>
  <c r="R269" i="19"/>
  <c r="R268" i="19"/>
  <c r="R267" i="19"/>
  <c r="R266" i="19"/>
  <c r="R265" i="19"/>
  <c r="R264" i="19"/>
  <c r="R263" i="19"/>
  <c r="R262" i="19"/>
  <c r="R261" i="19"/>
  <c r="R260" i="19"/>
  <c r="R259" i="19"/>
  <c r="R258" i="19"/>
  <c r="R257" i="19"/>
  <c r="R256" i="19"/>
  <c r="R255" i="19"/>
  <c r="R254" i="19"/>
  <c r="R253" i="19"/>
  <c r="R252" i="19"/>
  <c r="R251" i="19"/>
  <c r="R250" i="19"/>
  <c r="R249" i="19"/>
  <c r="R248" i="19"/>
  <c r="R247" i="19"/>
  <c r="R246" i="19"/>
  <c r="R245" i="19"/>
  <c r="R244" i="19"/>
  <c r="R243" i="19"/>
  <c r="R242" i="19"/>
  <c r="R241" i="19"/>
  <c r="R240" i="19"/>
  <c r="R239" i="19"/>
  <c r="R238" i="19"/>
  <c r="R237" i="19"/>
  <c r="R236" i="19"/>
  <c r="R235" i="19"/>
  <c r="R234" i="19"/>
  <c r="R233" i="19"/>
  <c r="R232" i="19"/>
  <c r="R231" i="19"/>
  <c r="R230" i="19"/>
  <c r="R229" i="19"/>
  <c r="R228" i="19"/>
  <c r="R227" i="19"/>
  <c r="R226" i="19"/>
  <c r="R225" i="19"/>
  <c r="R224" i="19"/>
  <c r="R223" i="19"/>
  <c r="R222" i="19"/>
  <c r="R221" i="19"/>
  <c r="R220" i="19"/>
  <c r="R219" i="19"/>
  <c r="R218" i="19"/>
  <c r="R217" i="19"/>
  <c r="R216" i="19"/>
  <c r="R215" i="19"/>
  <c r="R214" i="19"/>
  <c r="R213" i="19"/>
  <c r="R212" i="19"/>
  <c r="R211" i="19"/>
  <c r="R210" i="19"/>
  <c r="R209" i="19"/>
  <c r="R208" i="19"/>
  <c r="R207" i="19"/>
  <c r="R206" i="19"/>
  <c r="R205" i="19"/>
  <c r="R204" i="19"/>
  <c r="R203" i="19"/>
  <c r="R202" i="19"/>
  <c r="R201" i="19"/>
  <c r="R200" i="19"/>
  <c r="R199" i="19"/>
  <c r="R198" i="19"/>
  <c r="R197" i="19"/>
  <c r="R196" i="19"/>
  <c r="R195" i="19"/>
  <c r="R194" i="19"/>
  <c r="R193" i="19"/>
  <c r="R192" i="19"/>
  <c r="R191" i="19"/>
  <c r="R190" i="19"/>
  <c r="R189" i="19"/>
  <c r="R188" i="19"/>
  <c r="R187" i="19"/>
  <c r="R186" i="19"/>
  <c r="R185" i="19"/>
  <c r="R180" i="19"/>
  <c r="R179" i="19"/>
  <c r="R178" i="19"/>
  <c r="R177" i="19"/>
  <c r="R176" i="19"/>
  <c r="R173" i="19"/>
  <c r="R172" i="19"/>
  <c r="R171" i="19"/>
  <c r="R170" i="19"/>
  <c r="R169" i="19"/>
  <c r="R168" i="19"/>
  <c r="R167" i="19"/>
  <c r="R166" i="19"/>
  <c r="R165" i="19"/>
  <c r="R164" i="19"/>
  <c r="R163" i="19"/>
  <c r="R162" i="19"/>
  <c r="R161" i="19"/>
  <c r="R160" i="19"/>
  <c r="R159" i="19"/>
  <c r="R158" i="19"/>
  <c r="R157" i="19"/>
  <c r="R156" i="19"/>
  <c r="R155" i="19"/>
  <c r="R154" i="19"/>
  <c r="R153" i="19"/>
  <c r="R151" i="19"/>
  <c r="R150" i="19"/>
  <c r="R149" i="19"/>
  <c r="R148" i="19"/>
  <c r="R147" i="19"/>
  <c r="R146" i="19"/>
  <c r="R145" i="19"/>
  <c r="R144" i="19"/>
  <c r="R143" i="19"/>
  <c r="R142" i="19"/>
  <c r="R141" i="19"/>
  <c r="R140" i="19"/>
  <c r="R139" i="19"/>
  <c r="R138" i="19"/>
  <c r="R137" i="19"/>
  <c r="R136" i="19"/>
  <c r="R135" i="19"/>
  <c r="R134" i="19"/>
  <c r="R133" i="19"/>
  <c r="R132" i="19"/>
  <c r="R131" i="19"/>
  <c r="R130" i="19"/>
  <c r="R129" i="19"/>
  <c r="R128" i="19"/>
  <c r="R127" i="19"/>
  <c r="R126" i="19"/>
  <c r="R125" i="19"/>
  <c r="R124" i="19"/>
  <c r="R123" i="19"/>
  <c r="R122" i="19"/>
  <c r="R120" i="19"/>
  <c r="R119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</author>
  </authors>
  <commentList>
    <comment ref="K1" authorId="0" shapeId="0" xr:uid="{75C2DFDB-717A-4657-AA18-C063D46F6760}">
      <text/>
    </comment>
    <comment ref="B3" authorId="0" shapeId="0" xr:uid="{4A7EA126-971A-47D6-A14D-2DAAE69F2BA5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7" authorId="0" shapeId="0" xr:uid="{1FDA181E-D41B-4628-9832-E57D317EB3A5}">
      <text>
        <r>
          <rPr>
            <b/>
            <sz val="11"/>
            <color indexed="81"/>
            <rFont val="Vandra"/>
          </rPr>
          <t>Problems with material used-  When BWXT inspected parts cacked.  Olivier need to find out next steps.  Order on HOLD</t>
        </r>
      </text>
    </comment>
    <comment ref="E14" authorId="0" shapeId="0" xr:uid="{5EC41A3D-2437-4FDA-BFA9-9860F1F155C8}">
      <text>
        <r>
          <rPr>
            <b/>
            <sz val="11"/>
            <color indexed="81"/>
            <rFont val="Vandra"/>
          </rPr>
          <t>Lester reached out to Bobby about getting updated drawing since Nov-21-23. we keep reminding Bobby , but we have not seen any new Drawing.
Bobby keeps stating he's working on it.</t>
        </r>
      </text>
    </comment>
    <comment ref="E16" authorId="0" shapeId="0" xr:uid="{474E7F07-A89C-4E78-B7E5-E8968A1B51BA}">
      <text>
        <r>
          <rPr>
            <b/>
            <sz val="11"/>
            <color indexed="81"/>
            <rFont val="Vandra"/>
          </rPr>
          <t>SNC- provided the Toggle Clamp but did not fit on the existing Block RTD made.  
June-5-2024 Lester sent in a DDR requesting to open slot on block to accommodate the Toggle Clamp provided.  Still Waiting for Approval</t>
        </r>
      </text>
    </comment>
    <comment ref="L18" authorId="0" shapeId="0" xr:uid="{E705B7FD-AAA6-45C9-9B0E-15C13F0694F8}">
      <text>
        <r>
          <rPr>
            <b/>
            <sz val="11"/>
            <color indexed="81"/>
            <rFont val="Vandra"/>
          </rPr>
          <t>This order will be tracked -thru new Process  Job Doc's   Feb-8-2024
In May- Lester revised welding procedure an MITP  Still waitng for approveal.
Lester reached out on June-7-2024</t>
        </r>
      </text>
    </comment>
    <comment ref="E20" authorId="0" shapeId="0" xr:uid="{1E5931D4-A0CF-440E-AE76-7618363ED233}">
      <text>
        <r>
          <rPr>
            <b/>
            <sz val="11"/>
            <color indexed="81"/>
            <rFont val="Vandra"/>
          </rPr>
          <t>F/I material received June-12-25</t>
        </r>
      </text>
    </comment>
    <comment ref="L29" authorId="0" shapeId="0" xr:uid="{CED2CD5F-A96F-418E-B80E-8D2D28CE45C5}">
      <text>
        <r>
          <rPr>
            <b/>
            <sz val="12"/>
            <color indexed="81"/>
            <rFont val="Vandra"/>
          </rPr>
          <t>Feb-13-2025- Lester Submitted Procedures</t>
        </r>
      </text>
    </comment>
    <comment ref="L35" authorId="0" shapeId="0" xr:uid="{A5538EA3-8A63-4D0F-8E85-CB0AB2F031F2}">
      <text>
        <r>
          <rPr>
            <b/>
            <sz val="11"/>
            <color indexed="81"/>
            <rFont val="Vandra"/>
          </rPr>
          <t>Romania</t>
        </r>
      </text>
    </comment>
    <comment ref="L36" authorId="0" shapeId="0" xr:uid="{B7BF89D9-2DEF-46FF-9BAC-1CD76B24036A}">
      <text>
        <r>
          <rPr>
            <b/>
            <sz val="11"/>
            <color indexed="81"/>
            <rFont val="Vandra"/>
          </rPr>
          <t>Romania</t>
        </r>
      </text>
    </comment>
    <comment ref="B37" authorId="0" shapeId="0" xr:uid="{6B45D816-A3BE-4E61-BBB8-D38E691856BB}">
      <text>
        <r>
          <rPr>
            <b/>
            <sz val="11"/>
            <color indexed="81"/>
            <rFont val="Vandra"/>
          </rPr>
          <t>assseml</t>
        </r>
      </text>
    </comment>
    <comment ref="L37" authorId="0" shapeId="0" xr:uid="{E7558C11-52BB-487F-BDB7-34FDBD094A8E}">
      <text>
        <r>
          <rPr>
            <b/>
            <sz val="11"/>
            <color indexed="81"/>
            <rFont val="Vandra"/>
          </rPr>
          <t>Romania</t>
        </r>
      </text>
    </comment>
    <comment ref="L38" authorId="0" shapeId="0" xr:uid="{5187CF93-B88F-4C97-9C46-F7CEA6FE177D}">
      <text>
        <r>
          <rPr>
            <b/>
            <sz val="11"/>
            <color indexed="81"/>
            <rFont val="Vandra"/>
          </rPr>
          <t>Romania</t>
        </r>
      </text>
    </comment>
    <comment ref="L39" authorId="0" shapeId="0" xr:uid="{6C4D5860-A1FF-404F-8E72-E9C5A05E2481}">
      <text>
        <r>
          <rPr>
            <b/>
            <sz val="11"/>
            <color indexed="81"/>
            <rFont val="Vandra"/>
          </rPr>
          <t>Romania</t>
        </r>
      </text>
    </comment>
    <comment ref="L40" authorId="0" shapeId="0" xr:uid="{391BBDDA-2613-44F9-A142-5523007055B1}">
      <text>
        <r>
          <rPr>
            <b/>
            <sz val="11"/>
            <color indexed="81"/>
            <rFont val="Vandra"/>
          </rPr>
          <t>Romania</t>
        </r>
      </text>
    </comment>
    <comment ref="L41" authorId="0" shapeId="0" xr:uid="{B89F3FB9-0359-4C2A-B678-8F209157EEB1}">
      <text>
        <r>
          <rPr>
            <b/>
            <sz val="11"/>
            <color indexed="81"/>
            <rFont val="Vandra"/>
          </rPr>
          <t>Romania</t>
        </r>
      </text>
    </comment>
    <comment ref="L42" authorId="0" shapeId="0" xr:uid="{B1422FE8-108D-41AB-A69E-C4C4B9F639D9}">
      <text>
        <r>
          <rPr>
            <b/>
            <sz val="11"/>
            <color indexed="81"/>
            <rFont val="Vandra"/>
          </rPr>
          <t>Romania</t>
        </r>
      </text>
    </comment>
    <comment ref="L43" authorId="0" shapeId="0" xr:uid="{3212AF6B-0F86-435A-B8BC-783BB00EA56C}">
      <text>
        <r>
          <rPr>
            <b/>
            <sz val="11"/>
            <color indexed="81"/>
            <rFont val="Vandra"/>
          </rPr>
          <t>Romania</t>
        </r>
      </text>
    </comment>
    <comment ref="L45" authorId="0" shapeId="0" xr:uid="{9A4F66FE-01FD-4898-ABA7-FD8393EA4695}">
      <text>
        <r>
          <rPr>
            <b/>
            <sz val="11"/>
            <color indexed="81"/>
            <rFont val="Vandra"/>
          </rPr>
          <t>Romania</t>
        </r>
      </text>
    </comment>
    <comment ref="L46" authorId="0" shapeId="0" xr:uid="{619D69D0-F2A1-461E-870A-F56999C2E82B}">
      <text>
        <r>
          <rPr>
            <b/>
            <sz val="11"/>
            <color indexed="81"/>
            <rFont val="Vandra"/>
          </rPr>
          <t>Romania</t>
        </r>
      </text>
    </comment>
    <comment ref="L47" authorId="0" shapeId="0" xr:uid="{803C7E8D-132F-4624-9795-192C309C4B97}">
      <text>
        <r>
          <rPr>
            <b/>
            <sz val="11"/>
            <color indexed="81"/>
            <rFont val="Vandra"/>
          </rPr>
          <t>Romania</t>
        </r>
      </text>
    </comment>
    <comment ref="L48" authorId="0" shapeId="0" xr:uid="{534A6424-6FFA-42E2-9485-BA07480C3243}">
      <text>
        <r>
          <rPr>
            <b/>
            <sz val="11"/>
            <color indexed="81"/>
            <rFont val="Vandra"/>
          </rPr>
          <t>Romania</t>
        </r>
      </text>
    </comment>
    <comment ref="L49" authorId="0" shapeId="0" xr:uid="{391BEF18-67C9-4A6E-AADB-39FF43106BAE}">
      <text>
        <r>
          <rPr>
            <b/>
            <sz val="11"/>
            <color indexed="81"/>
            <rFont val="Vandra"/>
          </rPr>
          <t>Romania</t>
        </r>
      </text>
    </comment>
    <comment ref="L50" authorId="0" shapeId="0" xr:uid="{95A38C69-0991-40D7-98AA-630F8D6F14CB}">
      <text>
        <r>
          <rPr>
            <b/>
            <sz val="11"/>
            <color indexed="81"/>
            <rFont val="Vandra"/>
          </rPr>
          <t>Romania</t>
        </r>
      </text>
    </comment>
    <comment ref="L51" authorId="0" shapeId="0" xr:uid="{A9376F2A-51FB-4740-AEF3-CBC01F075055}">
      <text>
        <r>
          <rPr>
            <b/>
            <sz val="11"/>
            <color indexed="81"/>
            <rFont val="Vandra"/>
          </rPr>
          <t>Romania</t>
        </r>
      </text>
    </comment>
    <comment ref="L52" authorId="0" shapeId="0" xr:uid="{F2687D33-1DB6-4E3F-A81A-CC8350A4C991}">
      <text>
        <r>
          <rPr>
            <b/>
            <sz val="11"/>
            <color indexed="81"/>
            <rFont val="Vandra"/>
          </rPr>
          <t>Romania</t>
        </r>
      </text>
    </comment>
    <comment ref="L53" authorId="0" shapeId="0" xr:uid="{F9C11CE1-7F49-4B6A-91C5-C91ED5DA5C97}">
      <text>
        <r>
          <rPr>
            <b/>
            <sz val="11"/>
            <color indexed="81"/>
            <rFont val="Vandra"/>
          </rPr>
          <t>Romania</t>
        </r>
      </text>
    </comment>
    <comment ref="L54" authorId="0" shapeId="0" xr:uid="{7417FD44-6FA8-48BE-83FE-FE84083BA2BD}">
      <text>
        <r>
          <rPr>
            <b/>
            <sz val="11"/>
            <color indexed="81"/>
            <rFont val="Vandra"/>
          </rPr>
          <t>Romania</t>
        </r>
      </text>
    </comment>
    <comment ref="L55" authorId="0" shapeId="0" xr:uid="{DB6BE631-2322-4139-8F6B-D01DA08A7678}">
      <text>
        <r>
          <rPr>
            <b/>
            <sz val="11"/>
            <color indexed="81"/>
            <rFont val="Vandra"/>
          </rPr>
          <t>Romania</t>
        </r>
      </text>
    </comment>
    <comment ref="L56" authorId="0" shapeId="0" xr:uid="{D2A4CAFA-EAAD-4B81-BA2B-BC4D8E47E606}">
      <text>
        <r>
          <rPr>
            <b/>
            <sz val="11"/>
            <color indexed="81"/>
            <rFont val="Vandra"/>
          </rPr>
          <t>Romania</t>
        </r>
      </text>
    </comment>
    <comment ref="L57" authorId="0" shapeId="0" xr:uid="{01121AC6-6972-49E8-A705-0F7944C47FDE}">
      <text>
        <r>
          <rPr>
            <b/>
            <sz val="11"/>
            <color indexed="81"/>
            <rFont val="Vandra"/>
          </rPr>
          <t>Romania</t>
        </r>
      </text>
    </comment>
    <comment ref="L58" authorId="0" shapeId="0" xr:uid="{B724213E-FDF4-43A5-91BC-E9F88E329252}">
      <text>
        <r>
          <rPr>
            <b/>
            <sz val="11"/>
            <color indexed="81"/>
            <rFont val="Vandra"/>
          </rPr>
          <t>Romania</t>
        </r>
      </text>
    </comment>
    <comment ref="L59" authorId="0" shapeId="0" xr:uid="{912F315C-AD9D-4AE3-99A9-7C19C59092D9}">
      <text>
        <r>
          <rPr>
            <b/>
            <sz val="11"/>
            <color indexed="81"/>
            <rFont val="Vandra"/>
          </rPr>
          <t>Romania</t>
        </r>
      </text>
    </comment>
    <comment ref="L60" authorId="0" shapeId="0" xr:uid="{EAB226B5-59FC-4354-85EB-B8EBB10C8941}">
      <text>
        <r>
          <rPr>
            <b/>
            <sz val="11"/>
            <color indexed="81"/>
            <rFont val="Vandra"/>
          </rPr>
          <t>Romania</t>
        </r>
      </text>
    </comment>
    <comment ref="L62" authorId="0" shapeId="0" xr:uid="{D90C8239-9B05-4F52-9BAB-D2AD3603DD3A}">
      <text>
        <r>
          <rPr>
            <b/>
            <sz val="11"/>
            <color indexed="81"/>
            <rFont val="Vandra"/>
          </rPr>
          <t>Romania</t>
        </r>
      </text>
    </comment>
    <comment ref="P64" authorId="0" shapeId="0" xr:uid="{2C0E2AA8-AC24-437C-8C98-EC3C3DBDC203}">
      <text>
        <r>
          <rPr>
            <b/>
            <sz val="12"/>
            <color indexed="81"/>
            <rFont val="Vandra"/>
          </rPr>
          <t>Jan-23-25 ; Original Delv Date was Feb-28-25-  Inspection Probe expected back from Eddyfi  on -March-7/25-  Gus said we need a couple of days for assy-  Hence New Delivery date of March-14-2025-  Emailed to Laila Jan-23-25.
MARCH-6-25- New Updated delivery from Eddifi from March-7 to March-14-2025  hence pushing the delivery out by another week.
March-13-25-  Jude received e-mail from Eddyfi stating 1 piece is ready, but the second piece will be delayed by 8-9 Weeks as they waiting for parts to complete the assembly</t>
        </r>
      </text>
    </comment>
    <comment ref="L66" authorId="0" shapeId="0" xr:uid="{BABFDD88-31F5-4C33-91D2-A6C67660A0BA}">
      <text>
        <r>
          <rPr>
            <b/>
            <sz val="14"/>
            <color indexed="81"/>
            <rFont val="Vandra"/>
          </rPr>
          <t>Romania
New Rev.1 Added to capture BOM It.9 &amp; 15
RT-88000-78530-000-1-GA-E-Shaft Asy
RT-88000-78510-000-1-ga-D- PT Straigt Tool</t>
        </r>
      </text>
    </comment>
    <comment ref="L67" authorId="0" shapeId="0" xr:uid="{938ECA0B-A2B8-4918-8EF5-F501C817BA11}">
      <text>
        <r>
          <rPr>
            <b/>
            <sz val="14"/>
            <color indexed="81"/>
            <rFont val="Vandra"/>
          </rPr>
          <t>Romania</t>
        </r>
      </text>
    </comment>
    <comment ref="L68" authorId="0" shapeId="0" xr:uid="{8E0FAEA6-E27D-4466-887C-A376CBFF4789}">
      <text>
        <r>
          <rPr>
            <b/>
            <sz val="14"/>
            <color indexed="81"/>
            <rFont val="Vandra"/>
          </rPr>
          <t>Romania</t>
        </r>
      </text>
    </comment>
    <comment ref="L69" authorId="0" shapeId="0" xr:uid="{2BA338E6-D34F-404F-B541-3F628BEF22DB}">
      <text>
        <r>
          <rPr>
            <b/>
            <sz val="14"/>
            <color indexed="81"/>
            <rFont val="Vandra"/>
          </rPr>
          <t>Romania</t>
        </r>
      </text>
    </comment>
    <comment ref="L70" authorId="0" shapeId="0" xr:uid="{990EC93F-4989-4DC7-8887-480E1CA88D1F}">
      <text>
        <r>
          <rPr>
            <b/>
            <sz val="14"/>
            <color indexed="81"/>
            <rFont val="Vandra"/>
          </rPr>
          <t>Romania</t>
        </r>
      </text>
    </comment>
    <comment ref="D72" authorId="0" shapeId="0" xr:uid="{8DC80DD7-EE29-47CB-A3AB-AEAB6F2075D4}">
      <text>
        <r>
          <rPr>
            <sz val="14"/>
            <color indexed="81"/>
            <rFont val="Arial"/>
            <family val="2"/>
          </rPr>
          <t>was previously 168000  changed
Dec-12-20241-120,000pc
mar-17-25-   4500 pcs
Mar-20-25-  4500 pcs
April-14-25-   9,000 pcs
may-6-25-   12,000 pcs
May-20-25   12,000 pcs
June-1-25      6,000 pcs</t>
        </r>
      </text>
    </comment>
    <comment ref="M72" authorId="0" shapeId="0" xr:uid="{E5712317-306F-45D9-B3E7-36F822D59AB8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PS# 44245       7500 pcs
PS# 44285       4500 pcs
PS# 44310       4500 pcs
PS# 44334       4500 pvd
PS# 44386       9000 pcs
PS# 44449       12000 pcs
PS# 44481       12000 pcs
PS# 44530        6000 pcs</t>
        </r>
      </text>
    </comment>
    <comment ref="N72" authorId="0" shapeId="0" xr:uid="{5119BA9B-C0AA-4739-AABB-3EEF1EBA93CF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7500      pcs
4500       pcs
4500      pcs
4500    pcs
12000     pcs
12000 pcs
6000 pcs</t>
        </r>
      </text>
    </comment>
    <comment ref="O72" authorId="0" shapeId="0" xr:uid="{25FCF6F4-B653-4D42-B051-E05507B5322B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Inv 52535  7,500 pcs 02/19/25
Inv 52579  4,500 pcs 03/06/25
Inv 52600  4,500 pcs 03/17/25 
Inv 52621  4,500 pcs 03/20/25
Inv 52669  9,000 pcs 04/14/25
Inv 52731 12,000 pcs 05/06/25
Inv 52744 12,000 pcs 05/20/25
Inv 52800  6,000 psc  06/11/25</t>
        </r>
      </text>
    </comment>
    <comment ref="Q72" authorId="0" shapeId="0" xr:uid="{01D91B61-8050-48A6-B54E-732B0FF7DC30}">
      <text>
        <r>
          <rPr>
            <b/>
            <sz val="12"/>
            <color indexed="81"/>
            <rFont val="Vandra"/>
          </rPr>
          <t xml:space="preserve">7500 pcs    shipd  02/19/25
4500 pcs    shipd  03/07/25
4500 pcs    shipd  03/17/25
4500 pcs    shipd   03/20/25
12000 pcs   shipd   05/06/25
12000 pcs   shipd    05/20/25
6000-pcs     shipd     6/11/25
</t>
        </r>
      </text>
    </comment>
    <comment ref="D73" authorId="0" shapeId="0" xr:uid="{B74CBB04-CB63-4514-A523-60D75AD946CC}">
      <text>
        <r>
          <rPr>
            <sz val="12"/>
            <color indexed="81"/>
            <rFont val="Arial"/>
            <family val="2"/>
          </rPr>
          <t>was previousl 32,000 changed to 81000 dec-12-2024
3000- pcs  Shipped-2/18/24
6000-pcs  Shipd- Jan-8-25
6000- pcs Shipd- Feb-4-2025
4500-pcs   Shipd- Feb-25-25
3000- pcs   shipd  may-6-25
3000-pcs   shipd   May-20-25</t>
        </r>
      </text>
    </comment>
    <comment ref="M73" authorId="0" shapeId="0" xr:uid="{00B7137F-9B55-46EE-9935-C61D95653340}">
      <text>
        <r>
          <rPr>
            <b/>
            <sz val="11"/>
            <color indexed="81"/>
            <rFont val="Vandra"/>
          </rPr>
          <t>PS# 44126      3000-pcs
PS# 44151      6000-pcs
PS# 44215     6000 pcs
PS# 44255    4500 pcs
PS# 44449     3000 pcs
PS# 44481     3000 pcs</t>
        </r>
      </text>
    </comment>
    <comment ref="N73" authorId="0" shapeId="0" xr:uid="{02BACC1B-A1DC-45B3-B46E-54D3DBC7EB2B}">
      <text>
        <r>
          <rPr>
            <b/>
            <sz val="11"/>
            <color indexed="81"/>
            <rFont val="Vandra"/>
          </rPr>
          <t>3000 pcs
6000 pcs
6000- pcs
4500 pcs
3000 pcs
3000 pcs</t>
        </r>
      </text>
    </comment>
    <comment ref="O73" authorId="0" shapeId="0" xr:uid="{58A6BBE7-1B75-491F-8E5D-4BB60D089E17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12"/>
            <color indexed="81"/>
            <rFont val="Tahoma"/>
            <family val="2"/>
          </rPr>
          <t>Inv 52443  3,000 pcs 12/18/24
Inv 52463  6,000 pcs 01/08/25
Inv 52514  6,000 pcs 02/04/25
Inv 52551  4,500 pcs 02/25/25
Inv 52731  3,000 pcs 05/06/25
Inv 52744  3,000 pcs 05/20825</t>
        </r>
      </text>
    </comment>
    <comment ref="Q73" authorId="0" shapeId="0" xr:uid="{7A80A84D-24DF-4809-8DD6-5B5DCE26F581}">
      <text>
        <r>
          <rPr>
            <b/>
            <sz val="12"/>
            <color indexed="81"/>
            <rFont val="Vandra"/>
          </rPr>
          <t xml:space="preserve">3000- pcs         shipped 12/18/24
6000-pcs          shipped  01/08/25
6000- pcs         shipped  02/04/25
4500- pcs        shipped   02/25/25
3000- pcs        shipped   05/06/25
3000- pcs        shipped   05/20/25
</t>
        </r>
      </text>
    </comment>
    <comment ref="L75" authorId="0" shapeId="0" xr:uid="{9D47027F-DED5-47AA-BFFD-0611B2F4A529}">
      <text>
        <r>
          <rPr>
            <b/>
            <sz val="14"/>
            <color indexed="81"/>
            <rFont val="Vandra"/>
          </rPr>
          <t>Romania
new PO Rev.1  Recvd jan-31-25  to include Yoke pin replacement tool</t>
        </r>
      </text>
    </comment>
    <comment ref="P75" authorId="0" shapeId="0" xr:uid="{53F1320A-A157-4FF1-A569-3B13475B9190}">
      <text>
        <r>
          <rPr>
            <b/>
            <sz val="11"/>
            <color indexed="81"/>
            <rFont val="Vandra"/>
          </rPr>
          <t>pushed out the Date to March-11-2025</t>
        </r>
      </text>
    </comment>
    <comment ref="L76" authorId="0" shapeId="0" xr:uid="{D1FFD3CE-B7D9-4C30-A1F0-8D4D1CABA2E6}">
      <text>
        <r>
          <rPr>
            <b/>
            <sz val="14"/>
            <color indexed="81"/>
            <rFont val="Vandra"/>
          </rPr>
          <t>Romania</t>
        </r>
      </text>
    </comment>
    <comment ref="L77" authorId="0" shapeId="0" xr:uid="{27FDBE57-68AB-4347-A5D2-B6099CE9F4E8}">
      <text>
        <r>
          <rPr>
            <b/>
            <sz val="14"/>
            <color indexed="81"/>
            <rFont val="Vandra"/>
          </rPr>
          <t>Romania</t>
        </r>
      </text>
    </comment>
    <comment ref="L78" authorId="0" shapeId="0" xr:uid="{93281B1D-5FD8-42E3-BB6A-E8DD4ABD104D}">
      <text>
        <r>
          <rPr>
            <b/>
            <sz val="14"/>
            <color indexed="81"/>
            <rFont val="Vandra"/>
          </rPr>
          <t>Romania</t>
        </r>
      </text>
    </comment>
    <comment ref="L79" authorId="0" shapeId="0" xr:uid="{EBA1FD8D-7BE0-40C2-9451-33313007C172}">
      <text>
        <r>
          <rPr>
            <b/>
            <sz val="14"/>
            <color indexed="81"/>
            <rFont val="Vandra"/>
          </rPr>
          <t>Romania</t>
        </r>
      </text>
    </comment>
    <comment ref="L80" authorId="0" shapeId="0" xr:uid="{B4B638A4-016C-430C-9A4C-448AD5C19E63}">
      <text>
        <r>
          <rPr>
            <b/>
            <sz val="14"/>
            <color indexed="81"/>
            <rFont val="Vandra"/>
          </rPr>
          <t>Romania</t>
        </r>
      </text>
    </comment>
    <comment ref="L81" authorId="0" shapeId="0" xr:uid="{6DC45645-DD92-4C85-80D7-442E5F482F3A}">
      <text>
        <r>
          <rPr>
            <b/>
            <sz val="14"/>
            <color indexed="81"/>
            <rFont val="Vandra"/>
          </rPr>
          <t>Romania</t>
        </r>
      </text>
    </comment>
    <comment ref="L82" authorId="0" shapeId="0" xr:uid="{5241495E-29B8-4ECD-A3E1-4241CCE78659}">
      <text>
        <r>
          <rPr>
            <b/>
            <sz val="14"/>
            <color indexed="81"/>
            <rFont val="Vandra"/>
          </rPr>
          <t>Romania</t>
        </r>
      </text>
    </comment>
    <comment ref="L83" authorId="0" shapeId="0" xr:uid="{7016A95B-E040-4113-AA9F-FAA05250FD37}">
      <text>
        <r>
          <rPr>
            <b/>
            <sz val="14"/>
            <color indexed="81"/>
            <rFont val="Vandra"/>
          </rPr>
          <t>Romania</t>
        </r>
      </text>
    </comment>
    <comment ref="L84" authorId="0" shapeId="0" xr:uid="{9A367F08-869A-4766-835B-491B6739626D}">
      <text>
        <r>
          <rPr>
            <b/>
            <sz val="14"/>
            <color indexed="81"/>
            <rFont val="Vandra"/>
          </rPr>
          <t>Romania</t>
        </r>
      </text>
    </comment>
    <comment ref="L85" authorId="0" shapeId="0" xr:uid="{BDA6D187-46CD-4948-ABD5-CD188637FACA}">
      <text>
        <r>
          <rPr>
            <b/>
            <sz val="14"/>
            <color indexed="81"/>
            <rFont val="Vandra"/>
          </rPr>
          <t>Romania</t>
        </r>
      </text>
    </comment>
    <comment ref="L87" authorId="0" shapeId="0" xr:uid="{2F4F0EB0-74D3-4929-B21F-C61C6A4546D4}">
      <text>
        <r>
          <rPr>
            <b/>
            <sz val="11"/>
            <color indexed="81"/>
            <rFont val="Vandra"/>
          </rPr>
          <t>Qinshan-  original PO Recvd
Jan-7-2025-  Same as J# 71669 for Fro Romania</t>
        </r>
      </text>
    </comment>
    <comment ref="L89" authorId="0" shapeId="0" xr:uid="{F32BBF41-BC20-4B0C-9A4A-504D39792C46}">
      <text>
        <r>
          <rPr>
            <b/>
            <sz val="12"/>
            <color indexed="81"/>
            <rFont val="Vandra"/>
          </rPr>
          <t>Romania</t>
        </r>
      </text>
    </comment>
    <comment ref="L94" authorId="0" shapeId="0" xr:uid="{40F48B2F-52CC-4D02-B577-AB964D556DC6}">
      <text>
        <r>
          <rPr>
            <b/>
            <sz val="11"/>
            <color indexed="81"/>
            <rFont val="Vandra"/>
          </rPr>
          <t>Qinshan</t>
        </r>
      </text>
    </comment>
    <comment ref="L95" authorId="0" shapeId="0" xr:uid="{090B1C3F-9A59-490C-B99B-B52B9E7ADF04}">
      <text>
        <r>
          <rPr>
            <b/>
            <sz val="11"/>
            <color indexed="81"/>
            <rFont val="Vandra"/>
          </rPr>
          <t>Qinshan</t>
        </r>
      </text>
    </comment>
    <comment ref="L96" authorId="0" shapeId="0" xr:uid="{860E3621-C2CE-4602-9B8D-D90CE0551C0B}">
      <text>
        <r>
          <rPr>
            <b/>
            <sz val="11"/>
            <color indexed="81"/>
            <rFont val="Vandra"/>
          </rPr>
          <t>Qinshan</t>
        </r>
      </text>
    </comment>
    <comment ref="L97" authorId="0" shapeId="0" xr:uid="{2EE63B9B-3F8E-471E-8A5B-5ED8CFB18676}">
      <text>
        <r>
          <rPr>
            <b/>
            <sz val="11"/>
            <color indexed="81"/>
            <rFont val="Vandra"/>
          </rPr>
          <t>Qinshan</t>
        </r>
      </text>
    </comment>
    <comment ref="L98" authorId="0" shapeId="0" xr:uid="{060AAA6A-230A-49D1-8E74-993C21870055}">
      <text>
        <r>
          <rPr>
            <b/>
            <sz val="11"/>
            <color indexed="81"/>
            <rFont val="Vandra"/>
          </rPr>
          <t>Qinshan</t>
        </r>
      </text>
    </comment>
    <comment ref="L99" authorId="0" shapeId="0" xr:uid="{505A4608-A7C6-40DC-8734-7CE109859F53}">
      <text>
        <r>
          <rPr>
            <b/>
            <sz val="11"/>
            <color indexed="81"/>
            <rFont val="Vandra"/>
          </rPr>
          <t>Qinshan</t>
        </r>
      </text>
    </comment>
    <comment ref="L100" authorId="0" shapeId="0" xr:uid="{AF101491-095B-434E-BD83-F8EED6FFD9BB}">
      <text>
        <r>
          <rPr>
            <b/>
            <sz val="11"/>
            <color indexed="81"/>
            <rFont val="Vandra"/>
          </rPr>
          <t>Qinshan</t>
        </r>
      </text>
    </comment>
    <comment ref="L101" authorId="0" shapeId="0" xr:uid="{C2381392-FB48-4685-BCEB-D943937F1156}">
      <text>
        <r>
          <rPr>
            <b/>
            <sz val="11"/>
            <color indexed="81"/>
            <rFont val="Vandra"/>
          </rPr>
          <t>Qinshan</t>
        </r>
      </text>
    </comment>
    <comment ref="L102" authorId="0" shapeId="0" xr:uid="{89E9833B-F8BB-41D7-9DF6-F99990AC6359}">
      <text>
        <r>
          <rPr>
            <b/>
            <sz val="11"/>
            <color indexed="81"/>
            <rFont val="Vandra"/>
          </rPr>
          <t>Qinshan</t>
        </r>
      </text>
    </comment>
    <comment ref="L103" authorId="0" shapeId="0" xr:uid="{C0026E05-F98A-4771-A096-701B8714F65C}">
      <text>
        <r>
          <rPr>
            <b/>
            <sz val="11"/>
            <color indexed="81"/>
            <rFont val="Vandra"/>
          </rPr>
          <t>Qinshan</t>
        </r>
      </text>
    </comment>
    <comment ref="L104" authorId="0" shapeId="0" xr:uid="{6CD58867-B532-461D-8E2F-DD9756CE5C91}">
      <text>
        <r>
          <rPr>
            <b/>
            <sz val="11"/>
            <color indexed="81"/>
            <rFont val="Vandra"/>
          </rPr>
          <t>Qinshan</t>
        </r>
      </text>
    </comment>
    <comment ref="L105" authorId="0" shapeId="0" xr:uid="{4A1BE7D0-11E8-45A6-B74F-F50A475AD946}">
      <text>
        <r>
          <rPr>
            <b/>
            <sz val="11"/>
            <color indexed="81"/>
            <rFont val="Vandra"/>
          </rPr>
          <t>Qinshan</t>
        </r>
      </text>
    </comment>
    <comment ref="L106" authorId="0" shapeId="0" xr:uid="{53D30CDC-62D5-46A1-9825-C5FD6EDAECE2}">
      <text>
        <r>
          <rPr>
            <b/>
            <sz val="11"/>
            <color indexed="81"/>
            <rFont val="Vandra"/>
          </rPr>
          <t>Qinshan</t>
        </r>
      </text>
    </comment>
    <comment ref="L107" authorId="0" shapeId="0" xr:uid="{B1EE2777-93FA-4ACC-AB37-7C512DD4A04B}">
      <text>
        <r>
          <rPr>
            <b/>
            <sz val="11"/>
            <color indexed="81"/>
            <rFont val="Vandra"/>
          </rPr>
          <t>Qinshan</t>
        </r>
      </text>
    </comment>
    <comment ref="L108" authorId="0" shapeId="0" xr:uid="{F3DD327A-5957-41D0-8DBB-6EAC76817466}">
      <text>
        <r>
          <rPr>
            <b/>
            <sz val="11"/>
            <color indexed="81"/>
            <rFont val="Vandra"/>
          </rPr>
          <t>Qinshan</t>
        </r>
      </text>
    </comment>
    <comment ref="L109" authorId="0" shapeId="0" xr:uid="{2ABEFB8E-9396-44BD-8C75-66D13396261F}">
      <text>
        <r>
          <rPr>
            <b/>
            <sz val="11"/>
            <color indexed="81"/>
            <rFont val="Vandra"/>
          </rPr>
          <t>Qinshan</t>
        </r>
      </text>
    </comment>
    <comment ref="L111" authorId="0" shapeId="0" xr:uid="{36CC95D7-99E1-443B-8C91-10E0EAE13B24}">
      <text>
        <r>
          <rPr>
            <b/>
            <sz val="11"/>
            <color indexed="81"/>
            <rFont val="Vandra"/>
          </rPr>
          <t>Qinshan</t>
        </r>
      </text>
    </comment>
    <comment ref="P111" authorId="0" shapeId="0" xr:uid="{C449C933-198C-4368-A8B3-354EB3E27DEA}">
      <text>
        <r>
          <rPr>
            <b/>
            <sz val="11"/>
            <color indexed="81"/>
            <rFont val="Vandra"/>
          </rPr>
          <t>Original PO Date Was March-28-2024, Changed to April-4-25 Due to Christmas Shutdown</t>
        </r>
      </text>
    </comment>
    <comment ref="F117" authorId="0" shapeId="0" xr:uid="{71CB4168-7019-4B9D-B8E5-E7856ADF485E}">
      <text>
        <r>
          <rPr>
            <b/>
            <sz val="11"/>
            <color indexed="81"/>
            <rFont val="Vandra"/>
          </rPr>
          <t>New Rev.2 recvd May-22-25- Confirmation to proceed per Quote
LP-250522-Rev.1</t>
        </r>
      </text>
    </comment>
    <comment ref="K117" authorId="0" shapeId="0" xr:uid="{DECCF2D6-0C15-499C-8BDF-096AFF030A7F}">
      <text>
        <r>
          <rPr>
            <b/>
            <sz val="11"/>
            <color indexed="81"/>
            <rFont val="Vandra"/>
          </rPr>
          <t xml:space="preserve">Additional Cost for Rev.2 $ 778 each
July-4-25- approval of Quote # LP-250620  Additiona cost for BOM # 11
Starette 674-4 being obsolete
</t>
        </r>
      </text>
    </comment>
    <comment ref="L117" authorId="0" shapeId="0" xr:uid="{F0EEA8F1-904F-4D47-A640-1574B9D5E129}">
      <text>
        <r>
          <rPr>
            <b/>
            <sz val="11"/>
            <color indexed="81"/>
            <rFont val="Vandra"/>
          </rPr>
          <t>Romania</t>
        </r>
      </text>
    </comment>
    <comment ref="P117" authorId="0" shapeId="0" xr:uid="{AF19361D-3CCF-408A-AE32-E8FA6851EE1C}">
      <text>
        <r>
          <rPr>
            <b/>
            <sz val="11"/>
            <color indexed="81"/>
            <rFont val="Vandra"/>
          </rPr>
          <t>Original PO Date Was April-11-25, but revised to April-22-25 due to Christmas Shutdown.
May-23-25- New Quote LP-250525- Rev.1 Accepted for additional items with a 8-10 Weeks Delivery</t>
        </r>
      </text>
    </comment>
    <comment ref="L119" authorId="0" shapeId="0" xr:uid="{F84A3D21-AF59-47E8-9F2A-D739BE86C0A3}">
      <text>
        <r>
          <rPr>
            <b/>
            <sz val="11"/>
            <color indexed="81"/>
            <rFont val="Vandra"/>
          </rPr>
          <t>Romania</t>
        </r>
      </text>
    </comment>
    <comment ref="L120" authorId="0" shapeId="0" xr:uid="{041C7334-FEFF-4E63-A5D6-EE9CDA7DDF29}">
      <text>
        <r>
          <rPr>
            <b/>
            <sz val="11"/>
            <color indexed="81"/>
            <rFont val="Vandra"/>
          </rPr>
          <t>Romania</t>
        </r>
      </text>
    </comment>
    <comment ref="D121" authorId="0" shapeId="0" xr:uid="{D04B3048-B805-41D9-8BF2-6A9418422AC7}">
      <text>
        <r>
          <rPr>
            <b/>
            <sz val="11"/>
            <color indexed="81"/>
            <rFont val="Vandra"/>
          </rPr>
          <t>Qty increased per e-mail from Laila June-4-2025- and PO Rev.1
June-6-25- AS per conference Sherry said the QTY on the BOM it#7 only showed 1-pcs but in fact they require 2- pcs per each assy</t>
        </r>
      </text>
    </comment>
    <comment ref="L121" authorId="0" shapeId="0" xr:uid="{10EDD987-A7A8-4781-97B0-E407CE9203E1}">
      <text>
        <r>
          <rPr>
            <b/>
            <sz val="12"/>
            <color indexed="81"/>
            <rFont val="Vandra"/>
          </rPr>
          <t>Romania</t>
        </r>
      </text>
    </comment>
    <comment ref="L123" authorId="0" shapeId="0" xr:uid="{B4F3F2E3-F191-4D13-A41E-9E28B77BDAE4}">
      <text>
        <r>
          <rPr>
            <b/>
            <sz val="11"/>
            <color indexed="81"/>
            <rFont val="Vandra"/>
          </rPr>
          <t xml:space="preserve">Romania
</t>
        </r>
      </text>
    </comment>
    <comment ref="K126" authorId="0" shapeId="0" xr:uid="{8D55A55F-981D-48A2-80BE-DAA8AAA59417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Original Cost $ 19,076 + 4,444</t>
        </r>
      </text>
    </comment>
    <comment ref="L126" authorId="0" shapeId="0" xr:uid="{581E8C51-721C-4D97-BC4C-D24C5FDB8CAB}">
      <text>
        <r>
          <rPr>
            <b/>
            <sz val="11"/>
            <color indexed="81"/>
            <rFont val="Vandra"/>
          </rPr>
          <t xml:space="preserve">Qinshan
New PO Rev.1 Recvd May-30-25
</t>
        </r>
      </text>
    </comment>
    <comment ref="L128" authorId="0" shapeId="0" xr:uid="{84B53ED7-FB0D-41D5-B223-03C0562EF60E}">
      <text>
        <r>
          <rPr>
            <b/>
            <sz val="11"/>
            <color indexed="81"/>
            <rFont val="Vandra"/>
          </rPr>
          <t>Qinshan</t>
        </r>
      </text>
    </comment>
    <comment ref="L129" authorId="0" shapeId="0" xr:uid="{E5B32524-D42E-4DEE-A5D4-A13772E0A72E}">
      <text>
        <r>
          <rPr>
            <b/>
            <sz val="11"/>
            <color indexed="81"/>
            <rFont val="Vandra"/>
          </rPr>
          <t>Qinshan</t>
        </r>
      </text>
    </comment>
    <comment ref="L130" authorId="0" shapeId="0" xr:uid="{B0DB7972-6FA5-40B6-94AF-8B3221F5AA21}">
      <text>
        <r>
          <rPr>
            <b/>
            <sz val="11"/>
            <color indexed="81"/>
            <rFont val="Vandra"/>
          </rPr>
          <t>Qinshan</t>
        </r>
      </text>
    </comment>
    <comment ref="L131" authorId="0" shapeId="0" xr:uid="{47FBBA98-DBC8-47C7-9D62-CB68770DB3E6}">
      <text>
        <r>
          <rPr>
            <b/>
            <sz val="11"/>
            <color indexed="81"/>
            <rFont val="Vandra"/>
          </rPr>
          <t>Qinshan</t>
        </r>
      </text>
    </comment>
    <comment ref="L132" authorId="0" shapeId="0" xr:uid="{AA31D99E-E195-40E7-AFE9-EF650CDCCBAD}">
      <text>
        <r>
          <rPr>
            <b/>
            <sz val="11"/>
            <color indexed="81"/>
            <rFont val="Vandra"/>
          </rPr>
          <t>Qinshan</t>
        </r>
      </text>
    </comment>
    <comment ref="L133" authorId="0" shapeId="0" xr:uid="{AE5A1F42-BF43-4A46-992C-986269BA26C1}">
      <text>
        <r>
          <rPr>
            <b/>
            <sz val="11"/>
            <color indexed="81"/>
            <rFont val="Vandra"/>
          </rPr>
          <t>Qinshan</t>
        </r>
      </text>
    </comment>
    <comment ref="L134" authorId="0" shapeId="0" xr:uid="{B3170F5C-983F-4032-BC58-4382B67F0DBE}">
      <text>
        <r>
          <rPr>
            <b/>
            <sz val="11"/>
            <color indexed="81"/>
            <rFont val="Vandra"/>
          </rPr>
          <t>Qinshan</t>
        </r>
      </text>
    </comment>
    <comment ref="L135" authorId="0" shapeId="0" xr:uid="{1726846E-D3E6-4706-A654-CB19563AC180}">
      <text>
        <r>
          <rPr>
            <b/>
            <sz val="11"/>
            <color indexed="81"/>
            <rFont val="Vandra"/>
          </rPr>
          <t>Qinshan</t>
        </r>
      </text>
    </comment>
    <comment ref="L136" authorId="0" shapeId="0" xr:uid="{07ADFB65-A438-4A21-AAB3-8A8D9BD32B87}">
      <text>
        <r>
          <rPr>
            <b/>
            <sz val="11"/>
            <color indexed="81"/>
            <rFont val="Vandra"/>
          </rPr>
          <t>Qinshan</t>
        </r>
      </text>
    </comment>
    <comment ref="L137" authorId="0" shapeId="0" xr:uid="{E460C005-1BF7-4FA2-8A2D-A5325E1E12F3}">
      <text>
        <r>
          <rPr>
            <b/>
            <sz val="11"/>
            <color indexed="81"/>
            <rFont val="Vandra"/>
          </rPr>
          <t>Qinshan</t>
        </r>
      </text>
    </comment>
    <comment ref="L138" authorId="0" shapeId="0" xr:uid="{320C2F0D-E6ED-4856-870D-7E5FC3C2740A}">
      <text>
        <r>
          <rPr>
            <b/>
            <sz val="11"/>
            <color indexed="81"/>
            <rFont val="Vandra"/>
          </rPr>
          <t>Qinshan</t>
        </r>
      </text>
    </comment>
    <comment ref="L140" authorId="0" shapeId="0" xr:uid="{E77CD91F-C468-4FA3-B336-7FC6C3013E94}">
      <text>
        <r>
          <rPr>
            <b/>
            <sz val="11"/>
            <color indexed="81"/>
            <rFont val="Vandra"/>
          </rPr>
          <t>Qinshan</t>
        </r>
      </text>
    </comment>
    <comment ref="B141" authorId="0" shapeId="0" xr:uid="{87B54BC4-DC42-4095-BACD-353855B152EF}">
      <text/>
    </comment>
    <comment ref="L150" authorId="0" shapeId="0" xr:uid="{C87FF524-3FD1-4678-83D7-5D0F38F2AB20}">
      <text>
        <r>
          <rPr>
            <b/>
            <sz val="12"/>
            <color indexed="81"/>
            <rFont val="Vandra"/>
          </rPr>
          <t xml:space="preserve">Qinshan
New Rev.1 Recvd June-19/25
</t>
        </r>
      </text>
    </comment>
    <comment ref="L151" authorId="0" shapeId="0" xr:uid="{21C73E3D-8C7D-4A7C-AA03-8C71DD7504A3}">
      <text>
        <r>
          <rPr>
            <b/>
            <sz val="12"/>
            <color indexed="81"/>
            <rFont val="Vandra"/>
          </rPr>
          <t>Qinshan</t>
        </r>
      </text>
    </comment>
    <comment ref="D152" authorId="0" shapeId="0" xr:uid="{E35E530B-8A15-4634-A390-2721ED58E7CE}">
      <text>
        <r>
          <rPr>
            <b/>
            <sz val="11"/>
            <color indexed="81"/>
            <rFont val="Vandra"/>
          </rPr>
          <t>Qty increased per e-mail from Laila June-4-2025-  Change order to follow
June-6-25- AS per conference Sherry said the QTY on the BOM it#7 only showed 1-pcs
but in fact they require2- pcs per each assy</t>
        </r>
      </text>
    </comment>
    <comment ref="L152" authorId="0" shapeId="0" xr:uid="{7CA2F8DF-4DAF-45FD-ADA6-FF9969AA25C9}">
      <text>
        <r>
          <rPr>
            <b/>
            <sz val="12"/>
            <color indexed="81"/>
            <rFont val="Vandra"/>
          </rPr>
          <t>Qinshan</t>
        </r>
      </text>
    </comment>
    <comment ref="L156" authorId="0" shapeId="0" xr:uid="{2169334D-79C9-4F8B-8BAB-CEC0189CEE36}">
      <text>
        <r>
          <rPr>
            <b/>
            <sz val="12"/>
            <color indexed="81"/>
            <rFont val="Vandra"/>
          </rPr>
          <t>Qinshan</t>
        </r>
      </text>
    </comment>
    <comment ref="L157" authorId="0" shapeId="0" xr:uid="{D1EC65B0-A575-487F-9054-326C880231B8}">
      <text>
        <r>
          <rPr>
            <b/>
            <sz val="12"/>
            <color indexed="81"/>
            <rFont val="Vandra"/>
          </rPr>
          <t>Qinshan</t>
        </r>
      </text>
    </comment>
    <comment ref="L158" authorId="0" shapeId="0" xr:uid="{FCF5AD2F-F8F9-476A-8741-752F888B13FC}">
      <text>
        <r>
          <rPr>
            <b/>
            <sz val="12"/>
            <color indexed="81"/>
            <rFont val="Vandra"/>
          </rPr>
          <t>Qinshan</t>
        </r>
      </text>
    </comment>
    <comment ref="L159" authorId="0" shapeId="0" xr:uid="{E40B2620-8DAD-491F-B770-9F40786CF76C}">
      <text>
        <r>
          <rPr>
            <b/>
            <sz val="12"/>
            <color indexed="81"/>
            <rFont val="Vandra"/>
          </rPr>
          <t>Qinshan</t>
        </r>
      </text>
    </comment>
    <comment ref="F165" authorId="0" shapeId="0" xr:uid="{E0449A92-2D7B-4437-841A-D33D232885A0}">
      <text>
        <r>
          <rPr>
            <b/>
            <sz val="11"/>
            <color indexed="81"/>
            <rFont val="Vandra"/>
          </rPr>
          <t xml:space="preserve">New Rev 01 Recvd
June-6-25
</t>
        </r>
      </text>
    </comment>
    <comment ref="L167" authorId="0" shapeId="0" xr:uid="{122A4DAC-293A-45FC-8D0F-D7ED6AD3BD70}">
      <text>
        <r>
          <rPr>
            <b/>
            <sz val="12"/>
            <color indexed="81"/>
            <rFont val="Vandra"/>
          </rPr>
          <t>Romania</t>
        </r>
      </text>
    </comment>
    <comment ref="L168" authorId="0" shapeId="0" xr:uid="{26CB676C-52A2-4F41-BF9B-CDC4E1CC8444}">
      <text>
        <r>
          <rPr>
            <b/>
            <sz val="12"/>
            <color indexed="81"/>
            <rFont val="Vandra"/>
          </rPr>
          <t>Romania</t>
        </r>
      </text>
    </comment>
    <comment ref="L169" authorId="0" shapeId="0" xr:uid="{241E0731-A5A3-4DC6-8DF4-D5D2EE2BD6DE}">
      <text>
        <r>
          <rPr>
            <b/>
            <sz val="12"/>
            <color indexed="81"/>
            <rFont val="Vandra"/>
          </rPr>
          <t>Romania</t>
        </r>
      </text>
    </comment>
    <comment ref="L171" authorId="0" shapeId="0" xr:uid="{CF2F7D18-654E-4502-BE04-FA03F26818D5}">
      <text>
        <r>
          <rPr>
            <b/>
            <sz val="12"/>
            <color indexed="81"/>
            <rFont val="Vandra"/>
          </rPr>
          <t>Qinshan- New Rev.2- Revcd June-11-25</t>
        </r>
      </text>
    </comment>
    <comment ref="L172" authorId="0" shapeId="0" xr:uid="{AC0671A5-7B88-4296-97D6-BA59B826DDB9}">
      <text>
        <r>
          <rPr>
            <b/>
            <sz val="12"/>
            <color indexed="81"/>
            <rFont val="Vandra"/>
          </rPr>
          <t>Qinshan</t>
        </r>
      </text>
    </comment>
    <comment ref="L173" authorId="0" shapeId="0" xr:uid="{4ADCBC17-494D-4583-B5C9-3D31875EB276}">
      <text>
        <r>
          <rPr>
            <b/>
            <sz val="12"/>
            <color indexed="81"/>
            <rFont val="Vandra"/>
          </rPr>
          <t>Qinshan</t>
        </r>
      </text>
    </comment>
    <comment ref="C180" authorId="0" shapeId="0" xr:uid="{CCC5933B-321E-4F33-9CA1-D0CF081EABC8}">
      <text>
        <r>
          <rPr>
            <b/>
            <sz val="11"/>
            <color indexed="81"/>
            <rFont val="Vandra"/>
          </rPr>
          <t xml:space="preserve">made for TMU , but Metonics will be paying per Olivier May-2-25
</t>
        </r>
      </text>
    </comment>
    <comment ref="K188" authorId="0" shapeId="0" xr:uid="{D43DA42E-34CF-4C81-BF28-8DBF95603505}">
      <text>
        <r>
          <rPr>
            <b/>
            <sz val="12"/>
            <color indexed="81"/>
            <rFont val="Vandra"/>
          </rPr>
          <t xml:space="preserve">new pricing reflects discount given for both RT79 &amp; RT 98 projects </t>
        </r>
      </text>
    </comment>
    <comment ref="L188" authorId="0" shapeId="0" xr:uid="{CC62FD79-5412-4AB6-A24A-66E025DD8640}">
      <text>
        <r>
          <rPr>
            <b/>
            <sz val="12"/>
            <color indexed="81"/>
            <rFont val="Vandra"/>
          </rPr>
          <t>Romania</t>
        </r>
      </text>
    </comment>
    <comment ref="P188" authorId="0" shapeId="0" xr:uid="{FB445ED0-030D-481B-8C9B-414CA91FCBD2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89" authorId="0" shapeId="0" xr:uid="{233F0F03-FAA5-4A09-9819-DA21A86C602C}">
      <text>
        <r>
          <rPr>
            <b/>
            <sz val="12"/>
            <color indexed="81"/>
            <rFont val="Vandra"/>
          </rPr>
          <t>Romania</t>
        </r>
      </text>
    </comment>
    <comment ref="P189" authorId="0" shapeId="0" xr:uid="{7DBB06D7-836D-44B1-B0CA-64B332E52935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90" authorId="0" shapeId="0" xr:uid="{975B6AEB-B537-42A7-A3CC-1FC0FD3458A5}">
      <text>
        <r>
          <rPr>
            <b/>
            <sz val="12"/>
            <color indexed="81"/>
            <rFont val="Vandra"/>
          </rPr>
          <t>Romania</t>
        </r>
      </text>
    </comment>
    <comment ref="P190" authorId="0" shapeId="0" xr:uid="{5FFBA726-B19A-4DA5-85AC-36F359904B9A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91" authorId="0" shapeId="0" xr:uid="{D9C1E474-6636-4198-AA3E-ACFA8F7CD36E}">
      <text>
        <r>
          <rPr>
            <b/>
            <sz val="12"/>
            <color indexed="81"/>
            <rFont val="Vandra"/>
          </rPr>
          <t>Romania</t>
        </r>
      </text>
    </comment>
    <comment ref="P191" authorId="0" shapeId="0" xr:uid="{31252902-D205-4F78-A4E2-182EF9CD6E71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92" authorId="0" shapeId="0" xr:uid="{DD5093A8-4A8B-482F-B514-2C058DDD60B4}">
      <text>
        <r>
          <rPr>
            <b/>
            <sz val="12"/>
            <color indexed="81"/>
            <rFont val="Vandra"/>
          </rPr>
          <t>Romania</t>
        </r>
      </text>
    </comment>
    <comment ref="P192" authorId="0" shapeId="0" xr:uid="{05ADAEE8-4028-46C6-9C6D-847685E26FED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93" authorId="0" shapeId="0" xr:uid="{4B0C91C4-5FF9-41AE-93F9-B8F4E07053D5}">
      <text>
        <r>
          <rPr>
            <b/>
            <sz val="12"/>
            <color indexed="81"/>
            <rFont val="Vandra"/>
          </rPr>
          <t>Romania</t>
        </r>
      </text>
    </comment>
    <comment ref="P193" authorId="0" shapeId="0" xr:uid="{05B6E4BF-4628-4899-9230-2DD867D97635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94" authorId="0" shapeId="0" xr:uid="{57D78F1F-DB78-4683-998A-6A4CF1B8C5A8}">
      <text>
        <r>
          <rPr>
            <b/>
            <sz val="12"/>
            <color indexed="81"/>
            <rFont val="Vandra"/>
          </rPr>
          <t>Romania</t>
        </r>
      </text>
    </comment>
    <comment ref="P194" authorId="0" shapeId="0" xr:uid="{2DB43274-0276-4E2E-A0D5-6EEF212BFF8E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95" authorId="0" shapeId="0" xr:uid="{EB4ACFC5-C8F5-47CF-96DF-49EEF105B0EE}">
      <text>
        <r>
          <rPr>
            <b/>
            <sz val="12"/>
            <color indexed="81"/>
            <rFont val="Vandra"/>
          </rPr>
          <t>Romania</t>
        </r>
      </text>
    </comment>
    <comment ref="P195" authorId="0" shapeId="0" xr:uid="{6F69AE04-1D51-4B8F-8F75-E3F2CF3E6C00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196" authorId="0" shapeId="0" xr:uid="{402442E1-5883-4321-946E-D1AACD39585D}">
      <text>
        <r>
          <rPr>
            <b/>
            <sz val="12"/>
            <color indexed="81"/>
            <rFont val="Vandra"/>
          </rPr>
          <t>Romania</t>
        </r>
      </text>
    </comment>
    <comment ref="P196" authorId="0" shapeId="0" xr:uid="{F0B4DA6E-2CCB-4EE7-9947-C56E27D2B67F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F198" authorId="0" shapeId="0" xr:uid="{CA129DD9-AF4F-4389-88D0-206B3005D5EC}">
      <text>
        <r>
          <rPr>
            <b/>
            <sz val="11"/>
            <color indexed="81"/>
            <rFont val="Vandra"/>
          </rPr>
          <t>New Rev 01 Recvd
June-6-25</t>
        </r>
      </text>
    </comment>
    <comment ref="E200" authorId="0" shapeId="0" xr:uid="{DFC6CE42-75F6-4101-ABB3-80D9C13C1DE1}">
      <text>
        <r>
          <rPr>
            <b/>
            <sz val="11"/>
            <color indexed="81"/>
            <rFont val="Vandra"/>
          </rPr>
          <t>Previously Quoted and McMaster # 9056K87 was supposed to be supplied F/I by Kinectrics, but on June-9-2025 Phone Conversation Paul D. wanted RTD to supply the Mcmaster Part, at an additional cost of $ 431.18 as per Steve</t>
        </r>
      </text>
    </comment>
    <comment ref="K209" authorId="0" shapeId="0" xr:uid="{AD8DC57D-DAAA-4C6E-8C19-79AD9B7517BC}">
      <text>
        <r>
          <rPr>
            <b/>
            <sz val="12"/>
            <color indexed="81"/>
            <rFont val="Vandra"/>
          </rPr>
          <t xml:space="preserve">new pricing reflects discount given for both RT79 &amp; RT 98 projects </t>
        </r>
      </text>
    </comment>
    <comment ref="L209" authorId="0" shapeId="0" xr:uid="{30DC950C-96AC-4A59-AF9A-756B21F9F4A6}">
      <text>
        <r>
          <rPr>
            <b/>
            <sz val="12"/>
            <color indexed="81"/>
            <rFont val="Vandra"/>
          </rPr>
          <t>Qinshan</t>
        </r>
      </text>
    </comment>
    <comment ref="P209" authorId="0" shapeId="0" xr:uid="{FB13F635-5066-4D1A-B6D4-1B8FF8513A10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0" authorId="0" shapeId="0" xr:uid="{B395022B-AFF9-45F2-91DD-98DC7BCDC5E0}">
      <text>
        <r>
          <rPr>
            <b/>
            <sz val="12"/>
            <color indexed="81"/>
            <rFont val="Vandra"/>
          </rPr>
          <t>Qinshan</t>
        </r>
      </text>
    </comment>
    <comment ref="P210" authorId="0" shapeId="0" xr:uid="{CDD41295-BB74-474A-8342-DE753A1E8AAF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1" authorId="0" shapeId="0" xr:uid="{57A476C3-3040-4277-AE57-A1F88252872C}">
      <text>
        <r>
          <rPr>
            <b/>
            <sz val="12"/>
            <color indexed="81"/>
            <rFont val="Vandra"/>
          </rPr>
          <t>Qinshan</t>
        </r>
      </text>
    </comment>
    <comment ref="P211" authorId="0" shapeId="0" xr:uid="{C9E2C9B3-3FFC-4291-AC34-58027BF4379A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2" authorId="0" shapeId="0" xr:uid="{DDDC9C59-67A2-402C-BD94-E6B79D70765E}">
      <text>
        <r>
          <rPr>
            <b/>
            <sz val="12"/>
            <color indexed="81"/>
            <rFont val="Vandra"/>
          </rPr>
          <t>Qinshan</t>
        </r>
      </text>
    </comment>
    <comment ref="P212" authorId="0" shapeId="0" xr:uid="{CE2C94A8-F3D0-4E1E-A0C4-119BF105ED34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3" authorId="0" shapeId="0" xr:uid="{9285F80E-0FCE-4DE4-90ED-F604ED24EF27}">
      <text>
        <r>
          <rPr>
            <b/>
            <sz val="12"/>
            <color indexed="81"/>
            <rFont val="Vandra"/>
          </rPr>
          <t>Qinshan</t>
        </r>
      </text>
    </comment>
    <comment ref="P213" authorId="0" shapeId="0" xr:uid="{20E5B271-E610-4CAA-8D23-C1D903C439AA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4" authorId="0" shapeId="0" xr:uid="{BC85384E-17BC-4E9C-A11A-22800DBBACD5}">
      <text>
        <r>
          <rPr>
            <b/>
            <sz val="12"/>
            <color indexed="81"/>
            <rFont val="Vandra"/>
          </rPr>
          <t>Qinshan</t>
        </r>
      </text>
    </comment>
    <comment ref="P214" authorId="0" shapeId="0" xr:uid="{24558F2A-39DF-4942-8AC9-CD6907D53F4F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5" authorId="0" shapeId="0" xr:uid="{B1E15FB9-BEB2-4CFC-8679-806B7F260608}">
      <text>
        <r>
          <rPr>
            <b/>
            <sz val="12"/>
            <color indexed="81"/>
            <rFont val="Vandra"/>
          </rPr>
          <t>Qinshan</t>
        </r>
      </text>
    </comment>
    <comment ref="P215" authorId="0" shapeId="0" xr:uid="{F8227409-AB63-4FDD-908D-9C81910C8830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6" authorId="0" shapeId="0" xr:uid="{655667FE-1435-4968-BC37-FFFAC1A28F3A}">
      <text>
        <r>
          <rPr>
            <b/>
            <sz val="12"/>
            <color indexed="81"/>
            <rFont val="Vandra"/>
          </rPr>
          <t>Qinshan</t>
        </r>
      </text>
    </comment>
    <comment ref="P216" authorId="0" shapeId="0" xr:uid="{79DFAE60-BE3B-443E-9348-FD86EC91023B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L217" authorId="0" shapeId="0" xr:uid="{37BE0759-6FC0-4308-B394-4FE7B105558F}">
      <text>
        <r>
          <rPr>
            <b/>
            <sz val="12"/>
            <color indexed="81"/>
            <rFont val="Vandra"/>
          </rPr>
          <t>Qinshan</t>
        </r>
      </text>
    </comment>
    <comment ref="P217" authorId="0" shapeId="0" xr:uid="{0003B45C-32A0-4C59-B9D4-C8DF95399BE3}">
      <text>
        <r>
          <rPr>
            <b/>
            <sz val="12"/>
            <color indexed="81"/>
            <rFont val="Vandra"/>
          </rPr>
          <t xml:space="preserve">Original PO Date was Oct-17-2025, but recvd PO Rev.2- on Mar-19-2025-  added RT 98 PO with discounts so the delivery date updated to Nov-24-25
</t>
        </r>
      </text>
    </comment>
    <comment ref="F222" authorId="0" shapeId="0" xr:uid="{191BDB2C-5074-4CE0-8D56-647A1CD05D25}">
      <text>
        <r>
          <rPr>
            <b/>
            <sz val="11"/>
            <color indexed="81"/>
            <rFont val="Vandra"/>
          </rPr>
          <t>New Rev. AB recvd June-27-25</t>
        </r>
      </text>
    </comment>
    <comment ref="M222" authorId="0" shapeId="0" xr:uid="{86AB27FA-F2EE-4B45-87BD-2FE57A193B80}">
      <text>
        <r>
          <rPr>
            <b/>
            <sz val="11"/>
            <color indexed="81"/>
            <rFont val="Vandra"/>
          </rPr>
          <t>2-pcs PS#  44584</t>
        </r>
      </text>
    </comment>
    <comment ref="N222" authorId="0" shapeId="0" xr:uid="{C3150921-548D-430F-952E-3F6655405549}">
      <text>
        <r>
          <rPr>
            <b/>
            <sz val="11"/>
            <color indexed="81"/>
            <rFont val="Vandra"/>
          </rPr>
          <t>2- pcs shipped</t>
        </r>
      </text>
    </comment>
    <comment ref="Q222" authorId="0" shapeId="0" xr:uid="{58CCFDFC-DBFB-496A-AE04-F384052BC2AF}">
      <text>
        <r>
          <rPr>
            <b/>
            <sz val="11"/>
            <color indexed="81"/>
            <rFont val="Vandra"/>
          </rPr>
          <t>2-pcs - ship'd   July-11-25</t>
        </r>
      </text>
    </comment>
    <comment ref="L224" authorId="0" shapeId="0" xr:uid="{879FB27C-0B56-45A5-A1BC-F2750648CFB4}">
      <text>
        <r>
          <rPr>
            <b/>
            <sz val="12"/>
            <color indexed="81"/>
            <rFont val="Vandra"/>
          </rPr>
          <t>Qinshan
same as 71632-71633</t>
        </r>
      </text>
    </comment>
    <comment ref="P229" authorId="0" shapeId="0" xr:uid="{98C34052-08B4-4F1D-BDCF-123EE6974B80}">
      <text>
        <r>
          <rPr>
            <b/>
            <sz val="11"/>
            <color indexed="81"/>
            <rFont val="Vandra"/>
          </rPr>
          <t xml:space="preserve">Delivery Dates Changed by PO Rev.14 recvd  May28/25
</t>
        </r>
      </text>
    </comment>
    <comment ref="K230" authorId="0" shapeId="0" xr:uid="{DBF01921-50AD-4148-9E84-1EFEF0F466B9}">
      <text>
        <r>
          <rPr>
            <b/>
            <sz val="11"/>
            <color indexed="81"/>
            <rFont val="Vandra"/>
          </rPr>
          <t>Added Cost for Leak Testing</t>
        </r>
      </text>
    </comment>
    <comment ref="L236" authorId="0" shapeId="0" xr:uid="{16C4A32A-A7EE-47DA-982D-06E7B4EF4B84}">
      <text>
        <r>
          <rPr>
            <b/>
            <sz val="12"/>
            <color indexed="81"/>
            <rFont val="Vandra"/>
          </rPr>
          <t>Romania</t>
        </r>
      </text>
    </comment>
    <comment ref="L249" authorId="0" shapeId="0" xr:uid="{69B86240-BB8A-42CF-B415-6E99504AE019}">
      <text>
        <r>
          <rPr>
            <b/>
            <sz val="12"/>
            <color indexed="81"/>
            <rFont val="Vandra"/>
          </rPr>
          <t>Romania</t>
        </r>
      </text>
    </comment>
    <comment ref="F261" authorId="0" shapeId="0" xr:uid="{F82ABF1C-18CD-4C1A-AF96-13556456B31C}">
      <text>
        <r>
          <rPr>
            <b/>
            <sz val="11"/>
            <color indexed="81"/>
            <rFont val="Vandra"/>
          </rPr>
          <t>New Rev AC recvd- May-9-2025
New Rev AD Recvd- May-13-25</t>
        </r>
      </text>
    </comment>
    <comment ref="L261" authorId="0" shapeId="0" xr:uid="{EB7D492E-1091-410B-A8FA-63877747B32F}">
      <text>
        <r>
          <rPr>
            <b/>
            <sz val="11"/>
            <color indexed="81"/>
            <rFont val="Vandra"/>
          </rPr>
          <t>New Terms Negotiated by Olivier
30%- With Order                 $  51,806.10
30%- Net 30 Days                 $  51,806.10
40%- Upon delivery / Net 60 day</t>
        </r>
      </text>
    </comment>
    <comment ref="O261" authorId="0" shapeId="0" xr:uid="{DAA79B2F-F924-4B24-93D3-C5232E728F94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30 % order  Inv 52721  5/6/25</t>
        </r>
      </text>
    </comment>
    <comment ref="F262" authorId="0" shapeId="0" xr:uid="{902DB674-CF08-4363-B1C5-0BAA76C2DC7B}">
      <text>
        <r>
          <rPr>
            <b/>
            <sz val="11"/>
            <color indexed="81"/>
            <rFont val="Vandra"/>
          </rPr>
          <t xml:space="preserve">New Rev.AC recvd May-9-2025
New Rev AD- Recve May-13-25
</t>
        </r>
      </text>
    </comment>
    <comment ref="L264" authorId="0" shapeId="0" xr:uid="{E71077D8-E69D-4AD0-A5CF-6117C3A1BCDE}">
      <text>
        <r>
          <rPr>
            <b/>
            <sz val="11"/>
            <color indexed="81"/>
            <rFont val="Vandra"/>
          </rPr>
          <t xml:space="preserve">I submitted all drawings for this order
May-22-25- Olivier asked Sam to reprint larger drawings and restamp
</t>
        </r>
      </text>
    </comment>
    <comment ref="L267" authorId="0" shapeId="0" xr:uid="{7A6DC9E4-E7B1-4795-86FD-5865B02D5DD4}">
      <text>
        <r>
          <rPr>
            <b/>
            <sz val="11"/>
            <color indexed="81"/>
            <rFont val="Vandra"/>
          </rPr>
          <t>I submitted All Drawing for this order
May-22-25- Olivier asked Sam to reprint larger drawings and re-stamp</t>
        </r>
      </text>
    </comment>
    <comment ref="E277" authorId="0" shapeId="0" xr:uid="{99C2C86A-9E77-4D4E-BA48-7721F84F0660}">
      <text>
        <r>
          <rPr>
            <b/>
            <sz val="11"/>
            <color indexed="81"/>
            <rFont val="Vandra"/>
          </rPr>
          <t>New Dwg Received May-28-25</t>
        </r>
      </text>
    </comment>
    <comment ref="L277" authorId="0" shapeId="0" xr:uid="{2D9DA624-1C11-4EA5-9372-0662A96E2832}">
      <text>
        <r>
          <rPr>
            <b/>
            <sz val="11"/>
            <color indexed="81"/>
            <rFont val="Vandra"/>
          </rPr>
          <t>June-24-25-  Supplier shipped product Via DHL who's on Strike and  shipment is in Limbo ?</t>
        </r>
      </text>
    </comment>
    <comment ref="L281" authorId="0" shapeId="0" xr:uid="{B9555D37-325B-4A99-AE39-AB8E6756F7C6}">
      <text>
        <r>
          <rPr>
            <b/>
            <sz val="11"/>
            <color indexed="81"/>
            <rFont val="Vandra"/>
          </rPr>
          <t>Romania</t>
        </r>
      </text>
    </comment>
    <comment ref="F283" authorId="0" shapeId="0" xr:uid="{88F7B4FC-09F5-461E-96D0-B3968DA80ED0}">
      <text>
        <r>
          <rPr>
            <b/>
            <sz val="11"/>
            <color indexed="81"/>
            <rFont val="Vandra"/>
          </rPr>
          <t>New Rev.1 recvd
May-27-25</t>
        </r>
      </text>
    </comment>
    <comment ref="L283" authorId="0" shapeId="0" xr:uid="{A91CE1F8-89A6-4B02-8098-06C6D35AD861}">
      <text>
        <r>
          <rPr>
            <b/>
            <sz val="11"/>
            <color indexed="81"/>
            <rFont val="Vandra"/>
          </rPr>
          <t>New Rev.5 PO Recvd May-26-25</t>
        </r>
      </text>
    </comment>
    <comment ref="E293" authorId="0" shapeId="0" xr:uid="{E6C3BB29-CDD7-49B3-8570-0DF7D1D86ECC}">
      <text>
        <r>
          <rPr>
            <b/>
            <sz val="11"/>
            <color indexed="81"/>
            <rFont val="Vandra"/>
          </rPr>
          <t xml:space="preserve">Dwg for Ring Only NK30-DCN-35317-0009-001- Rev.01
</t>
        </r>
      </text>
    </comment>
    <comment ref="L295" authorId="0" shapeId="0" xr:uid="{7A44A3A3-CBE1-43F0-B6E9-595FDDF95B29}">
      <text>
        <r>
          <rPr>
            <b/>
            <sz val="11"/>
            <color indexed="81"/>
            <rFont val="Vandra"/>
          </rPr>
          <t>Romania</t>
        </r>
      </text>
    </comment>
    <comment ref="L299" authorId="0" shapeId="0" xr:uid="{ADDC2047-FA0C-41D3-B2BE-AE990E515232}">
      <text>
        <r>
          <rPr>
            <b/>
            <sz val="11"/>
            <color indexed="81"/>
            <rFont val="Vandra"/>
          </rPr>
          <t>New Rev.4- Requesting C of C for purity of Lead pour</t>
        </r>
      </text>
    </comment>
    <comment ref="L303" authorId="0" shapeId="0" xr:uid="{AC8779B4-6F35-4B8F-B25A-B2BB40D0B497}">
      <text>
        <r>
          <rPr>
            <b/>
            <sz val="11"/>
            <color indexed="81"/>
            <rFont val="Vandra"/>
          </rPr>
          <t>Qinshan</t>
        </r>
      </text>
    </comment>
    <comment ref="L308" authorId="0" shapeId="0" xr:uid="{09C94C06-584D-4FF9-BA4E-A4FA042B7D14}">
      <text>
        <r>
          <rPr>
            <b/>
            <sz val="11"/>
            <color indexed="81"/>
            <rFont val="Vandra"/>
          </rPr>
          <t xml:space="preserve">TMR-2025-0054
</t>
        </r>
      </text>
    </comment>
    <comment ref="L310" authorId="0" shapeId="0" xr:uid="{B1C7DCA5-F62D-4318-9C48-9572F41FCC50}">
      <text>
        <r>
          <rPr>
            <b/>
            <sz val="11"/>
            <color indexed="81"/>
            <rFont val="Vandra"/>
          </rPr>
          <t>TMR-2025-0057</t>
        </r>
      </text>
    </comment>
    <comment ref="L314" authorId="0" shapeId="0" xr:uid="{F8A78471-51C3-47A4-959D-116886E3E055}">
      <text>
        <r>
          <rPr>
            <b/>
            <sz val="11"/>
            <color indexed="81"/>
            <rFont val="Vandra"/>
          </rPr>
          <t>TMR-2025-0048</t>
        </r>
      </text>
    </comment>
    <comment ref="E317" authorId="0" shapeId="0" xr:uid="{EC59EDF8-7B7D-43D0-B8B4-BD9B61E9576D}">
      <text>
        <r>
          <rPr>
            <b/>
            <sz val="11"/>
            <color indexed="81"/>
            <rFont val="Vandra"/>
          </rPr>
          <t>on HOLD per Steve for revised PO  June-9-25</t>
        </r>
      </text>
    </comment>
    <comment ref="L317" authorId="0" shapeId="0" xr:uid="{763F627F-4D1B-48B6-A36C-1444C896AE12}">
      <text>
        <r>
          <rPr>
            <b/>
            <sz val="11"/>
            <color indexed="81"/>
            <rFont val="Vandra"/>
          </rPr>
          <t xml:space="preserve">Junr-10-25-  Original Drawing and document misplaced by Steve- Re-issued again SECOND ISSUE </t>
        </r>
      </text>
    </comment>
    <comment ref="E318" authorId="0" shapeId="0" xr:uid="{C8FF31B7-5C4A-449B-B33C-7877DD55C29B}">
      <text>
        <r>
          <rPr>
            <b/>
            <sz val="11"/>
            <color indexed="81"/>
            <rFont val="Vandra"/>
          </rPr>
          <t>approval received to proceed with Revised Pricing  June-9-2025 for $ 443.20</t>
        </r>
      </text>
    </comment>
    <comment ref="K318" authorId="0" shapeId="0" xr:uid="{BD49D835-A832-479E-A125-8B47AF75FEC5}">
      <text>
        <r>
          <rPr>
            <b/>
            <sz val="11"/>
            <color indexed="81"/>
            <rFont val="Vandra"/>
          </rPr>
          <t>Steve Forgot to add the cost of matarial $ 443.20 - E-mailed to Pablo</t>
        </r>
      </text>
    </comment>
    <comment ref="L325" authorId="0" shapeId="0" xr:uid="{417EB6CB-3B64-4018-AAA2-D79E41A3AEDF}">
      <text>
        <r>
          <rPr>
            <b/>
            <sz val="11"/>
            <color indexed="81"/>
            <rFont val="Vandra"/>
          </rPr>
          <t>TMR-2025-0046</t>
        </r>
      </text>
    </comment>
    <comment ref="Q368" authorId="0" shapeId="0" xr:uid="{8FAD9007-67B9-4F9B-908D-019A83F26A0E}">
      <text>
        <r>
          <rPr>
            <b/>
            <sz val="11"/>
            <color indexed="81"/>
            <rFont val="Vandra"/>
          </rPr>
          <t>Shipped Via Purolator# 3355584680861; 
p/u# CPU13042572</t>
        </r>
      </text>
    </comment>
    <comment ref="L385" authorId="0" shapeId="0" xr:uid="{51712D31-2163-4C70-B991-43E09B96CA4E}">
      <text>
        <r>
          <rPr>
            <b/>
            <sz val="11"/>
            <color indexed="81"/>
            <rFont val="Vandra"/>
          </rPr>
          <t>Parts made by Shiny  Ref MQ250606001</t>
        </r>
      </text>
    </comment>
    <comment ref="L396" authorId="0" shapeId="0" xr:uid="{B81C0242-07E5-433D-B889-6A3695A41131}">
      <text>
        <r>
          <rPr>
            <b/>
            <sz val="11"/>
            <color indexed="81"/>
            <rFont val="Vandra"/>
          </rPr>
          <t>Olivier getting these parts made by Shiny Tech
REF: MQ2566002</t>
        </r>
      </text>
    </comment>
    <comment ref="L400" authorId="0" shapeId="0" xr:uid="{771FE2F3-ED42-43A9-B711-5323CE0D68D4}">
      <text>
        <r>
          <rPr>
            <b/>
            <sz val="11"/>
            <color indexed="81"/>
            <rFont val="Vandra"/>
          </rPr>
          <t>Romania</t>
        </r>
      </text>
    </comment>
    <comment ref="L425" authorId="0" shapeId="0" xr:uid="{B4A15ACC-835E-4F1B-9B1B-A92885DF0054}">
      <text>
        <r>
          <rPr>
            <b/>
            <sz val="11"/>
            <color indexed="81"/>
            <rFont val="Vandra"/>
          </rPr>
          <t>TMR-2025-0067</t>
        </r>
      </text>
    </comment>
    <comment ref="E426" authorId="0" shapeId="0" xr:uid="{26CC3A82-3640-4516-B2F3-71387E2B2BBE}">
      <text>
        <r>
          <rPr>
            <b/>
            <sz val="11"/>
            <color indexed="81"/>
            <rFont val="Vandra"/>
          </rPr>
          <t>Exceptions: Mat'l can be Acetal as previously  accepted/ mfg</t>
        </r>
      </text>
    </comment>
    <comment ref="E432" authorId="0" shapeId="0" xr:uid="{1B03DB08-275F-4C1F-9506-80AD28C9DD9F}">
      <text>
        <r>
          <rPr>
            <b/>
            <sz val="11"/>
            <color indexed="81"/>
            <rFont val="Vandra"/>
          </rPr>
          <t>Can be made by RTD with information from Dobco-  if required from Dobco would be 28 Weeks - and they might not make it</t>
        </r>
      </text>
    </comment>
    <comment ref="F436" authorId="0" shapeId="0" xr:uid="{6EB7EB38-98C3-4046-AE88-D53C6DA6B586}">
      <text>
        <r>
          <rPr>
            <b/>
            <sz val="11"/>
            <color indexed="81"/>
            <rFont val="Vandra"/>
          </rPr>
          <t xml:space="preserve">New Rev.1 recvd 
July-7-25
</t>
        </r>
      </text>
    </comment>
  </commentList>
</comments>
</file>

<file path=xl/sharedStrings.xml><?xml version="1.0" encoding="utf-8"?>
<sst xmlns="http://schemas.openxmlformats.org/spreadsheetml/2006/main" count="12901" uniqueCount="3293">
  <si>
    <t>98-35215-PN-R019</t>
  </si>
  <si>
    <t>Link Holder F/I To Sink EDM</t>
  </si>
  <si>
    <t>98-35215-9-1-DD-D</t>
  </si>
  <si>
    <t>87-63500-PN-R010</t>
  </si>
  <si>
    <t>Insert Housing Size 36-NEL-IH-36-00</t>
  </si>
  <si>
    <t>08-63500-0233-01-DD-2</t>
  </si>
  <si>
    <t>Insert Housing Size 24-NEL-IH-24-00</t>
  </si>
  <si>
    <t>Pin Size 16-16 - NEL-PN-00-1616</t>
  </si>
  <si>
    <t>Pin Size 16,20 - NEL-PN-00-1620</t>
  </si>
  <si>
    <t>Contact Clip Size 16- NEL-CC-00-16</t>
  </si>
  <si>
    <t>08-63500-0224-01-DD-2</t>
  </si>
  <si>
    <t>08-63500-0222-01-DD-2</t>
  </si>
  <si>
    <t>08-63500-0229-01-DD-3</t>
  </si>
  <si>
    <t>RT79-88010-PN-R003</t>
  </si>
  <si>
    <t>Helium Leak Test Tool</t>
  </si>
  <si>
    <t>RT-88000-70066-000-1-GA-D</t>
  </si>
  <si>
    <t>Air Motor Socket</t>
  </si>
  <si>
    <t>RT-0055-000-PRT ( Purchase)</t>
  </si>
  <si>
    <t>RT-88000-70047-000-1-GA-D</t>
  </si>
  <si>
    <t>Seal Face Protective Sleeve</t>
  </si>
  <si>
    <t>Candu</t>
  </si>
  <si>
    <t>RT79-87540-PN-R003</t>
  </si>
  <si>
    <t>RT-87540-0206-01-GA-E</t>
  </si>
  <si>
    <t>Removal PA Tool Cart-RT-7538-000-PRT</t>
  </si>
  <si>
    <t>Sheared Pin Punch Tool</t>
  </si>
  <si>
    <t>RT-87540-0112-01-GA-2</t>
  </si>
  <si>
    <t>Punch Pin-  RT-8063-001-PRT</t>
  </si>
  <si>
    <t>RT-87540-0111-01-DD-2</t>
  </si>
  <si>
    <t>Thread Hole Insp Tool  LG- RT-7536-000-PRT</t>
  </si>
  <si>
    <t>RT-87540-0148-01-GA-2</t>
  </si>
  <si>
    <t>Thread Hole Repair Tool- RT-7536-000-PRT</t>
  </si>
  <si>
    <t>RT-87540-0184-01-GA-2</t>
  </si>
  <si>
    <t>Threaded Hole Insp Tool Lg- MOD</t>
  </si>
  <si>
    <t>RT-87540-0147-01-GA-2</t>
  </si>
  <si>
    <t>Foam Tray - RT-7547-001-PRT</t>
  </si>
  <si>
    <t>804554</t>
  </si>
  <si>
    <t>052PLNAY01</t>
  </si>
  <si>
    <t>Servo Guard Assy</t>
  </si>
  <si>
    <t>Kipling</t>
  </si>
  <si>
    <t>634828-18000-52X-R231- R.03</t>
  </si>
  <si>
    <t>RT38-88080-0104-001-DD-1</t>
  </si>
  <si>
    <t>Toggle Clamp</t>
  </si>
  <si>
    <t>SNC-Lavalin</t>
  </si>
  <si>
    <t>MZ2x2-D-N-S7N</t>
  </si>
  <si>
    <t>Mz2x2-D Injector Nozzle</t>
  </si>
  <si>
    <t>Woodbridge</t>
  </si>
  <si>
    <t>634828-15000-52BX-R079-Cor.007</t>
  </si>
  <si>
    <t>Sample</t>
  </si>
  <si>
    <t>SS. Air Curtain - Modified</t>
  </si>
  <si>
    <t>DJ Ind.</t>
  </si>
  <si>
    <t xml:space="preserve">  </t>
  </si>
  <si>
    <t>RT-88000-70146-000-1-GA-E</t>
  </si>
  <si>
    <t>Liner Tube Protective Sleeve</t>
  </si>
  <si>
    <t>RT-88000-70069-000-1-GA-D</t>
  </si>
  <si>
    <t>Helium Spray Tool</t>
  </si>
  <si>
    <t>RT-88000-70038-000-1-GA-D</t>
  </si>
  <si>
    <t>E/F Protective Sleeve</t>
  </si>
  <si>
    <t>80-01-00001-PRT- (Purchase)</t>
  </si>
  <si>
    <t>Spring Loaded Centre Punch</t>
  </si>
  <si>
    <t>RT-88000-70068-000-1-GA-D</t>
  </si>
  <si>
    <t>Vacuum Hose for Helium Leak Test</t>
  </si>
  <si>
    <t>RT-88010-0005-01-GA-E</t>
  </si>
  <si>
    <t>Calibrated Measuring Tape</t>
  </si>
  <si>
    <t>RT-87540-0105-01-GA-0</t>
  </si>
  <si>
    <t>Yoke Removal/Inst Tool- RT-7545-000-PRT</t>
  </si>
  <si>
    <t>RT-87540-0115-01-DD-2</t>
  </si>
  <si>
    <t>Pin Holder- RT-8544-001- PRT</t>
  </si>
  <si>
    <t>RT-87540-0107-1-DD-2</t>
  </si>
  <si>
    <t>Nut Adjuster - RT-7542</t>
  </si>
  <si>
    <t>RT-87540-0109-01-GA-2</t>
  </si>
  <si>
    <t>RT-87540-0118-01-GA-D</t>
  </si>
  <si>
    <t>Catch Tray - RT-7547-000-PRT</t>
  </si>
  <si>
    <t>RT-87540-0117-1-GA-2</t>
  </si>
  <si>
    <t>Stud Removal Tool  - RT-7546-000-PRT</t>
  </si>
  <si>
    <t>RT-87540-0174-1-GA-0</t>
  </si>
  <si>
    <t>Spring Pin Removal Tool - RT-7549-000-PRT</t>
  </si>
  <si>
    <t>RT-87540-0101-01-GA-2</t>
  </si>
  <si>
    <t>Yoke Ret. Clamp - RT-7541-000-PRT</t>
  </si>
  <si>
    <t>RT-87540-0178-01-GA-2</t>
  </si>
  <si>
    <t>Spacer Clip Rem. Tool  - RT-7541-000-PRT</t>
  </si>
  <si>
    <t>RT-87920-0351-01-GA-D</t>
  </si>
  <si>
    <t>CTI Bore Gauge</t>
  </si>
  <si>
    <t>MCR-17000-PN-R047- Rev.4</t>
  </si>
  <si>
    <t>MCR-17300-030-00000-01-GA-E</t>
  </si>
  <si>
    <t>Anul  Spacer Det.Tol-It#6,7,10,12,13,14,15,16,19,20,22,&amp;23</t>
  </si>
  <si>
    <t>RT79-88040-PN-R002</t>
  </si>
  <si>
    <t>RT-88000-70085-000-1-GA-E</t>
  </si>
  <si>
    <t>PT Straightening Tool</t>
  </si>
  <si>
    <t>RT-88000-70086-000-1-GA-E</t>
  </si>
  <si>
    <t>Actuator Tool</t>
  </si>
  <si>
    <t>RT-88000-70118-000-1-GA-E</t>
  </si>
  <si>
    <t>EF/PT Guide Tool ( New)</t>
  </si>
  <si>
    <t>RT-88030-0080-01-GA-C</t>
  </si>
  <si>
    <t>SSDO Saddle</t>
  </si>
  <si>
    <t>RT-88000-70103-016-1-GA-D</t>
  </si>
  <si>
    <t>Removal Tool Trough</t>
  </si>
  <si>
    <t>PD-20551</t>
  </si>
  <si>
    <t>RTD-3040/3033</t>
  </si>
  <si>
    <t>Puffer Caps &amp; Nozzles 34 x 40 mesh</t>
  </si>
  <si>
    <t>Puffer Caps &amp; Nozzles  34 x 50 Mesh</t>
  </si>
  <si>
    <t>RT79-87540-PN-R001</t>
  </si>
  <si>
    <t>RT-87540-0169-1-DD-2</t>
  </si>
  <si>
    <t>Positioning Stud Rotation tool</t>
  </si>
  <si>
    <t>RT-87540-0123-1-GA-1</t>
  </si>
  <si>
    <t>Spacer Clip Installation Tool</t>
  </si>
  <si>
    <t>RT-87540-0120-1-GA-2</t>
  </si>
  <si>
    <t>Temporary Yoke Pin</t>
  </si>
  <si>
    <t>RT-87540-0205-1-DD-2</t>
  </si>
  <si>
    <t>Spring Pin Installation Spacer</t>
  </si>
  <si>
    <t>RT-87540-0144-1-GA-2</t>
  </si>
  <si>
    <t>Threaded Hole Insp. Tool ( Short)</t>
  </si>
  <si>
    <t>RT-87540-0186-1-GA-2</t>
  </si>
  <si>
    <t>Threaded Hole Repairing tool ( Short)</t>
  </si>
  <si>
    <t>RT-87540-0137-1-GA-2</t>
  </si>
  <si>
    <t>Spring Pin Insetion Tool</t>
  </si>
  <si>
    <t>RT-87540-0140-1-DD-2</t>
  </si>
  <si>
    <t>Spring Pin Holder</t>
  </si>
  <si>
    <t>RT-87540-0125-1-DD-2</t>
  </si>
  <si>
    <t>PA Spacer Clip Inst. Tool- Detent Pin Mod</t>
  </si>
  <si>
    <t>RT-87600-0250-1-GA-E</t>
  </si>
  <si>
    <t>Lattice Sleeve Rem. Tool HWT Mounted</t>
  </si>
  <si>
    <t>RT79-87920-PN-R006</t>
  </si>
  <si>
    <t>RT-87920-0353-01-GA-C</t>
  </si>
  <si>
    <t>Leak Test Vacuum Grease Clean'g tool</t>
  </si>
  <si>
    <t>CTI Cleaning Tool</t>
  </si>
  <si>
    <t>RT38-16300-024-00-00-000-01-GA-C</t>
  </si>
  <si>
    <t>CTI Cleaning Tool - Head</t>
  </si>
  <si>
    <t>RT-87920-0355-01-GA-C</t>
  </si>
  <si>
    <t>Vacuum Grease Cleaning  Tool</t>
  </si>
  <si>
    <t>RT98-87540-PN-R001</t>
  </si>
  <si>
    <t>RT98-87540-PN-R002</t>
  </si>
  <si>
    <t>Pin Holder- RT-7544-001- PRT</t>
  </si>
  <si>
    <t>Thread Hole Repair Tool- RT-7539-000-PRT</t>
  </si>
  <si>
    <t>RT-87713-0001-1-GA-D</t>
  </si>
  <si>
    <t>End Shield Measurement Tool Sys</t>
  </si>
  <si>
    <t>RT79-87550-PN-R001</t>
  </si>
  <si>
    <t>RT-87550-0100-01-GA-E</t>
  </si>
  <si>
    <t>Bellows Cutting Tool (SFCR)</t>
  </si>
  <si>
    <t>RT79-87900-PN-R003</t>
  </si>
  <si>
    <t>RT-87900-0400-1-GA-E</t>
  </si>
  <si>
    <t>C6- Bore Gauge</t>
  </si>
  <si>
    <t>RT-87900-0500-01-GA-E</t>
  </si>
  <si>
    <t>C6 Bore Gauge- Narrow Landing</t>
  </si>
  <si>
    <t>RT98-87920-PN-R007</t>
  </si>
  <si>
    <t>RT-87920-74282-000-1-GA-E</t>
  </si>
  <si>
    <t>CTI Delivery Tool</t>
  </si>
  <si>
    <t>RT-87540-0166-01-GA-E</t>
  </si>
  <si>
    <t>Yoke Pin Replacement Tool</t>
  </si>
  <si>
    <t>Spare parts</t>
  </si>
  <si>
    <t>To Capture cost for Spare parts</t>
  </si>
  <si>
    <t>Lot</t>
  </si>
  <si>
    <t>RT98-88010-PN-R001</t>
  </si>
  <si>
    <t>RT79-87540-PN-R001-R.1</t>
  </si>
  <si>
    <t>RT98-87550-PN-R004</t>
  </si>
  <si>
    <t>NPN</t>
  </si>
  <si>
    <t xml:space="preserve">Auger </t>
  </si>
  <si>
    <t>RT98-87920-PN-R011</t>
  </si>
  <si>
    <t>RT-87920-0356-01-GA-D</t>
  </si>
  <si>
    <t>RT-87920-70627-1-DD-C</t>
  </si>
  <si>
    <t>RT-87920-0357-01-GA-C</t>
  </si>
  <si>
    <t>RT38-16300-024-000-0000-000-01-GA-C</t>
  </si>
  <si>
    <t>87982- Rev.4</t>
  </si>
  <si>
    <t>MCR-15300-001-161000-01-GA-D</t>
  </si>
  <si>
    <t>CTSB Central Shaft stationary</t>
  </si>
  <si>
    <t>ATS-Corp</t>
  </si>
  <si>
    <t>NPD0059-DET-5407</t>
  </si>
  <si>
    <t>Sliding Bar 02</t>
  </si>
  <si>
    <t>Kinectrics</t>
  </si>
  <si>
    <t>Parts for Bellows Weldment</t>
  </si>
  <si>
    <t>NPD0059-DET-6304</t>
  </si>
  <si>
    <t>H-Beam</t>
  </si>
  <si>
    <t>RT79-88030-PN-R001</t>
  </si>
  <si>
    <t>RT-88030-0300-01-GA-0</t>
  </si>
  <si>
    <t>Garter Spring Detection Tool</t>
  </si>
  <si>
    <t>RT-88030-0063-01-GA-E</t>
  </si>
  <si>
    <t>Single Spacer Drop off Tool</t>
  </si>
  <si>
    <t>RT98-88030-PN-R001</t>
  </si>
  <si>
    <t>NMP6-3B-Asy- R/W</t>
  </si>
  <si>
    <t>4-Piston Inj Blk -r/w- WO#25-6945- Gateway</t>
  </si>
  <si>
    <t>Hybrid</t>
  </si>
  <si>
    <t>NPO</t>
  </si>
  <si>
    <t>Misc</t>
  </si>
  <si>
    <t>Misc WJ Cutting</t>
  </si>
  <si>
    <t>Metonic</t>
  </si>
  <si>
    <t>PD-20694</t>
  </si>
  <si>
    <t>MZ2X2-D-N-S7N</t>
  </si>
  <si>
    <t>MZ2x2-D Inj- S7 Nozzles Tested</t>
  </si>
  <si>
    <t>3+3</t>
  </si>
  <si>
    <t>RT79-88230-PN-R012</t>
  </si>
  <si>
    <t>RT-88230-0245-01-GA-E</t>
  </si>
  <si>
    <t>Large Template , MK TP-1A</t>
  </si>
  <si>
    <t>RT-88230-0246-01-GA-E</t>
  </si>
  <si>
    <t>Large Template , MK TP-1C</t>
  </si>
  <si>
    <t>RT-88230-0247-01-GA-E</t>
  </si>
  <si>
    <t>Large Template , MK TP-2A</t>
  </si>
  <si>
    <t>RT-88230-0248-01-GA-E</t>
  </si>
  <si>
    <t>Large Template , MK TP-2C</t>
  </si>
  <si>
    <t>RT-88230-0249-01-GA-D</t>
  </si>
  <si>
    <t>Small Template , MK TP-3A</t>
  </si>
  <si>
    <t>RT-88230-0250-01-GA-D</t>
  </si>
  <si>
    <t>Small Template , MK TP-3C</t>
  </si>
  <si>
    <t>RT-88230-0251-01-GA-D</t>
  </si>
  <si>
    <t>Small Template , MK TP-4A</t>
  </si>
  <si>
    <t>RT-88230-0252-01-GA-D</t>
  </si>
  <si>
    <t>Small Template , MK TP-4C</t>
  </si>
  <si>
    <t>RT-88230-0200-01-GA-E</t>
  </si>
  <si>
    <t>Upper Feeder Template Assy</t>
  </si>
  <si>
    <t>NPD0059-DET-6306</t>
  </si>
  <si>
    <t>Fastener Plate</t>
  </si>
  <si>
    <t>NPD0059-DET-6307</t>
  </si>
  <si>
    <t>Mast Flange</t>
  </si>
  <si>
    <t>NPD0059-DET-6313- F/I</t>
  </si>
  <si>
    <t>Flange Connector ( Mcmaster F/I)</t>
  </si>
  <si>
    <t>NPD0059-DET-6328</t>
  </si>
  <si>
    <t>Floating Thermocouple Mount Collet</t>
  </si>
  <si>
    <t>NPD0059-DET-8017</t>
  </si>
  <si>
    <t>Plate 1-Lower Ins.ulator Plate- Fixed</t>
  </si>
  <si>
    <t>280099616</t>
  </si>
  <si>
    <t>NPD0059-DET-8019</t>
  </si>
  <si>
    <t>Plate 1- Upper Insulator Plate- Floating</t>
  </si>
  <si>
    <t>NPD0059-DET-8022</t>
  </si>
  <si>
    <t>Plate 1- Lower Insulator Plate- Floating</t>
  </si>
  <si>
    <t>NPD0059-DET-8013</t>
  </si>
  <si>
    <t>Plate 1- Upper Insulator Plate- Fixed</t>
  </si>
  <si>
    <t>NTR-MU01-T3-164</t>
  </si>
  <si>
    <t>Lead Screw</t>
  </si>
  <si>
    <t>Westinghouse</t>
  </si>
  <si>
    <t>RT98-88230-PN-R010</t>
  </si>
  <si>
    <t>RT79-87876-PN-R004</t>
  </si>
  <si>
    <t>RT-87876-0414-01-GA-E</t>
  </si>
  <si>
    <t>Debris Transfer Frame Adapter</t>
  </si>
  <si>
    <t>RT-87876-0400-01-GA-D</t>
  </si>
  <si>
    <t>Transfer Container Flask ( Tungsten)</t>
  </si>
  <si>
    <t>RT98-87530-PN-R004</t>
  </si>
  <si>
    <t>RT-87530-0112-1-GA-0</t>
  </si>
  <si>
    <t>Plunger Position Gauge Assy Tool</t>
  </si>
  <si>
    <t>RT-87530-0116-1-GA-0</t>
  </si>
  <si>
    <t>Stem Position Gauge assy Tool</t>
  </si>
  <si>
    <t>RT79-88030-PN-R001-R.1</t>
  </si>
  <si>
    <t>RT-88030-0250-1-GA-D</t>
  </si>
  <si>
    <t>Eddy Current Spacer Detection Trough</t>
  </si>
  <si>
    <t>RT98-88030-PN-R001- R.1</t>
  </si>
  <si>
    <t>RT98-87590-PN-R007</t>
  </si>
  <si>
    <t>RT-87640-70300-000-1-GA-E</t>
  </si>
  <si>
    <t>Mockup LWTF Trolley</t>
  </si>
  <si>
    <t>MCR-15300-003-107000-00-GA-E</t>
  </si>
  <si>
    <t>Camera Holder</t>
  </si>
  <si>
    <t>MCR-15300-003-102000-00-GA-C</t>
  </si>
  <si>
    <t>Middle Vacuum Tube Weldment</t>
  </si>
  <si>
    <t>MCR-15300-003-110004-01-DD-C</t>
  </si>
  <si>
    <t>Vacuum Tube With Flange</t>
  </si>
  <si>
    <t>59RF-79113-9093-1-DD-B</t>
  </si>
  <si>
    <t>Beam LWTF Spreader Beam</t>
  </si>
  <si>
    <t>Sketch</t>
  </si>
  <si>
    <t>BA Trench Cover</t>
  </si>
  <si>
    <t>Bombardier</t>
  </si>
  <si>
    <t>147-31972-PN-R072</t>
  </si>
  <si>
    <t>147-31972-0153-01-DD-B</t>
  </si>
  <si>
    <t>Drive &amp; Index Motor Housing</t>
  </si>
  <si>
    <t>147-31972-0163-01-DD-C</t>
  </si>
  <si>
    <t>Motor Drive Coupler</t>
  </si>
  <si>
    <t>147-31972-0182-01-DD-C</t>
  </si>
  <si>
    <t>Ball Joint Knuckle</t>
  </si>
  <si>
    <t>147-31972-0241-01-DD-C</t>
  </si>
  <si>
    <t>Push Tube Ball Joint Knuckle</t>
  </si>
  <si>
    <t>147-31972-0242-01-DD-C</t>
  </si>
  <si>
    <t>Ball Joint Socket</t>
  </si>
  <si>
    <t>RT79-87250-PN-R004</t>
  </si>
  <si>
    <t>RT-87250-0700-01-GA-E</t>
  </si>
  <si>
    <t xml:space="preserve">Carriage Mock-up HWT </t>
  </si>
  <si>
    <t>Valve to repair Worn Areas &amp; Chrome</t>
  </si>
  <si>
    <t>Plunger Valve to Repair by Sleeve</t>
  </si>
  <si>
    <t>Hand Pump hone after chrome</t>
  </si>
  <si>
    <t>RT-87550-0145-01-GA-E</t>
  </si>
  <si>
    <t>Shell Installation Tool Assy</t>
  </si>
  <si>
    <t>RT98-88030-PN-R001- R.2</t>
  </si>
  <si>
    <t>Shell Installatin Tool Assy</t>
  </si>
  <si>
    <t>88439- Rev.1</t>
  </si>
  <si>
    <t>Torsion Spring</t>
  </si>
  <si>
    <t>RT79-87110-PN-R010</t>
  </si>
  <si>
    <t>RT-87110-0174-01-DD-2</t>
  </si>
  <si>
    <t>Ring Rolled Joint Centering Ring</t>
  </si>
  <si>
    <t>NPD0059-7-WLD-1407</t>
  </si>
  <si>
    <t>Flange F/I Fit and Weld per Dwg</t>
  </si>
  <si>
    <t>North Sole Plate</t>
  </si>
  <si>
    <t>South Sole Plate</t>
  </si>
  <si>
    <t>RT98-87000-PN-R012</t>
  </si>
  <si>
    <t>RT-87250-74016-000-1-GA-E</t>
  </si>
  <si>
    <t>Pitch Yaw Mounting Frame Tool</t>
  </si>
  <si>
    <t>RT-87250-74010-000-1-GA-E</t>
  </si>
  <si>
    <t>Pitch Yaw Mounting Table</t>
  </si>
  <si>
    <t>RT98-87590-PN-R006</t>
  </si>
  <si>
    <t>RT-87590-70000-000-1-GA-E</t>
  </si>
  <si>
    <t>EFSF Removal Tool    (RT-7591-000-PRT)</t>
  </si>
  <si>
    <t>K-402310-09-WLD-5300-004</t>
  </si>
  <si>
    <t>BL Mockup Elbolet Interface Plate</t>
  </si>
  <si>
    <t>30-35385-PN-R007</t>
  </si>
  <si>
    <t>NK30-DCN-35385-0022-001</t>
  </si>
  <si>
    <t>Cyl. Mtg Plate-   F/I for Zinc Plating</t>
  </si>
  <si>
    <t>NK30-DBN-35385-0023-001</t>
  </si>
  <si>
    <t>Spacer Rod -     F/I for Zinc Plating</t>
  </si>
  <si>
    <t>NK30-DBN-35385-0025-001</t>
  </si>
  <si>
    <t>Solid Ring-         F/I for Zinc Plating</t>
  </si>
  <si>
    <t>NK30-DBN-35385-0027-001</t>
  </si>
  <si>
    <t>Cylinder Saddle - F/I for Zinc Plating</t>
  </si>
  <si>
    <t>NK30-DCN-35385-0028-001</t>
  </si>
  <si>
    <t>Split Ring-        F/I for zinc Plating</t>
  </si>
  <si>
    <t>742637</t>
  </si>
  <si>
    <t>Z-Axis Carriage- F/I Casting</t>
  </si>
  <si>
    <t>Buffalo</t>
  </si>
  <si>
    <t>RT79-87630-PN-R005</t>
  </si>
  <si>
    <t>RT-87630-71254-1000-1-GA-D</t>
  </si>
  <si>
    <t>VRS Manual Retrieval Tool</t>
  </si>
  <si>
    <t>NK38-DRAW-31935-10445-0001</t>
  </si>
  <si>
    <t>Anchor Plate</t>
  </si>
  <si>
    <t>NK38-DRAW-31935-10465-0001</t>
  </si>
  <si>
    <t>Measurement Station Anchor Plt</t>
  </si>
  <si>
    <t>NK38-DRAW-31935-10491-0001</t>
  </si>
  <si>
    <t>Center Rod -Anchor Plate</t>
  </si>
  <si>
    <t>NK38-DRAW-31935-10523-0001</t>
  </si>
  <si>
    <t>RH Guide Strip</t>
  </si>
  <si>
    <t>NK38-DRAW-31935-10524-0001</t>
  </si>
  <si>
    <t>Slide Bar</t>
  </si>
  <si>
    <t>NK38-DRAW-31935-10552-0001</t>
  </si>
  <si>
    <t>Guide</t>
  </si>
  <si>
    <t>NK38-DRAW-31935-10572-0001</t>
  </si>
  <si>
    <t>LH Guide Strip</t>
  </si>
  <si>
    <t>8423365- Rev.1</t>
  </si>
  <si>
    <t>700628267-F/I</t>
  </si>
  <si>
    <t>MF Heatsing Liner-F/I to Modify</t>
  </si>
  <si>
    <t>79-35217-PN-R004</t>
  </si>
  <si>
    <t>XX-35217-3-1-DD-D</t>
  </si>
  <si>
    <t xml:space="preserve">Deloro 60 Ring Only </t>
  </si>
  <si>
    <t>RT79-79112-PN-R002</t>
  </si>
  <si>
    <t>RT-79112-03000-01-GA-E</t>
  </si>
  <si>
    <t>Small Waste Transfer Flask</t>
  </si>
  <si>
    <t>DSK30906G01-113</t>
  </si>
  <si>
    <t>Loading Block</t>
  </si>
  <si>
    <t>Safran (Messier)</t>
  </si>
  <si>
    <t>88808- Rev.2</t>
  </si>
  <si>
    <t>NK38-DRAW-31935-10359-0001</t>
  </si>
  <si>
    <t>Table Shielding Plate    ( 103420)</t>
  </si>
  <si>
    <t>NK38-DRAW-31935-10536-0001</t>
  </si>
  <si>
    <t>Counter Balance W/ Lead Assy (100882)</t>
  </si>
  <si>
    <t>RT98-87250-PN-R007</t>
  </si>
  <si>
    <t>RT-87250-040-01-GA-E</t>
  </si>
  <si>
    <t>Installation Worktable</t>
  </si>
  <si>
    <t>RT-87250-70000-5000-1-GA-B</t>
  </si>
  <si>
    <t>Inst. Worktable Support Frame</t>
  </si>
  <si>
    <t>RT-87920-0303-01-GA-D</t>
  </si>
  <si>
    <t>CT Shield Sleeve- Short</t>
  </si>
  <si>
    <t>RT-87920-0051-01-DD-C</t>
  </si>
  <si>
    <t>Hook Assy For Extension Tool</t>
  </si>
  <si>
    <t>216-02123-PN-T101</t>
  </si>
  <si>
    <t>RT-87600-0403-1-DD-C</t>
  </si>
  <si>
    <t>Round Stud</t>
  </si>
  <si>
    <t>216-02123-PN-T102</t>
  </si>
  <si>
    <t>RT-87250-74017-002-1-DD-B</t>
  </si>
  <si>
    <t>Tooling Guide Pin</t>
  </si>
  <si>
    <t>RT-87250-74017-044-1-DD-B</t>
  </si>
  <si>
    <t xml:space="preserve">Handle </t>
  </si>
  <si>
    <t>RT-87250-74017-045-1-DD-B</t>
  </si>
  <si>
    <t>Pivot Block 0.50 x 1.25 x 3.0</t>
  </si>
  <si>
    <t>216-02123-PN-T104</t>
  </si>
  <si>
    <t>RT-87876-0049-01-DD-D</t>
  </si>
  <si>
    <t>Axial Vacuum Nozzle</t>
  </si>
  <si>
    <t>21RT-87920-0453-002-DD-0</t>
  </si>
  <si>
    <t>Sliding Pad- Item # 4</t>
  </si>
  <si>
    <t>DSK30901G04-101  ( HOLD)</t>
  </si>
  <si>
    <t>Striker Plate</t>
  </si>
  <si>
    <t>DSK30901G04-103  ( HOLD)</t>
  </si>
  <si>
    <t>Dome</t>
  </si>
  <si>
    <t>8451261- Rev.1</t>
  </si>
  <si>
    <t>Post Bearing Spacer</t>
  </si>
  <si>
    <t>1+1</t>
  </si>
  <si>
    <t>Coupling Housing</t>
  </si>
  <si>
    <t>88028931- Rev.1</t>
  </si>
  <si>
    <t>Flowmeter Pipe Section</t>
  </si>
  <si>
    <t>ATS Test</t>
  </si>
  <si>
    <t>RT-88030-0310-1-GA-D</t>
  </si>
  <si>
    <t>Eddy Current Verification Bench</t>
  </si>
  <si>
    <t>72459-1 72459-10</t>
  </si>
  <si>
    <t>RT-88030-0021-01-GA-1</t>
  </si>
  <si>
    <t>Tool Encoder Bracket Assy</t>
  </si>
  <si>
    <t>72460-1 72460-9</t>
  </si>
  <si>
    <t>216-02123-PN-T105</t>
  </si>
  <si>
    <t>RT-88000-70164-107-1-DD-B</t>
  </si>
  <si>
    <t>Tag- Load Test</t>
  </si>
  <si>
    <t>Counterweight assy</t>
  </si>
  <si>
    <t>RT-88000-70164-030-1-GA-D</t>
  </si>
  <si>
    <t>PT Support Assy</t>
  </si>
  <si>
    <t>RT-88000-70164-106-1-DD-B</t>
  </si>
  <si>
    <t>Tag C of G</t>
  </si>
  <si>
    <t>RT-88000-7164-105-1-DD-B</t>
  </si>
  <si>
    <t>RT-88000-70164-104-1-DD-E</t>
  </si>
  <si>
    <t>Tag</t>
  </si>
  <si>
    <t>RT-88000-70164-025-1-DD-D</t>
  </si>
  <si>
    <t>Sleeve Block</t>
  </si>
  <si>
    <t>RT-88000-70164-020-1-DD-B</t>
  </si>
  <si>
    <t>Spacer</t>
  </si>
  <si>
    <t>RT-88000-70164-018-1-DD-D</t>
  </si>
  <si>
    <t>Stiffener 1</t>
  </si>
  <si>
    <t>RT-88000-70164-012-1-DD-D</t>
  </si>
  <si>
    <t>Block 12</t>
  </si>
  <si>
    <t>RT-88000-70164-019-1-DD-D</t>
  </si>
  <si>
    <t>Stiffener 2</t>
  </si>
  <si>
    <t>3677249</t>
  </si>
  <si>
    <t>Motor Adapter Plate</t>
  </si>
  <si>
    <t>Samples- F/I</t>
  </si>
  <si>
    <t>Small Buttons ( Busihng) For H/T</t>
  </si>
  <si>
    <t>230819-EBA230-02</t>
  </si>
  <si>
    <t>"L" Type Angle- 102 x 76 x 6.4ft- l=908mm</t>
  </si>
  <si>
    <t>EHV Power</t>
  </si>
  <si>
    <t>"L" Type Angle- 51 x 51  6f.4 ft- l=876mm</t>
  </si>
  <si>
    <t>"L" Type Angle- 102 x 76 x 6.4ft- l=102mm</t>
  </si>
  <si>
    <t>"L" Type Angle- 64 x 64 x 6.4ft- l=914mm</t>
  </si>
  <si>
    <t>"L" Type Angle- 64 x 64 x 6.4ft- l=800mm</t>
  </si>
  <si>
    <t>Hardware-HH bolts, Nuts, Washers -galv</t>
  </si>
  <si>
    <t>lot</t>
  </si>
  <si>
    <t>4500012296-0</t>
  </si>
  <si>
    <t>4212B011</t>
  </si>
  <si>
    <t>Drive Roller</t>
  </si>
  <si>
    <t>ABI Ltd</t>
  </si>
  <si>
    <t>88706-Rev.7</t>
  </si>
  <si>
    <t>NK38-DRAW-31935-10461-0001</t>
  </si>
  <si>
    <t>Probe Support Base Weldment</t>
  </si>
  <si>
    <t>NK38-DRAW-31935-10462-0001</t>
  </si>
  <si>
    <t>Frame Weldment</t>
  </si>
  <si>
    <t>NK38-DRAW-31935-10464-0001</t>
  </si>
  <si>
    <t>Probe Weldment</t>
  </si>
  <si>
    <t>NK38-DRAW-31935-10466-0001</t>
  </si>
  <si>
    <t>Bundle Support Base Weldment</t>
  </si>
  <si>
    <t>NK38-DRAW-31935-10469-0001</t>
  </si>
  <si>
    <t>Probe Guard Weldment</t>
  </si>
  <si>
    <t>NK38-DRAW-31935-10472-0001</t>
  </si>
  <si>
    <t>Probe Holder Extension</t>
  </si>
  <si>
    <t>NK38-DRAW-31935-10489-0001</t>
  </si>
  <si>
    <t>Upper Frame Weldment</t>
  </si>
  <si>
    <t>NK38-DRAW-31935-10490-0001</t>
  </si>
  <si>
    <t>Bottom Frame Weldment</t>
  </si>
  <si>
    <t>89053- Rev.1</t>
  </si>
  <si>
    <t>Cable Reel Bracket Weldment</t>
  </si>
  <si>
    <t>Drive Weldment</t>
  </si>
  <si>
    <t xml:space="preserve">X80-5212 </t>
  </si>
  <si>
    <t>Pinion  G.01/ G.02 / G.03</t>
  </si>
  <si>
    <t>BWXT(GE)</t>
  </si>
  <si>
    <t>300 @</t>
  </si>
  <si>
    <t>X80-5212</t>
  </si>
  <si>
    <t>Bearing G.01/ G.02/  G.03</t>
  </si>
  <si>
    <t>Brush-  G.01 / G.02/  G.03</t>
  </si>
  <si>
    <t>300@</t>
  </si>
  <si>
    <t>K129412-210- Option #2</t>
  </si>
  <si>
    <t>GR2 Titanium Heating Block</t>
  </si>
  <si>
    <t>BWXT Med</t>
  </si>
  <si>
    <t>83139- Rev.1</t>
  </si>
  <si>
    <t>Piston Clamp Plate</t>
  </si>
  <si>
    <t>Trough Section</t>
  </si>
  <si>
    <t>8451433- Rev.2</t>
  </si>
  <si>
    <t>Box Slide</t>
  </si>
  <si>
    <t>66812-MD</t>
  </si>
  <si>
    <t>Malomar Depositor Slide (Ertalyte)</t>
  </si>
  <si>
    <t>208370-1</t>
  </si>
  <si>
    <t xml:space="preserve">Housing </t>
  </si>
  <si>
    <t>208380-1</t>
  </si>
  <si>
    <t xml:space="preserve">Front Plate </t>
  </si>
  <si>
    <t>208381-1</t>
  </si>
  <si>
    <t xml:space="preserve">Rear Plate </t>
  </si>
  <si>
    <t>208382-1</t>
  </si>
  <si>
    <t xml:space="preserve">Middle Plate </t>
  </si>
  <si>
    <t>460072-1</t>
  </si>
  <si>
    <t xml:space="preserve">Retaining Ring </t>
  </si>
  <si>
    <t>213025-1</t>
  </si>
  <si>
    <t>213026-1</t>
  </si>
  <si>
    <t>203346-1</t>
  </si>
  <si>
    <t>Hub</t>
  </si>
  <si>
    <t>205626-12 &amp; 15</t>
  </si>
  <si>
    <t>Mounting Plate</t>
  </si>
  <si>
    <t>670+710</t>
  </si>
  <si>
    <t>28369-1</t>
  </si>
  <si>
    <t>End Cap</t>
  </si>
  <si>
    <t>208374-1</t>
  </si>
  <si>
    <t>Housing</t>
  </si>
  <si>
    <t>208373-1</t>
  </si>
  <si>
    <t>Standoff Post</t>
  </si>
  <si>
    <t>208376-1</t>
  </si>
  <si>
    <t>Brush Block Shaft</t>
  </si>
  <si>
    <t>208377-1</t>
  </si>
  <si>
    <t>205624-13 &amp; 14</t>
  </si>
  <si>
    <t>Spacer Round &amp; Mounting Standoff Round</t>
  </si>
  <si>
    <t>1380+1380</t>
  </si>
  <si>
    <t>205065-1</t>
  </si>
  <si>
    <t>Post</t>
  </si>
  <si>
    <t>208371-1</t>
  </si>
  <si>
    <t xml:space="preserve">Gearshaft </t>
  </si>
  <si>
    <t>208375-1</t>
  </si>
  <si>
    <t>Shaft</t>
  </si>
  <si>
    <t>208372-1</t>
  </si>
  <si>
    <t>Input Shaft</t>
  </si>
  <si>
    <t>213747-1</t>
  </si>
  <si>
    <t>RT79-87840-PN-R002</t>
  </si>
  <si>
    <t>RT-87840-70000-1000-1-GA-B</t>
  </si>
  <si>
    <t>CV FME Inspection Tool</t>
  </si>
  <si>
    <t>MZ2x2-D-AI- R/W</t>
  </si>
  <si>
    <t>MZ2x2 Adjustable Injector F/I to Refurbish</t>
  </si>
  <si>
    <t>Hunstville</t>
  </si>
  <si>
    <t>MZ2x2-D-BV- R/W</t>
  </si>
  <si>
    <t>MZ2x2-D- Bypass Valve F/I to refurbish</t>
  </si>
  <si>
    <t>MZ2x2-D- R/W</t>
  </si>
  <si>
    <t>MZ2x2-D- Injector - F/I to Refurbish</t>
  </si>
  <si>
    <t>89130- Rev.2</t>
  </si>
  <si>
    <t>Handle Extension</t>
  </si>
  <si>
    <t>700543934- F/I</t>
  </si>
  <si>
    <t>T-Handle Wrench- Handle</t>
  </si>
  <si>
    <t>NPD0059-4920-MCC</t>
  </si>
  <si>
    <t>Enclosure Cutouts- Sht # 1- F/I Mat'l</t>
  </si>
  <si>
    <t>PSU Enclosure Cutouts Sht# 8- F/I Mat'l</t>
  </si>
  <si>
    <t>NPD0059-4921-RIO</t>
  </si>
  <si>
    <t xml:space="preserve">Enclosure Back Plate- Sht # 1 F/I Mat'l </t>
  </si>
  <si>
    <t xml:space="preserve">Enclosure Back Plate- Sht # 2 F/I Mat'l </t>
  </si>
  <si>
    <t>NPD0059-DET-2114</t>
  </si>
  <si>
    <t>Add cut-outs per R01 Dwg F/I Mat'l</t>
  </si>
  <si>
    <t>NPD0059-GA-4920</t>
  </si>
  <si>
    <t>Heater PSU Mtg Plate ( new)</t>
  </si>
  <si>
    <t>91614-004</t>
  </si>
  <si>
    <t>91592C03</t>
  </si>
  <si>
    <t>Burner End Plates R/w</t>
  </si>
  <si>
    <t>ComEnCo</t>
  </si>
  <si>
    <t>Slotted &amp;  Drill Bushing</t>
  </si>
  <si>
    <t>3+2</t>
  </si>
  <si>
    <t>RT-87550-0172-01-DD-C</t>
  </si>
  <si>
    <t>RT-87900-0409-1-DD-C</t>
  </si>
  <si>
    <t>RT-87550-0146-01-GA-C</t>
  </si>
  <si>
    <t>RT-87550-0327-01-DD-C</t>
  </si>
  <si>
    <t>RT-87550-0186-01-GA-E</t>
  </si>
  <si>
    <t>RT-87900-0404-1-DD-D</t>
  </si>
  <si>
    <t>RT-87550-0114-01-DD-C</t>
  </si>
  <si>
    <t>RT-87250-0702-01-DD-C</t>
  </si>
  <si>
    <t>RT-88030-0062-01-DD-C</t>
  </si>
  <si>
    <t>RT-88030-0060-01-DD-E</t>
  </si>
  <si>
    <t>RT-87550-0188-01-DD-C</t>
  </si>
  <si>
    <t>RT-87550-0187-01-DD-C</t>
  </si>
  <si>
    <t>RT-87550-0190-01-DD-C</t>
  </si>
  <si>
    <t>RT-87550-0129-01-DD-C</t>
  </si>
  <si>
    <t>RT-87550-0107-01-DD-C</t>
  </si>
  <si>
    <t>RT-87550-0156-01-GA-C</t>
  </si>
  <si>
    <t>RT-87550-0161-01-GA-C</t>
  </si>
  <si>
    <t>RT-87550-0111-01-DD-C</t>
  </si>
  <si>
    <t>RT-87550-0127-01-DD-C</t>
  </si>
  <si>
    <t>RT-87550-0128-01-DD-C</t>
  </si>
  <si>
    <t>RT-87550-0113-01-DD-C</t>
  </si>
  <si>
    <t>RT-87550-0329-01-DD-C</t>
  </si>
  <si>
    <t>RT-87550-0115-01-DD-C</t>
  </si>
  <si>
    <t>Tool Encoder Bracket Assy-Pin</t>
  </si>
  <si>
    <t>RT-88030-0024-01-DD-2</t>
  </si>
  <si>
    <t>RT-87900-0425-1-DD-C</t>
  </si>
  <si>
    <t>RT-87900-0401-1-DD-E</t>
  </si>
  <si>
    <t>5210C114</t>
  </si>
  <si>
    <t>Drive Roller-Drive Pulley Tube</t>
  </si>
  <si>
    <t>RT-87550-0103-01-DD-D</t>
  </si>
  <si>
    <t>RT-87550-0194-01-DD-D</t>
  </si>
  <si>
    <t>RT-87550-0184-01-DD-C</t>
  </si>
  <si>
    <t>RT-87876-0413-01-DD-C</t>
  </si>
  <si>
    <t>RT-87876-0406-01-DD-C</t>
  </si>
  <si>
    <t>1</t>
  </si>
  <si>
    <t>RT-87876-0049-02-DD-C</t>
  </si>
  <si>
    <t>Axial Vacuum Nozzle-Flat Pattern</t>
  </si>
  <si>
    <t>RT-87876-0039-01-DD-C</t>
  </si>
  <si>
    <t>Axial Vacuum Nozzle-Cover</t>
  </si>
  <si>
    <t>2</t>
  </si>
  <si>
    <t>RT-87876-0038-01-DD-C</t>
  </si>
  <si>
    <t>Axial Vacuum Nozzle-Side Stopper</t>
  </si>
  <si>
    <t>RT-87550-0195-01-DD-D</t>
  </si>
  <si>
    <t>RT-87550-0185-01-DD-C</t>
  </si>
  <si>
    <t>RT-87550-0106-01-DD-C</t>
  </si>
  <si>
    <t>RT-87550-0320-01-GA-E</t>
  </si>
  <si>
    <t>RT-87550-0160-01-GA-C</t>
  </si>
  <si>
    <t>RT-87550-0181-01-GA-D</t>
  </si>
  <si>
    <t>RT-87550-0155-01-GA-C</t>
  </si>
  <si>
    <t>RT-87876-0405-01-DD-D</t>
  </si>
  <si>
    <t>RT-87876-0415-01-GA-E</t>
  </si>
  <si>
    <t>RT-88030-0061-01-DD-E</t>
  </si>
  <si>
    <t>RT-88030-0064-01-GA-E</t>
  </si>
  <si>
    <t>RT-88030-0059-01-GA-E</t>
  </si>
  <si>
    <t>RT-87900-0501-01-DD-E</t>
  </si>
  <si>
    <t>Spirol Pin Rem. Tool- ASSY</t>
  </si>
  <si>
    <t>Spirol Pin Rem. Tool- RT-7543-000-PRT (ASSY)</t>
  </si>
  <si>
    <t>RT-87550-0101-01-GA-E</t>
  </si>
  <si>
    <t>RT-87550-0171-01-GA-D</t>
  </si>
  <si>
    <t>RT-87550-0112-01-GA-D</t>
  </si>
  <si>
    <t>RT-87550-0182-01-GA-C</t>
  </si>
  <si>
    <t>RT-87550-0328-01-DD-C</t>
  </si>
  <si>
    <t>RT-87550-0193-01-GA-D</t>
  </si>
  <si>
    <t>RT-87550-0183-01-GA-D</t>
  </si>
  <si>
    <t>RT-87550-0312-01-GA-E</t>
  </si>
  <si>
    <t>RT-87550-0102-01-GA-E</t>
  </si>
  <si>
    <t>RT-87550-0120-01-GA-E</t>
  </si>
  <si>
    <t>RT-87550-0124-01-DD-C</t>
  </si>
  <si>
    <t>JOB #</t>
  </si>
  <si>
    <t>Del. Req'd:</t>
  </si>
  <si>
    <t>Qty.</t>
  </si>
  <si>
    <t>Custemer</t>
  </si>
  <si>
    <t>Description</t>
  </si>
  <si>
    <t>B</t>
  </si>
  <si>
    <t>C</t>
  </si>
  <si>
    <t>Part #</t>
  </si>
  <si>
    <t>PO #</t>
  </si>
  <si>
    <t>RT-88030-0120-01-GA-2</t>
  </si>
  <si>
    <t>RT-88030-0121-01-DD-2</t>
  </si>
  <si>
    <t>RT-88030-0123-01-DD-2</t>
  </si>
  <si>
    <t>RT-88030-0122-01-DD-2</t>
  </si>
  <si>
    <t>CV FME Inspection Tool-Camera Boom</t>
  </si>
  <si>
    <t>RT-87840-70110-1000-1-GA-B</t>
  </si>
  <si>
    <t>CV FME Inspection Tool-Front Outer Tube</t>
  </si>
  <si>
    <t>RT-87840-70110-1001-1-DD-B</t>
  </si>
  <si>
    <t>CV FME Inspection Tool-Front Inner Tube</t>
  </si>
  <si>
    <t>RT-87840-70110-1002-1-DD-B</t>
  </si>
  <si>
    <t>CV FME Inspection Tool-Front Guide</t>
  </si>
  <si>
    <t>RT-87840-70110-1003-1-DD-B</t>
  </si>
  <si>
    <t>CV FME Inspection Tool-Rear Guide</t>
  </si>
  <si>
    <t>RT-87840-70110-1004-1-DD-B</t>
  </si>
  <si>
    <t>CV FME Inspection Tool-Coupling</t>
  </si>
  <si>
    <t>RT-87840-70110-1005-1-DD-B</t>
  </si>
  <si>
    <t>CV FME Inspection Tool-Flange</t>
  </si>
  <si>
    <t>RT-87840-70110-1006-1-DD-B</t>
  </si>
  <si>
    <t>CV FME Inspection Tool-Retainer</t>
  </si>
  <si>
    <t>RT-87840-70110-1007-1-DD-B</t>
  </si>
  <si>
    <t>CV FME Inspection Tool-Bushing</t>
  </si>
  <si>
    <t>RT-87840-70110-1009-1-DD-B</t>
  </si>
  <si>
    <t>CV FME Inspection Tool-Front Conduit</t>
  </si>
  <si>
    <t>RT-87840-70110-1010-1-DD-B</t>
  </si>
  <si>
    <t>CV FME Inspection Tool-Frear Outer Tube</t>
  </si>
  <si>
    <t>RT-87840-70110-1011-1-DD-B</t>
  </si>
  <si>
    <t>CV FME Inspection Tool-Rear Inner Tube</t>
  </si>
  <si>
    <t>RT-87840-70110-1012-1-DD-B</t>
  </si>
  <si>
    <t>RT-87840-70110-1013-1-DD-B</t>
  </si>
  <si>
    <t>CV FME Inspection Tool-Rear Conduit</t>
  </si>
  <si>
    <t>RT-87840-70110-1014-1-DD-B</t>
  </si>
  <si>
    <t>RT-87840-70110-1015-1-DD-B</t>
  </si>
  <si>
    <t>RT-87840-70110-1016-1-DD-B</t>
  </si>
  <si>
    <t>RT-87840-70110-1017-1-DD-B</t>
  </si>
  <si>
    <t>CV FME Inspection Tool-Wire Clip</t>
  </si>
  <si>
    <t>RT-87840-70110-1018-1-DD-B</t>
  </si>
  <si>
    <t>CV FME Inspection Tool-Wire Retainer</t>
  </si>
  <si>
    <t>RT-87840-70110-1019-1-DD-B</t>
  </si>
  <si>
    <t>CV FME Inspection Tool-Wire Guide</t>
  </si>
  <si>
    <t>RT-87840-70110-1020-1-DD-B</t>
  </si>
  <si>
    <t>CV FME Inspection Tool-ID Plate</t>
  </si>
  <si>
    <t>RT-87840-70110-1022-1-DD-B</t>
  </si>
  <si>
    <t>CV FME Inspection Tool-Camera Pull Cable</t>
  </si>
  <si>
    <t>RT-87840-70114-1000-1-GA-B</t>
  </si>
  <si>
    <t>CV FME Inspection Tool-Eye Bracket</t>
  </si>
  <si>
    <t>RT-87840-70110-1023-1-DD-B</t>
  </si>
  <si>
    <t>CV FME Inspection Tool-Pulley</t>
  </si>
  <si>
    <t>RT-87840-70110-1024-1-DD-B</t>
  </si>
  <si>
    <t>CV FME Inspection Tool-Return Reel-Modified</t>
  </si>
  <si>
    <t>RT-87840-70171-1001-1-DD-B</t>
  </si>
  <si>
    <t>CV FME Inspection Tool-Return Reel ASSY</t>
  </si>
  <si>
    <t>RT-87840-70171-1000-1-GA-B</t>
  </si>
  <si>
    <t>CV FME Inspection Tool-Rear Mount</t>
  </si>
  <si>
    <t>RT-87840-70120-1000-1-GA-B</t>
  </si>
  <si>
    <t xml:space="preserve">CV FME Inspection Tool-Rear Base Plate </t>
  </si>
  <si>
    <t>RT-87840-70120-1001-1-DD-B</t>
  </si>
  <si>
    <t xml:space="preserve">CV FME Inspection Tool-Saddle Plate </t>
  </si>
  <si>
    <t>RT-87840-70120-1002-1-DD-B</t>
  </si>
  <si>
    <t>CV FME Inspection Tool-Clamp</t>
  </si>
  <si>
    <t>RT-87840-70120-1003-1-DD-B</t>
  </si>
  <si>
    <t>RT-87840-70120-1005-1-DD-B</t>
  </si>
  <si>
    <t>CV FME Inspection Tool-Weight Plate</t>
  </si>
  <si>
    <t>RT-87840-70120-1006-1-DD-B</t>
  </si>
  <si>
    <t>RT-87840-70120-1007-1-DD-B</t>
  </si>
  <si>
    <t>CV FME Inspection Tool-Pointer</t>
  </si>
  <si>
    <t>RT-87840-70120-1008-1-DD-B</t>
  </si>
  <si>
    <t>Done</t>
  </si>
  <si>
    <t>CV FME Inspection Tool-Adapter Compl.</t>
  </si>
  <si>
    <t xml:space="preserve">CV FME Inspection Tool-Adapter </t>
  </si>
  <si>
    <t>CV FME Inspection Tool-FME Camera Tool</t>
  </si>
  <si>
    <t>CV FME Inspection Tool-Front Roller Assembly</t>
  </si>
  <si>
    <t>CV FME Inspection Tool-Front Base Plate</t>
  </si>
  <si>
    <t>RT-87840-70130-1001-1-DD-B</t>
  </si>
  <si>
    <t>CV FME Inspection Tool-Roller MTG Plate RH</t>
  </si>
  <si>
    <t>RT-87840-70130-1003-1-DD-B</t>
  </si>
  <si>
    <t>CV FME Inspection Tool-Gusset</t>
  </si>
  <si>
    <t>RT-87840-70130-1004-1-DD-B</t>
  </si>
  <si>
    <t>CV FME Inspection Tool-Roller</t>
  </si>
  <si>
    <t>RT-87840-70130-1005-1-DD-B</t>
  </si>
  <si>
    <t>CV FME Inspection Tool-Shaft</t>
  </si>
  <si>
    <t>RT-87840-70130-1006-1-DD-B</t>
  </si>
  <si>
    <t>CV FME Inspection Tool-Spacer Bushing</t>
  </si>
  <si>
    <t>RT-87840-70130-1007-1-DD-B</t>
  </si>
  <si>
    <t>CV FME Inspection Tool-Washer</t>
  </si>
  <si>
    <t>RT-87840-70130-1008-1-DD-B</t>
  </si>
  <si>
    <t>CV FME Inspection Tool-Guard</t>
  </si>
  <si>
    <t>RT-87840-70130-1009-1-DD-B</t>
  </si>
  <si>
    <t>RT-87840-70130-1010-1-DD-B</t>
  </si>
  <si>
    <t>RT-88010-0052-1-DD-B</t>
  </si>
  <si>
    <t>RT-88010-0051-1-DD-B</t>
  </si>
  <si>
    <t>RT-88000-70210-060-1-DD-B</t>
  </si>
  <si>
    <t>RT-88000-70034-112-1-DD-B</t>
  </si>
  <si>
    <t>RT-88000-70034-102-1-DD-B</t>
  </si>
  <si>
    <t>RT-88000-70051-004-1-DD-B</t>
  </si>
  <si>
    <t>RT-88000-70051-002-1-DD-B</t>
  </si>
  <si>
    <t>RT-88000-70051-001-1-DD-B</t>
  </si>
  <si>
    <t>RT-88000-70034-105-1-DD-B</t>
  </si>
  <si>
    <t>RT-88000-70051-006-1-DD-B</t>
  </si>
  <si>
    <t>RT-88000-70034-007-1-DD-B</t>
  </si>
  <si>
    <t>RT-88000-70034-100-1-DD-B</t>
  </si>
  <si>
    <t>RT-88000-70034-113-1-DD-B</t>
  </si>
  <si>
    <t>RT-88000-70034-101-1-DD-B</t>
  </si>
  <si>
    <t>RT-88000-70034-006-1-DD-B</t>
  </si>
  <si>
    <t>RT-88000-70034-106-1-DD-B</t>
  </si>
  <si>
    <t>RT-88000-70034-111-1-DD-B</t>
  </si>
  <si>
    <t>RT-88000-70034-109-1-DD-B</t>
  </si>
  <si>
    <t>RT-88000-70051-005-1-DD-B</t>
  </si>
  <si>
    <t>RT-88000-70034-103-1-DD-B</t>
  </si>
  <si>
    <t>RT-88000-70034-110-1-DD-B</t>
  </si>
  <si>
    <t>RT-88010-0031-1-DD-B</t>
  </si>
  <si>
    <t>RT-88010-0032-1-DD-B</t>
  </si>
  <si>
    <t>RT-88010-0033-1-DD-B</t>
  </si>
  <si>
    <t>RT-88010-0121-1-DD-B</t>
  </si>
  <si>
    <t>RT-88000-70034-009-1-DD-D</t>
  </si>
  <si>
    <t>RT-88000-70034-002-1-DD-D</t>
  </si>
  <si>
    <t>RT-88000-70034-003-1-DD-D</t>
  </si>
  <si>
    <t>RT-88000-70034-001-1-DD-D</t>
  </si>
  <si>
    <t>RT-88000-70034-003-2-DD-D</t>
  </si>
  <si>
    <t>RT-88000-70210-044-1-DD-D</t>
  </si>
  <si>
    <t>RT-88000-70210-041-1-DD-D</t>
  </si>
  <si>
    <t>RT-88000-70034-002-2-DD-D</t>
  </si>
  <si>
    <t>RT-88000-70034-009-2-DD-D</t>
  </si>
  <si>
    <t>RT-88000-70051-000-1-GA-E</t>
  </si>
  <si>
    <t>RT-88000-70034-000-1-GA-E</t>
  </si>
  <si>
    <t>RT-88010-0050-1-GA-C</t>
  </si>
  <si>
    <t>RT-88040-0040-01-DD-C</t>
  </si>
  <si>
    <t>Movable Hub ASSY</t>
  </si>
  <si>
    <t>Ring Gauge For Bore Gauge</t>
  </si>
  <si>
    <t>Moveable Hub ASSY (Opposite Hand)</t>
  </si>
  <si>
    <t>General ASSY</t>
  </si>
  <si>
    <t>Length Gauge</t>
  </si>
  <si>
    <t>Fixed Hub</t>
  </si>
  <si>
    <t>E Face Protective Cap</t>
  </si>
  <si>
    <t>PT Category Check Tool</t>
  </si>
  <si>
    <t>Micrometer Extension</t>
  </si>
  <si>
    <t>Mount Plate1</t>
  </si>
  <si>
    <t>Saddle</t>
  </si>
  <si>
    <t>Pipe</t>
  </si>
  <si>
    <t>Guage Finger</t>
  </si>
  <si>
    <t>Vertical Plate 2</t>
  </si>
  <si>
    <t>Spring Collar</t>
  </si>
  <si>
    <t>Vertical Plate 1</t>
  </si>
  <si>
    <t>Gusset 1</t>
  </si>
  <si>
    <t>Gusset 2</t>
  </si>
  <si>
    <t>Collar</t>
  </si>
  <si>
    <t>Connecting Plug</t>
  </si>
  <si>
    <t>Precision Shaft</t>
  </si>
  <si>
    <t>Guage Tip</t>
  </si>
  <si>
    <t>Bar 1</t>
  </si>
  <si>
    <t>Tube</t>
  </si>
  <si>
    <t>PT Ring Gauge 1 Tool</t>
  </si>
  <si>
    <t>PT Ring Gauge 2 Tool</t>
  </si>
  <si>
    <t>PT Ring Gauge 3 Tool</t>
  </si>
  <si>
    <t>Plug Detail</t>
  </si>
  <si>
    <t>Ring Gauge (4.152")</t>
  </si>
  <si>
    <t>RT-88010-0120-1-DD-C</t>
  </si>
  <si>
    <t>Gauge Block Detail</t>
  </si>
  <si>
    <t>Head Detail</t>
  </si>
  <si>
    <t>Handle Weldment</t>
  </si>
  <si>
    <t xml:space="preserve"> </t>
  </si>
  <si>
    <t>O.E.:</t>
  </si>
  <si>
    <t>Job #:</t>
  </si>
  <si>
    <t>Customer:</t>
  </si>
  <si>
    <t>Qty.:</t>
  </si>
  <si>
    <t>Rev</t>
  </si>
  <si>
    <t>Contact:</t>
  </si>
  <si>
    <t>DWG Rel.</t>
  </si>
  <si>
    <t>M</t>
  </si>
  <si>
    <t>Descriptions:</t>
  </si>
  <si>
    <t>Price:</t>
  </si>
  <si>
    <t>P.O. :</t>
  </si>
  <si>
    <t>Packing Slip</t>
  </si>
  <si>
    <t>Invoice:</t>
  </si>
  <si>
    <t>Del. Ship'd:</t>
  </si>
  <si>
    <t>Delay:</t>
  </si>
  <si>
    <t>MHI-Canada</t>
  </si>
  <si>
    <t>GM223-1314-10</t>
  </si>
  <si>
    <t>Lana Bozic</t>
  </si>
  <si>
    <t>Angle</t>
  </si>
  <si>
    <t>GM223-1314-9</t>
  </si>
  <si>
    <t>K125912-003</t>
  </si>
  <si>
    <t>Iss. D</t>
  </si>
  <si>
    <t>Krista Lentz</t>
  </si>
  <si>
    <t>Vial Shield Assy</t>
  </si>
  <si>
    <t>1109596</t>
  </si>
  <si>
    <t>C00</t>
  </si>
  <si>
    <t>Aziza Arora</t>
  </si>
  <si>
    <t>Ping He</t>
  </si>
  <si>
    <r>
      <t xml:space="preserve">634828-18000-52X-R231- </t>
    </r>
    <r>
      <rPr>
        <b/>
        <sz val="10"/>
        <color rgb="FFFF0000"/>
        <rFont val="Aptos Display"/>
        <family val="1"/>
        <scheme val="major"/>
      </rPr>
      <t>R.03</t>
    </r>
  </si>
  <si>
    <t>BWXT Prec (Laker)</t>
  </si>
  <si>
    <t>NK29-GEK-35367-0115</t>
  </si>
  <si>
    <t>Saadhna Bisram</t>
  </si>
  <si>
    <t>Lifting Rod Assy</t>
  </si>
  <si>
    <t>4922243375-0</t>
  </si>
  <si>
    <t>Cindy Weng</t>
  </si>
  <si>
    <r>
      <t xml:space="preserve">Link Holder </t>
    </r>
    <r>
      <rPr>
        <b/>
        <sz val="12"/>
        <rFont val="Aptos Display"/>
        <family val="1"/>
        <scheme val="major"/>
      </rPr>
      <t>F/I To Sink EDM</t>
    </r>
  </si>
  <si>
    <r>
      <t>98-35215-PN-R019-</t>
    </r>
    <r>
      <rPr>
        <b/>
        <sz val="12"/>
        <color rgb="FFFF0000"/>
        <rFont val="Aptos Display"/>
        <family val="1"/>
        <scheme val="major"/>
      </rPr>
      <t>R.1</t>
    </r>
  </si>
  <si>
    <t>Bobby Borshanpour</t>
  </si>
  <si>
    <t>MZ2x2-D-AI-PIS</t>
  </si>
  <si>
    <t>MZ2x2-D-AI-Piston</t>
  </si>
  <si>
    <r>
      <t>21RT-88030-0182-01-DD-2-</t>
    </r>
    <r>
      <rPr>
        <b/>
        <sz val="11"/>
        <color rgb="FFFF0000"/>
        <rFont val="Aptos Display"/>
        <family val="1"/>
        <scheme val="major"/>
      </rPr>
      <t>R/W</t>
    </r>
  </si>
  <si>
    <t>Vishnu Joshi</t>
  </si>
  <si>
    <r>
      <t xml:space="preserve">Bayonet - </t>
    </r>
    <r>
      <rPr>
        <b/>
        <sz val="12"/>
        <color rgb="FFFF0000"/>
        <rFont val="Aptos Display"/>
        <family val="1"/>
        <scheme val="major"/>
      </rPr>
      <t>F/I for Swaging</t>
    </r>
  </si>
  <si>
    <r>
      <t>634828-15000-52BX-R079-</t>
    </r>
    <r>
      <rPr>
        <b/>
        <sz val="8"/>
        <color rgb="FFFF0000"/>
        <rFont val="Aptos Display"/>
        <family val="1"/>
        <scheme val="major"/>
      </rPr>
      <t>Rev.07</t>
    </r>
  </si>
  <si>
    <t>Chris Morrison</t>
  </si>
  <si>
    <t>Ashan Syed</t>
  </si>
  <si>
    <r>
      <t>Insert Housing Size 36-</t>
    </r>
    <r>
      <rPr>
        <b/>
        <sz val="10"/>
        <color rgb="FFFF0000"/>
        <rFont val="Aptos Display"/>
        <family val="1"/>
        <scheme val="major"/>
      </rPr>
      <t>NEL-IH-36-00</t>
    </r>
  </si>
  <si>
    <t>08-63500-0252-01-DD-2</t>
  </si>
  <si>
    <r>
      <t>Insert Housing Size 24-</t>
    </r>
    <r>
      <rPr>
        <b/>
        <sz val="10"/>
        <color rgb="FFFF0000"/>
        <rFont val="Aptos Display"/>
        <family val="1"/>
        <scheme val="major"/>
      </rPr>
      <t>NEL-IH-24-00</t>
    </r>
  </si>
  <si>
    <r>
      <t>Pin Size 16-16 -</t>
    </r>
    <r>
      <rPr>
        <b/>
        <sz val="10"/>
        <color rgb="FFFF0000"/>
        <rFont val="Aptos Display"/>
        <family val="1"/>
        <scheme val="major"/>
      </rPr>
      <t xml:space="preserve"> NEL-PN-00-1616</t>
    </r>
  </si>
  <si>
    <r>
      <t xml:space="preserve">Pin Size 16,20 - </t>
    </r>
    <r>
      <rPr>
        <b/>
        <sz val="9"/>
        <color rgb="FFFF0000"/>
        <rFont val="Aptos Display"/>
        <family val="1"/>
        <scheme val="major"/>
      </rPr>
      <t>NEL-PN-00-1620</t>
    </r>
  </si>
  <si>
    <r>
      <t xml:space="preserve">Contact Clip Size 16- </t>
    </r>
    <r>
      <rPr>
        <b/>
        <sz val="10"/>
        <color rgb="FFFF0000"/>
        <rFont val="Aptos Display"/>
        <family val="1"/>
        <scheme val="major"/>
      </rPr>
      <t>NEL-CC-00-16</t>
    </r>
  </si>
  <si>
    <t>Sanchia Bartley- Nddiaye</t>
  </si>
  <si>
    <r>
      <rPr>
        <b/>
        <sz val="12"/>
        <color rgb="FF00B0F0"/>
        <rFont val="Aptos Display"/>
        <family val="1"/>
        <scheme val="major"/>
      </rPr>
      <t>RT79</t>
    </r>
    <r>
      <rPr>
        <b/>
        <sz val="12"/>
        <rFont val="Aptos Display"/>
        <family val="1"/>
        <scheme val="major"/>
      </rPr>
      <t>-88010-PN-R003</t>
    </r>
  </si>
  <si>
    <r>
      <t xml:space="preserve">80-01-00001-PRT- </t>
    </r>
    <r>
      <rPr>
        <b/>
        <sz val="12"/>
        <color rgb="FFFF0000"/>
        <rFont val="Aptos Display"/>
        <family val="1"/>
        <scheme val="major"/>
      </rPr>
      <t>(Purchase)</t>
    </r>
  </si>
  <si>
    <r>
      <t xml:space="preserve">RT-0055-000-PRT </t>
    </r>
    <r>
      <rPr>
        <b/>
        <sz val="12"/>
        <color rgb="FFFF0000"/>
        <rFont val="Aptos Display"/>
        <family val="1"/>
        <scheme val="major"/>
      </rPr>
      <t>( Purchase)</t>
    </r>
  </si>
  <si>
    <t>David Weldon</t>
  </si>
  <si>
    <r>
      <t>Removal PA Tool Cart-</t>
    </r>
    <r>
      <rPr>
        <b/>
        <sz val="8"/>
        <color rgb="FFFF0000"/>
        <rFont val="Aptos Display"/>
        <family val="1"/>
        <scheme val="major"/>
      </rPr>
      <t>RT-7538-000-PRT</t>
    </r>
  </si>
  <si>
    <r>
      <rPr>
        <b/>
        <sz val="12"/>
        <color rgb="FF00B0F0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-87540-PN-R003</t>
    </r>
  </si>
  <si>
    <r>
      <t>Yoke Removal/Inst Tool-</t>
    </r>
    <r>
      <rPr>
        <b/>
        <sz val="8"/>
        <color rgb="FFFF0000"/>
        <rFont val="Aptos Display"/>
        <family val="1"/>
        <scheme val="major"/>
      </rPr>
      <t xml:space="preserve"> RT-7545-000-PRT</t>
    </r>
  </si>
  <si>
    <r>
      <t xml:space="preserve">Pin Holder- </t>
    </r>
    <r>
      <rPr>
        <b/>
        <sz val="10"/>
        <color rgb="FFFF0000"/>
        <rFont val="Aptos Display"/>
        <family val="1"/>
        <scheme val="major"/>
      </rPr>
      <t>RT-8544-001- PRT</t>
    </r>
  </si>
  <si>
    <r>
      <t xml:space="preserve">Punch Pin-  </t>
    </r>
    <r>
      <rPr>
        <b/>
        <sz val="10"/>
        <color rgb="FFFF0000"/>
        <rFont val="Aptos Display"/>
        <family val="1"/>
        <scheme val="major"/>
      </rPr>
      <t>RT-8063-001-PRT</t>
    </r>
  </si>
  <si>
    <r>
      <t>Thread Hole Insp Tool  LG-</t>
    </r>
    <r>
      <rPr>
        <b/>
        <sz val="8"/>
        <color rgb="FFFF0000"/>
        <rFont val="Aptos Display"/>
        <family val="1"/>
        <scheme val="major"/>
      </rPr>
      <t xml:space="preserve"> RT-7536-000-PRT</t>
    </r>
  </si>
  <si>
    <r>
      <t xml:space="preserve">Thread Hole Repair Tool- </t>
    </r>
    <r>
      <rPr>
        <b/>
        <sz val="8"/>
        <color rgb="FFFF0000"/>
        <rFont val="Aptos Display"/>
        <family val="1"/>
        <scheme val="major"/>
      </rPr>
      <t>RT-7536-000-PRT</t>
    </r>
  </si>
  <si>
    <t>RT-87540-0196-1-GA-E</t>
  </si>
  <si>
    <r>
      <t xml:space="preserve">Foam Tray - </t>
    </r>
    <r>
      <rPr>
        <b/>
        <sz val="10"/>
        <color rgb="FFFF0000"/>
        <rFont val="Aptos Display"/>
        <family val="1"/>
        <scheme val="major"/>
      </rPr>
      <t>RT-7547-001-PRT</t>
    </r>
  </si>
  <si>
    <r>
      <t xml:space="preserve">Nut Adjuster - </t>
    </r>
    <r>
      <rPr>
        <b/>
        <sz val="12"/>
        <color rgb="FFFF0000"/>
        <rFont val="Aptos Display"/>
        <family val="1"/>
        <scheme val="major"/>
      </rPr>
      <t>RT-7542</t>
    </r>
  </si>
  <si>
    <r>
      <t xml:space="preserve">Spirol Pin Rem. Tool- </t>
    </r>
    <r>
      <rPr>
        <b/>
        <sz val="10"/>
        <color rgb="FFFF0000"/>
        <rFont val="Aptos Display"/>
        <family val="1"/>
        <scheme val="major"/>
      </rPr>
      <t>RT-7543-000-PRT</t>
    </r>
  </si>
  <si>
    <r>
      <t xml:space="preserve">Catch Tray - </t>
    </r>
    <r>
      <rPr>
        <b/>
        <sz val="10"/>
        <color rgb="FFFF0000"/>
        <rFont val="Aptos Display"/>
        <family val="1"/>
        <scheme val="major"/>
      </rPr>
      <t>RT-7547-000-PRT</t>
    </r>
  </si>
  <si>
    <r>
      <t xml:space="preserve">Stud Removal Tool  - </t>
    </r>
    <r>
      <rPr>
        <b/>
        <sz val="10"/>
        <color rgb="FFFF0000"/>
        <rFont val="Aptos Display"/>
        <family val="1"/>
        <scheme val="major"/>
      </rPr>
      <t>RT-7546-000-PRT</t>
    </r>
  </si>
  <si>
    <r>
      <t>Spring Pin Removal Tool</t>
    </r>
    <r>
      <rPr>
        <b/>
        <sz val="12"/>
        <color rgb="FFFF0000"/>
        <rFont val="Aptos Display"/>
        <family val="1"/>
        <scheme val="major"/>
      </rPr>
      <t xml:space="preserve"> -</t>
    </r>
    <r>
      <rPr>
        <sz val="12"/>
        <rFont val="Aptos Display"/>
        <family val="1"/>
        <scheme val="major"/>
      </rPr>
      <t xml:space="preserve"> </t>
    </r>
    <r>
      <rPr>
        <b/>
        <sz val="8"/>
        <color rgb="FFFF0000"/>
        <rFont val="Aptos Display"/>
        <family val="1"/>
        <scheme val="major"/>
      </rPr>
      <t>RT-7549-000-PRT</t>
    </r>
  </si>
  <si>
    <r>
      <t xml:space="preserve">Yoke Ret. Clamp - </t>
    </r>
    <r>
      <rPr>
        <b/>
        <sz val="10"/>
        <color rgb="FFFF0000"/>
        <rFont val="Aptos Display"/>
        <family val="1"/>
        <scheme val="major"/>
      </rPr>
      <t>RT-7541-000-PRT</t>
    </r>
  </si>
  <si>
    <r>
      <t xml:space="preserve">Spacer Clip Rem. Tool  - </t>
    </r>
    <r>
      <rPr>
        <b/>
        <sz val="8"/>
        <color rgb="FFFF0000"/>
        <rFont val="Aptos Display"/>
        <family val="1"/>
        <scheme val="major"/>
      </rPr>
      <t>RT-7541-000-PRT</t>
    </r>
  </si>
  <si>
    <r>
      <rPr>
        <b/>
        <sz val="12"/>
        <color rgb="FF00B0F0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-87920-PN-R005</t>
    </r>
  </si>
  <si>
    <t>Laila Parveen</t>
  </si>
  <si>
    <r>
      <rPr>
        <b/>
        <sz val="8"/>
        <rFont val="Aptos Display"/>
        <family val="1"/>
        <scheme val="major"/>
      </rPr>
      <t>Anul  Spacer Det.Tol</t>
    </r>
    <r>
      <rPr>
        <sz val="8"/>
        <rFont val="Aptos Display"/>
        <family val="1"/>
        <scheme val="major"/>
      </rPr>
      <t>-</t>
    </r>
    <r>
      <rPr>
        <b/>
        <sz val="6"/>
        <color rgb="FFFF0000"/>
        <rFont val="Aptos Display"/>
        <family val="1"/>
        <scheme val="major"/>
      </rPr>
      <t>It#6,7,10,12,13,14,15,16,19,20,22,&amp;23</t>
    </r>
  </si>
  <si>
    <t>Mar-21-25</t>
  </si>
  <si>
    <r>
      <rPr>
        <b/>
        <sz val="11"/>
        <color rgb="FF00B0F0"/>
        <rFont val="Aptos Display"/>
        <family val="1"/>
        <scheme val="major"/>
      </rPr>
      <t>RT79</t>
    </r>
    <r>
      <rPr>
        <sz val="11"/>
        <rFont val="Aptos Display"/>
        <family val="1"/>
        <scheme val="major"/>
      </rPr>
      <t>-88040-PN-R002-</t>
    </r>
    <r>
      <rPr>
        <b/>
        <sz val="11"/>
        <color rgb="FFFF0000"/>
        <rFont val="Aptos Display"/>
        <family val="1"/>
        <scheme val="major"/>
      </rPr>
      <t>R.1</t>
    </r>
  </si>
  <si>
    <t>James Kearns</t>
  </si>
  <si>
    <r>
      <t xml:space="preserve">Puffer Caps &amp; Nozzles </t>
    </r>
    <r>
      <rPr>
        <b/>
        <sz val="12"/>
        <color rgb="FFFF0000"/>
        <rFont val="Aptos Display"/>
        <family val="1"/>
        <scheme val="major"/>
      </rPr>
      <t>34 x 40 mesh</t>
    </r>
  </si>
  <si>
    <r>
      <t xml:space="preserve">Puffer Caps &amp; Nozzles  </t>
    </r>
    <r>
      <rPr>
        <b/>
        <sz val="12"/>
        <color rgb="FFFF0000"/>
        <rFont val="Aptos Display"/>
        <family val="1"/>
        <scheme val="major"/>
      </rPr>
      <t>34 x 50 Mesh</t>
    </r>
  </si>
  <si>
    <t>Brandon Kwakye-Longdon</t>
  </si>
  <si>
    <r>
      <rPr>
        <b/>
        <sz val="11"/>
        <color rgb="FF00B0F0"/>
        <rFont val="Aptos Display"/>
        <family val="1"/>
        <scheme val="major"/>
      </rPr>
      <t>RT79</t>
    </r>
    <r>
      <rPr>
        <b/>
        <sz val="11"/>
        <rFont val="Aptos Display"/>
        <family val="1"/>
        <scheme val="major"/>
      </rPr>
      <t>-87540-PN-R001-R.1</t>
    </r>
  </si>
  <si>
    <r>
      <t>RT98-</t>
    </r>
    <r>
      <rPr>
        <sz val="12"/>
        <rFont val="Aptos Display"/>
        <family val="1"/>
        <scheme val="major"/>
      </rPr>
      <t>87920-PN-R006</t>
    </r>
  </si>
  <si>
    <t>Angelica de la Barrrera</t>
  </si>
  <si>
    <r>
      <rPr>
        <b/>
        <sz val="12"/>
        <color theme="3" tint="0.39997558519241921"/>
        <rFont val="Aptos Display"/>
        <family val="1"/>
        <scheme val="major"/>
      </rPr>
      <t>RT79</t>
    </r>
    <r>
      <rPr>
        <b/>
        <sz val="12"/>
        <rFont val="Aptos Display"/>
        <family val="1"/>
        <scheme val="major"/>
      </rPr>
      <t>-87920-PN-R006</t>
    </r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</si>
  <si>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-87540-PN-R001</t>
    </r>
  </si>
  <si>
    <r>
      <t xml:space="preserve">Pin Holder- </t>
    </r>
    <r>
      <rPr>
        <b/>
        <sz val="10"/>
        <color rgb="FFFF0000"/>
        <rFont val="Aptos Display"/>
        <family val="1"/>
        <scheme val="major"/>
      </rPr>
      <t>RT-7544-001- PRT</t>
    </r>
  </si>
  <si>
    <r>
      <t xml:space="preserve">Thread Hole Repair Tool- </t>
    </r>
    <r>
      <rPr>
        <b/>
        <sz val="8"/>
        <color rgb="FFFF0000"/>
        <rFont val="Aptos Display"/>
        <family val="1"/>
        <scheme val="major"/>
      </rPr>
      <t>RT-7539-000-PRT</t>
    </r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</si>
  <si>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-88040-PN-R002</t>
    </r>
  </si>
  <si>
    <t>Sanchia Bartley-Ndiaye</t>
  </si>
  <si>
    <r>
      <t>3319 +</t>
    </r>
    <r>
      <rPr>
        <b/>
        <sz val="12"/>
        <color rgb="FFFF0000"/>
        <rFont val="Aptos Display"/>
        <family val="1"/>
        <scheme val="major"/>
      </rPr>
      <t>778</t>
    </r>
  </si>
  <si>
    <r>
      <rPr>
        <b/>
        <sz val="12"/>
        <color rgb="FF0070C0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-87710-PN-R004</t>
    </r>
  </si>
  <si>
    <t>Aug-1-25</t>
  </si>
  <si>
    <r>
      <t xml:space="preserve">Bellows Cutting Tool </t>
    </r>
    <r>
      <rPr>
        <b/>
        <sz val="12"/>
        <rFont val="Aptos Display"/>
        <family val="1"/>
        <scheme val="major"/>
      </rPr>
      <t>(SFCR)</t>
    </r>
  </si>
  <si>
    <r>
      <rPr>
        <b/>
        <sz val="12"/>
        <color rgb="FF0070C0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-87550-PN-R001</t>
    </r>
  </si>
  <si>
    <t>Brandon Kwakye</t>
  </si>
  <si>
    <t>0109/25</t>
  </si>
  <si>
    <t>Included</t>
  </si>
  <si>
    <t>1 + 1</t>
  </si>
  <si>
    <r>
      <rPr>
        <b/>
        <sz val="11"/>
        <color rgb="FF0070C0"/>
        <rFont val="Aptos Display"/>
        <family val="1"/>
        <scheme val="major"/>
      </rPr>
      <t>RT79</t>
    </r>
    <r>
      <rPr>
        <b/>
        <sz val="11"/>
        <rFont val="Aptos Display"/>
        <family val="1"/>
        <scheme val="major"/>
      </rPr>
      <t>-87550-PN-R001</t>
    </r>
    <r>
      <rPr>
        <b/>
        <sz val="11"/>
        <color rgb="FFFF3300"/>
        <rFont val="Aptos Display"/>
        <family val="1"/>
        <scheme val="major"/>
      </rPr>
      <t>-R.1</t>
    </r>
  </si>
  <si>
    <t>Barbara Vaz</t>
  </si>
  <si>
    <r>
      <rPr>
        <b/>
        <sz val="12"/>
        <color rgb="FF0070C0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-87900-PN-R003</t>
    </r>
  </si>
  <si>
    <t>Angelica de La Barrera</t>
  </si>
  <si>
    <r>
      <rPr>
        <b/>
        <sz val="11"/>
        <rFont val="Aptos Display"/>
        <family val="1"/>
        <scheme val="major"/>
      </rPr>
      <t>RT98</t>
    </r>
    <r>
      <rPr>
        <sz val="11"/>
        <rFont val="Aptos Display"/>
        <family val="1"/>
        <scheme val="major"/>
      </rPr>
      <t>-87920-PN-R007</t>
    </r>
    <r>
      <rPr>
        <b/>
        <sz val="11"/>
        <rFont val="Aptos Display"/>
        <family val="1"/>
        <scheme val="major"/>
      </rPr>
      <t>-</t>
    </r>
    <r>
      <rPr>
        <b/>
        <sz val="11"/>
        <color rgb="FFFF0000"/>
        <rFont val="Aptos Display"/>
        <family val="1"/>
        <scheme val="major"/>
      </rPr>
      <t>R.1</t>
    </r>
  </si>
  <si>
    <t>Ashna-Irani-Kavasji</t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</si>
  <si>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-87540-PN-R002</t>
    </r>
  </si>
  <si>
    <t xml:space="preserve">clean </t>
  </si>
  <si>
    <t>Ashna Irani-Kavsji</t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</si>
  <si>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-88010-PN-R001</t>
    </r>
  </si>
  <si>
    <t>Sanchai Bartley-Ndiaye</t>
  </si>
  <si>
    <r>
      <rPr>
        <b/>
        <sz val="11"/>
        <rFont val="Aptos Display"/>
        <family val="1"/>
        <scheme val="major"/>
      </rPr>
      <t>RT98-</t>
    </r>
    <r>
      <rPr>
        <sz val="11"/>
        <rFont val="Aptos Display"/>
        <family val="1"/>
        <scheme val="major"/>
      </rPr>
      <t>87550-PN-R004-</t>
    </r>
    <r>
      <rPr>
        <b/>
        <sz val="11"/>
        <color rgb="FFFF0000"/>
        <rFont val="Aptos Display"/>
        <family val="1"/>
        <scheme val="major"/>
      </rPr>
      <t>R.1</t>
    </r>
  </si>
  <si>
    <t>02/1125</t>
  </si>
  <si>
    <t>1 +1</t>
  </si>
  <si>
    <t>Chris</t>
  </si>
  <si>
    <t>Auger to measure &amp; Prelim Dwgs</t>
  </si>
  <si>
    <t>NPO #</t>
  </si>
  <si>
    <t>Scott Wilson</t>
  </si>
  <si>
    <t>8~10</t>
  </si>
  <si>
    <t>Jatin Munjal</t>
  </si>
  <si>
    <r>
      <t>NPD0059-WLD-6309-</t>
    </r>
    <r>
      <rPr>
        <b/>
        <sz val="12"/>
        <color rgb="FFFF0000"/>
        <rFont val="Aptos Display"/>
        <family val="1"/>
        <scheme val="major"/>
      </rPr>
      <t>A,B,C,D</t>
    </r>
  </si>
  <si>
    <t>H-Beam   ( X Cost)</t>
  </si>
  <si>
    <t>Angelica de la Barrera</t>
  </si>
  <si>
    <r>
      <rPr>
        <b/>
        <sz val="11"/>
        <color rgb="FF0070C0"/>
        <rFont val="Aptos Display"/>
        <family val="1"/>
        <scheme val="major"/>
      </rPr>
      <t>RT79</t>
    </r>
    <r>
      <rPr>
        <b/>
        <sz val="11"/>
        <rFont val="Aptos Display"/>
        <family val="1"/>
        <scheme val="major"/>
      </rPr>
      <t>-88030-PN-R001</t>
    </r>
    <r>
      <rPr>
        <b/>
        <sz val="11"/>
        <color rgb="FFFF3300"/>
        <rFont val="Aptos Display"/>
        <family val="1"/>
        <scheme val="major"/>
      </rPr>
      <t>-R.1</t>
    </r>
  </si>
  <si>
    <r>
      <t>RT98-</t>
    </r>
    <r>
      <rPr>
        <sz val="10.5"/>
        <color theme="1"/>
        <rFont val="Aptos Display"/>
        <family val="1"/>
        <scheme val="major"/>
      </rPr>
      <t>88030-PN-R001</t>
    </r>
    <r>
      <rPr>
        <b/>
        <sz val="10.5"/>
        <color rgb="FFFF3300"/>
        <rFont val="Aptos Display"/>
        <family val="1"/>
        <scheme val="major"/>
      </rPr>
      <t>- R.2</t>
    </r>
  </si>
  <si>
    <r>
      <t xml:space="preserve">RT98-88030-PN-R001- </t>
    </r>
    <r>
      <rPr>
        <b/>
        <sz val="10.5"/>
        <color rgb="FFFF0000"/>
        <rFont val="Aptos Display"/>
        <family val="1"/>
        <scheme val="major"/>
      </rPr>
      <t>R.2</t>
    </r>
  </si>
  <si>
    <t>John</t>
  </si>
  <si>
    <r>
      <t xml:space="preserve">4-Piston Inj Blk -r/w- </t>
    </r>
    <r>
      <rPr>
        <b/>
        <sz val="10"/>
        <color rgb="FFFF0000"/>
        <rFont val="Aptos Display"/>
        <family val="1"/>
        <scheme val="major"/>
      </rPr>
      <t>WO#25-6945- Gateway</t>
    </r>
  </si>
  <si>
    <t>C.O.D</t>
  </si>
  <si>
    <t>Edwin</t>
  </si>
  <si>
    <t>Front Left Upright</t>
  </si>
  <si>
    <t>Front Right upright</t>
  </si>
  <si>
    <t>Rear Left Upright</t>
  </si>
  <si>
    <t>Rear Right Upright</t>
  </si>
  <si>
    <t>EN-00403</t>
  </si>
  <si>
    <t>Motor Mount Sprocket</t>
  </si>
  <si>
    <r>
      <rPr>
        <b/>
        <sz val="11"/>
        <color rgb="FF0070C0"/>
        <rFont val="Aptos Display"/>
        <family val="1"/>
        <scheme val="major"/>
      </rPr>
      <t>RT79</t>
    </r>
    <r>
      <rPr>
        <b/>
        <sz val="11"/>
        <rFont val="Aptos Display"/>
        <family val="1"/>
        <scheme val="major"/>
      </rPr>
      <t>-88230-PN-R012-</t>
    </r>
    <r>
      <rPr>
        <b/>
        <sz val="11"/>
        <color rgb="FFFF0000"/>
        <rFont val="Aptos Display"/>
        <family val="1"/>
        <scheme val="major"/>
      </rPr>
      <t xml:space="preserve"> R.2</t>
    </r>
  </si>
  <si>
    <t>Nitin Balyan</t>
  </si>
  <si>
    <t>NPD0059-DET-6313</t>
  </si>
  <si>
    <t>Flange Connector</t>
  </si>
  <si>
    <t>Naga Shanmugam</t>
  </si>
  <si>
    <r>
      <rPr>
        <b/>
        <sz val="12"/>
        <rFont val="Aptos Display"/>
        <family val="1"/>
        <scheme val="major"/>
      </rPr>
      <t>RT98</t>
    </r>
    <r>
      <rPr>
        <b/>
        <sz val="11"/>
        <color rgb="FF00B0F0"/>
        <rFont val="Aptos Display"/>
        <family val="1"/>
        <scheme val="major"/>
      </rPr>
      <t>-</t>
    </r>
    <r>
      <rPr>
        <sz val="12"/>
        <rFont val="Aptos Display"/>
        <family val="1"/>
        <scheme val="major"/>
      </rPr>
      <t>88230-PN-R010</t>
    </r>
  </si>
  <si>
    <r>
      <rPr>
        <b/>
        <sz val="12"/>
        <color rgb="FF0070C0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-87876-PN-R004</t>
    </r>
  </si>
  <si>
    <r>
      <t xml:space="preserve">Transfer Container Flask </t>
    </r>
    <r>
      <rPr>
        <b/>
        <sz val="12"/>
        <color rgb="FFFF0000"/>
        <rFont val="Aptos Display"/>
        <family val="1"/>
        <scheme val="major"/>
      </rPr>
      <t>( Tungsten)</t>
    </r>
  </si>
  <si>
    <t>AB</t>
  </si>
  <si>
    <t>Dave Osmond</t>
  </si>
  <si>
    <t>Tool Body</t>
  </si>
  <si>
    <t>88308- Rev.13</t>
  </si>
  <si>
    <r>
      <rPr>
        <b/>
        <sz val="12"/>
        <rFont val="Aptos Display"/>
        <family val="1"/>
        <scheme val="major"/>
      </rPr>
      <t>RT98-</t>
    </r>
    <r>
      <rPr>
        <sz val="12"/>
        <rFont val="Aptos Display"/>
        <family val="1"/>
        <scheme val="major"/>
      </rPr>
      <t>87530-PN-R004</t>
    </r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</si>
  <si>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-87530-PN-R004</t>
    </r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</si>
  <si>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-87590-PN-R007</t>
    </r>
  </si>
  <si>
    <t>Justin LaFrance</t>
  </si>
  <si>
    <r>
      <t xml:space="preserve">88243- </t>
    </r>
    <r>
      <rPr>
        <b/>
        <sz val="12"/>
        <color rgb="FFFF0000"/>
        <rFont val="Aptos Display"/>
        <family val="1"/>
        <scheme val="major"/>
      </rPr>
      <t>Rev.14</t>
    </r>
  </si>
  <si>
    <r>
      <t>2317+</t>
    </r>
    <r>
      <rPr>
        <b/>
        <sz val="12"/>
        <color rgb="FFFF0000"/>
        <rFont val="Aptos Display"/>
        <family val="1"/>
        <scheme val="major"/>
      </rPr>
      <t>5465</t>
    </r>
  </si>
  <si>
    <t>MCR-15300-003-520000-01-GA-C</t>
  </si>
  <si>
    <t>6A</t>
  </si>
  <si>
    <t>Tube Weldment- Telescopic Vacuum</t>
  </si>
  <si>
    <t>MCR-15300-003-530000-01-GA-C</t>
  </si>
  <si>
    <t>5A</t>
  </si>
  <si>
    <t>Tube Weldment-Telesocpic Vacuum</t>
  </si>
  <si>
    <t>MCR-15300-003-115000-01-GA-C</t>
  </si>
  <si>
    <t>Vacuum Tube Weldment</t>
  </si>
  <si>
    <t>Gregory Lopez</t>
  </si>
  <si>
    <r>
      <rPr>
        <b/>
        <sz val="11.5"/>
        <color theme="3" tint="0.39997558519241921"/>
        <rFont val="Aptos Display"/>
        <family val="1"/>
        <scheme val="major"/>
      </rPr>
      <t>RT79</t>
    </r>
    <r>
      <rPr>
        <sz val="11.5"/>
        <rFont val="Aptos Display"/>
        <family val="1"/>
        <scheme val="major"/>
      </rPr>
      <t>-79113-PN-R001-</t>
    </r>
    <r>
      <rPr>
        <b/>
        <sz val="11.5"/>
        <color rgb="FFFF0000"/>
        <rFont val="Aptos Display"/>
        <family val="1"/>
        <scheme val="major"/>
      </rPr>
      <t>R.1</t>
    </r>
  </si>
  <si>
    <t>Nesha</t>
  </si>
  <si>
    <t>NK38-DRAW-31935-10410-0001</t>
  </si>
  <si>
    <t>Floor Plate    ( 102544)</t>
  </si>
  <si>
    <t>88454-Rev.2</t>
  </si>
  <si>
    <t>Cindy Weng- TMR</t>
  </si>
  <si>
    <t>Motor Drive Couplet</t>
  </si>
  <si>
    <t>147-31972-0181-01-DD-C</t>
  </si>
  <si>
    <r>
      <rPr>
        <b/>
        <sz val="12"/>
        <color theme="3" tint="0.39997558519241921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-87250-PN-R004</t>
    </r>
  </si>
  <si>
    <t>NK38-DRAW-31935-10569-0001</t>
  </si>
  <si>
    <r>
      <t xml:space="preserve">246- </t>
    </r>
    <r>
      <rPr>
        <b/>
        <sz val="12"/>
        <color rgb="FFFF0000"/>
        <rFont val="Aptos Display"/>
        <family val="1"/>
        <scheme val="major"/>
      </rPr>
      <t>USD</t>
    </r>
  </si>
  <si>
    <r>
      <rPr>
        <b/>
        <sz val="12"/>
        <color theme="3" tint="0.39997558519241921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-87110-PN-R010</t>
    </r>
  </si>
  <si>
    <t>AD</t>
  </si>
  <si>
    <t>88502- Rev.7</t>
  </si>
  <si>
    <t>Angelica DeLa Barrera</t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</si>
  <si>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-87000-PN-R012</t>
    </r>
  </si>
  <si>
    <r>
      <t>EFSF Removal Too</t>
    </r>
    <r>
      <rPr>
        <b/>
        <sz val="10"/>
        <color rgb="FFFF0000"/>
        <rFont val="Aptos Display"/>
        <family val="1"/>
        <scheme val="major"/>
      </rPr>
      <t xml:space="preserve">l   </t>
    </r>
    <r>
      <rPr>
        <b/>
        <sz val="11"/>
        <color rgb="FFFF0000"/>
        <rFont val="Aptos Display"/>
        <family val="1"/>
        <scheme val="major"/>
      </rPr>
      <t xml:space="preserve"> (RT-7591-000-PRT)</t>
    </r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</si>
  <si>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-87590-PN-R006</t>
    </r>
  </si>
  <si>
    <t>Craig Leung</t>
  </si>
  <si>
    <t>Michael Timpano</t>
  </si>
  <si>
    <r>
      <t xml:space="preserve">Cyl. Mtg Plate-   </t>
    </r>
    <r>
      <rPr>
        <b/>
        <sz val="12"/>
        <color rgb="FFFF0000"/>
        <rFont val="Aptos Display"/>
        <family val="1"/>
        <scheme val="major"/>
      </rPr>
      <t>F/I for Zinc Plating</t>
    </r>
  </si>
  <si>
    <r>
      <t xml:space="preserve">Spacer Rod -     </t>
    </r>
    <r>
      <rPr>
        <b/>
        <sz val="12"/>
        <color rgb="FFFF0000"/>
        <rFont val="Aptos Display"/>
        <family val="1"/>
        <scheme val="major"/>
      </rPr>
      <t>F/I for Zinc Plating</t>
    </r>
  </si>
  <si>
    <r>
      <t xml:space="preserve">Solid Ring-         </t>
    </r>
    <r>
      <rPr>
        <b/>
        <sz val="12"/>
        <color rgb="FFFF0000"/>
        <rFont val="Aptos Display"/>
        <family val="1"/>
        <scheme val="major"/>
      </rPr>
      <t>F/I for Zinc Plating</t>
    </r>
  </si>
  <si>
    <r>
      <t>Cylinder Saddle -</t>
    </r>
    <r>
      <rPr>
        <b/>
        <sz val="12"/>
        <color rgb="FFFF0000"/>
        <rFont val="Aptos Display"/>
        <family val="1"/>
        <scheme val="major"/>
      </rPr>
      <t xml:space="preserve"> F/I for Zinc Plating</t>
    </r>
  </si>
  <si>
    <r>
      <t xml:space="preserve">Split Ring-        </t>
    </r>
    <r>
      <rPr>
        <b/>
        <sz val="12"/>
        <color rgb="FFFF0000"/>
        <rFont val="Aptos Display"/>
        <family val="1"/>
        <scheme val="major"/>
      </rPr>
      <t>F/I for zinc Plating</t>
    </r>
  </si>
  <si>
    <t>LOT-420.00</t>
  </si>
  <si>
    <t>EVR-MS01-T3-152E2</t>
  </si>
  <si>
    <t>M10-1.5mm x 25mm Screw- Alloy 625</t>
  </si>
  <si>
    <t>Jasmine Bergeron Leva</t>
  </si>
  <si>
    <r>
      <t xml:space="preserve">Z-Axis Carriage- </t>
    </r>
    <r>
      <rPr>
        <b/>
        <sz val="12"/>
        <color rgb="FFFF0000"/>
        <rFont val="Aptos Display"/>
        <family val="1"/>
        <scheme val="major"/>
      </rPr>
      <t>F/I Casting</t>
    </r>
  </si>
  <si>
    <t>Ashna Irani-Kavasji</t>
  </si>
  <si>
    <r>
      <rPr>
        <b/>
        <sz val="12"/>
        <color theme="3" tint="0.39997558519241921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-87630-PN-R005</t>
    </r>
  </si>
  <si>
    <t>88485- Rev.5</t>
  </si>
  <si>
    <r>
      <t>700628267-</t>
    </r>
    <r>
      <rPr>
        <b/>
        <sz val="12"/>
        <color rgb="FFFF0000"/>
        <rFont val="Aptos Display"/>
        <family val="1"/>
        <scheme val="major"/>
      </rPr>
      <t>F/I</t>
    </r>
  </si>
  <si>
    <r>
      <t>MF Heatsing Liner-</t>
    </r>
    <r>
      <rPr>
        <b/>
        <sz val="12"/>
        <color rgb="FFFF0000"/>
        <rFont val="Aptos Display"/>
        <family val="1"/>
        <scheme val="major"/>
      </rPr>
      <t>F/I to Modify</t>
    </r>
  </si>
  <si>
    <t>Michael Timpao</t>
  </si>
  <si>
    <r>
      <rPr>
        <sz val="12"/>
        <color rgb="FF0070C0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-79112-PN-R002</t>
    </r>
  </si>
  <si>
    <t>Pablo Garcida</t>
  </si>
  <si>
    <r>
      <t xml:space="preserve">Table Shielding Plate    </t>
    </r>
    <r>
      <rPr>
        <b/>
        <sz val="12"/>
        <color rgb="FFFF0000"/>
        <rFont val="Aptos Display"/>
        <family val="1"/>
        <scheme val="major"/>
      </rPr>
      <t>( 103420)</t>
    </r>
  </si>
  <si>
    <t>88808- Rev.4</t>
  </si>
  <si>
    <r>
      <t xml:space="preserve">Counter Balance W/ Lead Assy </t>
    </r>
    <r>
      <rPr>
        <b/>
        <sz val="12"/>
        <color rgb="FFFF0000"/>
        <rFont val="Aptos Display"/>
        <family val="1"/>
        <scheme val="major"/>
      </rPr>
      <t>(100882)</t>
    </r>
  </si>
  <si>
    <t>NK38-DRAW-31935-10538-0001</t>
  </si>
  <si>
    <t>Dave Osmod</t>
  </si>
  <si>
    <r>
      <t xml:space="preserve">Counter Balance Weldment </t>
    </r>
    <r>
      <rPr>
        <b/>
        <sz val="12"/>
        <color rgb="FFFF0000"/>
        <rFont val="Aptos Display"/>
        <family val="1"/>
        <scheme val="major"/>
      </rPr>
      <t xml:space="preserve"> ( 103414)</t>
    </r>
  </si>
  <si>
    <r>
      <rPr>
        <b/>
        <sz val="12"/>
        <rFont val="Aptos Display"/>
        <family val="1"/>
        <scheme val="major"/>
      </rPr>
      <t>RT98</t>
    </r>
    <r>
      <rPr>
        <sz val="12"/>
        <rFont val="Aptos Display"/>
        <family val="1"/>
        <scheme val="major"/>
      </rPr>
      <t>-87250-PN-R007</t>
    </r>
  </si>
  <si>
    <t>62/25</t>
  </si>
  <si>
    <r>
      <t>216-02123-PN-</t>
    </r>
    <r>
      <rPr>
        <b/>
        <sz val="12"/>
        <color rgb="FFFF0000"/>
        <rFont val="Aptos Display"/>
        <family val="1"/>
        <scheme val="major"/>
      </rPr>
      <t>T101</t>
    </r>
  </si>
  <si>
    <r>
      <t>216-02123-PN-</t>
    </r>
    <r>
      <rPr>
        <b/>
        <sz val="12"/>
        <color rgb="FFFF0000"/>
        <rFont val="Aptos Display"/>
        <family val="1"/>
        <scheme val="major"/>
      </rPr>
      <t>T102</t>
    </r>
  </si>
  <si>
    <r>
      <t>216-02123-PN-</t>
    </r>
    <r>
      <rPr>
        <b/>
        <sz val="12"/>
        <color rgb="FFFF0000"/>
        <rFont val="Aptos Display"/>
        <family val="1"/>
        <scheme val="major"/>
      </rPr>
      <t>T104</t>
    </r>
  </si>
  <si>
    <t xml:space="preserve">DSK30901G04-101  </t>
  </si>
  <si>
    <t>Pablo Gracida</t>
  </si>
  <si>
    <t>4590038422-Rev.1</t>
  </si>
  <si>
    <r>
      <t xml:space="preserve">DSK30901G04-103 </t>
    </r>
    <r>
      <rPr>
        <b/>
        <sz val="12"/>
        <color rgb="FFFF0000"/>
        <rFont val="Aptos Display"/>
        <family val="1"/>
        <scheme val="major"/>
      </rPr>
      <t xml:space="preserve"> </t>
    </r>
  </si>
  <si>
    <t>972+ 443.20</t>
  </si>
  <si>
    <t>AA</t>
  </si>
  <si>
    <t>1 &amp; 2</t>
  </si>
  <si>
    <t>2+2</t>
  </si>
  <si>
    <r>
      <t>216-02123-PN-</t>
    </r>
    <r>
      <rPr>
        <b/>
        <sz val="12"/>
        <color rgb="FFFF0000"/>
        <rFont val="Aptos Display"/>
        <family val="1"/>
        <scheme val="major"/>
      </rPr>
      <t>T105</t>
    </r>
  </si>
  <si>
    <t>RT-88000-70164-038-1-GA-C</t>
  </si>
  <si>
    <t>2~6</t>
  </si>
  <si>
    <t>7~10</t>
  </si>
  <si>
    <t>Jasmine Bergeron-Leva</t>
  </si>
  <si>
    <t>Ann Nguyen/Carlton</t>
  </si>
  <si>
    <t>Iilario Iacoucci</t>
  </si>
  <si>
    <t>Mani Muralidharan</t>
  </si>
  <si>
    <t xml:space="preserve">F/I Aliminum </t>
  </si>
  <si>
    <t>Dean Moore</t>
  </si>
  <si>
    <t>Sheave Wheel- 2.45in, 860 c/w Brg</t>
  </si>
  <si>
    <t>William Won</t>
  </si>
  <si>
    <t>1~3</t>
  </si>
  <si>
    <r>
      <t xml:space="preserve">Pinion  </t>
    </r>
    <r>
      <rPr>
        <b/>
        <sz val="12"/>
        <rFont val="Aptos Display"/>
        <family val="1"/>
        <scheme val="major"/>
      </rPr>
      <t>G.01/ G.02 / G.03</t>
    </r>
  </si>
  <si>
    <t>3.76/2.97/2.86</t>
  </si>
  <si>
    <t>4~6</t>
  </si>
  <si>
    <r>
      <t xml:space="preserve">Bearing </t>
    </r>
    <r>
      <rPr>
        <b/>
        <sz val="12"/>
        <rFont val="Aptos Display"/>
        <family val="1"/>
        <scheme val="major"/>
      </rPr>
      <t>G.01/ G.02/  G.03</t>
    </r>
  </si>
  <si>
    <t>3.91/3.23/2.97</t>
  </si>
  <si>
    <r>
      <t xml:space="preserve">Brush-  </t>
    </r>
    <r>
      <rPr>
        <b/>
        <sz val="12"/>
        <rFont val="Aptos Display"/>
        <family val="1"/>
        <scheme val="major"/>
      </rPr>
      <t>G.01 / G.02/  G.03</t>
    </r>
  </si>
  <si>
    <t>3.74/2.99/2.86</t>
  </si>
  <si>
    <t>Melissa Garneau</t>
  </si>
  <si>
    <t>Steve Davey</t>
  </si>
  <si>
    <t>2 &amp; 9</t>
  </si>
  <si>
    <t>7.65/ 8.30</t>
  </si>
  <si>
    <t>10 &amp; 12</t>
  </si>
  <si>
    <t>4.80 /5.28</t>
  </si>
  <si>
    <r>
      <rPr>
        <b/>
        <sz val="12"/>
        <color theme="3" tint="0.39997558519241921"/>
        <rFont val="Aptos Display"/>
        <family val="1"/>
        <scheme val="major"/>
      </rPr>
      <t>RT79</t>
    </r>
    <r>
      <rPr>
        <sz val="12"/>
        <rFont val="Aptos Display"/>
        <family val="1"/>
        <scheme val="major"/>
      </rPr>
      <t>-87840-PN-R002</t>
    </r>
  </si>
  <si>
    <t>Kinectrics KPN</t>
  </si>
  <si>
    <t>NPD0059-7-WLD-2418</t>
  </si>
  <si>
    <t>LJUBO</t>
  </si>
  <si>
    <r>
      <t xml:space="preserve">Spool </t>
    </r>
    <r>
      <rPr>
        <b/>
        <sz val="12"/>
        <rFont val="Aptos Display"/>
        <family val="1"/>
        <scheme val="major"/>
      </rPr>
      <t>736 mm</t>
    </r>
    <r>
      <rPr>
        <sz val="12"/>
        <rFont val="Aptos Display"/>
        <family val="1"/>
        <scheme val="major"/>
      </rPr>
      <t xml:space="preserve"> F/I mat'l for R/W</t>
    </r>
  </si>
  <si>
    <r>
      <t xml:space="preserve">Spool </t>
    </r>
    <r>
      <rPr>
        <b/>
        <sz val="12"/>
        <rFont val="Aptos Display"/>
        <family val="1"/>
        <scheme val="major"/>
      </rPr>
      <t>50mm</t>
    </r>
    <r>
      <rPr>
        <sz val="12"/>
        <rFont val="Aptos Display"/>
        <family val="1"/>
        <scheme val="major"/>
      </rPr>
      <t xml:space="preserve"> F/I Mat'l for R/W</t>
    </r>
  </si>
  <si>
    <t>Daryl Lockwood</t>
  </si>
  <si>
    <t>Paul Driedger</t>
  </si>
  <si>
    <r>
      <t xml:space="preserve">Enclosure Cutouts- </t>
    </r>
    <r>
      <rPr>
        <sz val="12"/>
        <color rgb="FFFF0000"/>
        <rFont val="Aptos Display"/>
        <family val="1"/>
        <scheme val="major"/>
      </rPr>
      <t>Sht # 1</t>
    </r>
    <r>
      <rPr>
        <sz val="12"/>
        <rFont val="Aptos Display"/>
        <family val="1"/>
        <scheme val="major"/>
      </rPr>
      <t>-</t>
    </r>
    <r>
      <rPr>
        <b/>
        <sz val="12"/>
        <rFont val="Aptos Display"/>
        <family val="1"/>
        <scheme val="major"/>
      </rPr>
      <t xml:space="preserve"> F/I Mat'l</t>
    </r>
  </si>
  <si>
    <r>
      <t xml:space="preserve">PSU Enclosure Cutouts </t>
    </r>
    <r>
      <rPr>
        <sz val="12"/>
        <color rgb="FFFF0000"/>
        <rFont val="Aptos Display"/>
        <family val="1"/>
        <scheme val="major"/>
      </rPr>
      <t>Sht# 8</t>
    </r>
    <r>
      <rPr>
        <sz val="12"/>
        <rFont val="Aptos Display"/>
        <family val="1"/>
        <scheme val="major"/>
      </rPr>
      <t xml:space="preserve">- </t>
    </r>
    <r>
      <rPr>
        <b/>
        <sz val="12"/>
        <color theme="1"/>
        <rFont val="Aptos Display"/>
        <family val="1"/>
        <scheme val="major"/>
      </rPr>
      <t>F/I Mat'l</t>
    </r>
  </si>
  <si>
    <r>
      <t xml:space="preserve">Enclosure Back Plate- </t>
    </r>
    <r>
      <rPr>
        <sz val="12"/>
        <color rgb="FFFF3300"/>
        <rFont val="Aptos Display"/>
        <family val="1"/>
        <scheme val="major"/>
      </rPr>
      <t>Sht # 1</t>
    </r>
    <r>
      <rPr>
        <b/>
        <sz val="12"/>
        <color theme="1"/>
        <rFont val="Aptos Display"/>
        <family val="1"/>
        <scheme val="major"/>
      </rPr>
      <t xml:space="preserve"> F/I Mat'l </t>
    </r>
  </si>
  <si>
    <r>
      <t xml:space="preserve">Enclosure Back Plate- </t>
    </r>
    <r>
      <rPr>
        <sz val="12"/>
        <color rgb="FFFF0000"/>
        <rFont val="Aptos Display"/>
        <family val="1"/>
        <scheme val="major"/>
      </rPr>
      <t xml:space="preserve">Sht # 2 </t>
    </r>
    <r>
      <rPr>
        <b/>
        <sz val="12"/>
        <color theme="1"/>
        <rFont val="Aptos Display"/>
        <family val="1"/>
        <scheme val="major"/>
      </rPr>
      <t xml:space="preserve">F/I Mat'l </t>
    </r>
  </si>
  <si>
    <r>
      <t xml:space="preserve">Add cut-outs per R01 Dwg </t>
    </r>
    <r>
      <rPr>
        <b/>
        <sz val="12"/>
        <rFont val="Aptos Display"/>
        <family val="1"/>
        <scheme val="major"/>
      </rPr>
      <t>F/I Mat'l</t>
    </r>
  </si>
  <si>
    <r>
      <t xml:space="preserve">Heater PSU Mtg Plate </t>
    </r>
    <r>
      <rPr>
        <b/>
        <sz val="12"/>
        <color theme="1"/>
        <rFont val="Aptos Display"/>
        <family val="1"/>
        <scheme val="major"/>
      </rPr>
      <t>( new)</t>
    </r>
  </si>
  <si>
    <t>Keith Hou</t>
  </si>
  <si>
    <t>Tony Mazza</t>
  </si>
  <si>
    <t>Husky</t>
  </si>
  <si>
    <t>Leveling Bar</t>
  </si>
  <si>
    <t>RT-87920-74245-034-1-DD-B</t>
  </si>
  <si>
    <t>Front Tube Support Retainer</t>
  </si>
  <si>
    <r>
      <t>216-02123-PN-</t>
    </r>
    <r>
      <rPr>
        <b/>
        <sz val="12"/>
        <color rgb="FFFF0000"/>
        <rFont val="Aptos Display"/>
        <family val="1"/>
        <scheme val="major"/>
      </rPr>
      <t>T110</t>
    </r>
  </si>
  <si>
    <t>RT-87920-74245-032-1-DD-B</t>
  </si>
  <si>
    <t>Front Tube Support</t>
  </si>
  <si>
    <t>RT-87920-74245-033-1-DD-B</t>
  </si>
  <si>
    <t>Front Support Screw Retainer</t>
  </si>
  <si>
    <t>RT-87920-74245-030-1-DD-B</t>
  </si>
  <si>
    <t>Front Support Pivot Base</t>
  </si>
  <si>
    <t>RT-87920-74245-029-1-DD-B</t>
  </si>
  <si>
    <t>Front Support Spacer</t>
  </si>
  <si>
    <t>RT-87920-74245-028-1-DD-B</t>
  </si>
  <si>
    <t>Base Plate</t>
  </si>
  <si>
    <t>RT-87920-74245-031-1-DD-B</t>
  </si>
  <si>
    <t>Screw Pivot</t>
  </si>
  <si>
    <t>RT-87920-74245-048-1-DD-B</t>
  </si>
  <si>
    <t>Coupling</t>
  </si>
  <si>
    <t>RT-87920-74245-047-1-DD-B</t>
  </si>
  <si>
    <t>RT-87920-74245-024-1-DD-B</t>
  </si>
  <si>
    <t>Split Collar</t>
  </si>
  <si>
    <t>K-940121-DET-6001</t>
  </si>
  <si>
    <t>Ljubo Djordjic</t>
  </si>
  <si>
    <t>Enclosure F/I to Modify</t>
  </si>
  <si>
    <t>Titanium Test Piece</t>
  </si>
  <si>
    <t>CAT5880-2</t>
  </si>
  <si>
    <t>LG Handling Dolly</t>
  </si>
  <si>
    <t>7000543134- Rev.1</t>
  </si>
  <si>
    <t>NMP6-3B-Asy-R/W</t>
  </si>
  <si>
    <t xml:space="preserve">John </t>
  </si>
  <si>
    <r>
      <t>4-Pis. Inj.Blk-R/W-</t>
    </r>
    <r>
      <rPr>
        <sz val="11"/>
        <color rgb="FFFF0000"/>
        <rFont val="Aptos Display"/>
        <family val="1"/>
        <scheme val="major"/>
      </rPr>
      <t xml:space="preserve"> </t>
    </r>
    <r>
      <rPr>
        <b/>
        <sz val="11"/>
        <color rgb="FFFF0000"/>
        <rFont val="Aptos Display"/>
        <family val="1"/>
        <scheme val="major"/>
      </rPr>
      <t>WO#25-7006- Kyushu</t>
    </r>
  </si>
  <si>
    <t>ALTRIM-HFH  R/W</t>
  </si>
  <si>
    <r>
      <t xml:space="preserve">Atrim HFH-R/W- </t>
    </r>
    <r>
      <rPr>
        <b/>
        <sz val="10"/>
        <color rgb="FFFF0000"/>
        <rFont val="Aptos Display"/>
        <family val="1"/>
        <scheme val="major"/>
      </rPr>
      <t>WO#25-7020- Blenheim - 1.25mm</t>
    </r>
  </si>
  <si>
    <t xml:space="preserve">ALTRIM-HFH- R/W </t>
  </si>
  <si>
    <r>
      <t xml:space="preserve">Altrim HFH-R/W- </t>
    </r>
    <r>
      <rPr>
        <b/>
        <sz val="10"/>
        <color rgb="FFFF0000"/>
        <rFont val="Aptos Display"/>
        <family val="1"/>
        <scheme val="major"/>
      </rPr>
      <t>WO#25-7075- Fremont - 1.25mm</t>
    </r>
  </si>
  <si>
    <r>
      <t>4-Pis. Inj.Blk-R/W-</t>
    </r>
    <r>
      <rPr>
        <b/>
        <sz val="11"/>
        <rFont val="Aptos Display"/>
        <family val="1"/>
        <scheme val="major"/>
      </rPr>
      <t xml:space="preserve"> </t>
    </r>
    <r>
      <rPr>
        <b/>
        <sz val="11"/>
        <color rgb="FFFF0000"/>
        <rFont val="Aptos Display"/>
        <family val="1"/>
        <scheme val="major"/>
      </rPr>
      <t>WO#25-7090- Fremont</t>
    </r>
  </si>
  <si>
    <r>
      <t xml:space="preserve">Atrim HFH-R/W- </t>
    </r>
    <r>
      <rPr>
        <b/>
        <sz val="10"/>
        <color rgb="FFFF0000"/>
        <rFont val="Aptos Display"/>
        <family val="1"/>
        <scheme val="major"/>
      </rPr>
      <t>WO#25-7091- Fremont - 1.25mm</t>
    </r>
  </si>
  <si>
    <r>
      <t xml:space="preserve">Atrim HFH-R/W- </t>
    </r>
    <r>
      <rPr>
        <b/>
        <sz val="10"/>
        <color rgb="FFFF0000"/>
        <rFont val="Aptos Display"/>
        <family val="1"/>
        <scheme val="major"/>
      </rPr>
      <t>WO#25-7108- Guangzhou- 1.25mm</t>
    </r>
  </si>
  <si>
    <r>
      <t xml:space="preserve">Atrim HFH-R/W- </t>
    </r>
    <r>
      <rPr>
        <b/>
        <sz val="10"/>
        <color rgb="FFFF0000"/>
        <rFont val="Aptos Display"/>
        <family val="1"/>
        <scheme val="major"/>
      </rPr>
      <t>WO#25-7109- Guangzhou - 1.25mm</t>
    </r>
  </si>
  <si>
    <r>
      <t>4-Pis. Inj.Blk-R/W-</t>
    </r>
    <r>
      <rPr>
        <b/>
        <sz val="11"/>
        <color rgb="FFFF0000"/>
        <rFont val="Aptos Display"/>
        <family val="1"/>
        <scheme val="major"/>
      </rPr>
      <t>WO#25-7110-Guangzhou</t>
    </r>
  </si>
  <si>
    <r>
      <t xml:space="preserve">Atrim HFH-R/W- </t>
    </r>
    <r>
      <rPr>
        <b/>
        <sz val="10"/>
        <color rgb="FFFF0000"/>
        <rFont val="Aptos Display"/>
        <family val="1"/>
        <scheme val="major"/>
      </rPr>
      <t>WO#25-7111- Anjo- 0.85mm</t>
    </r>
  </si>
  <si>
    <t>M.D.A</t>
  </si>
  <si>
    <t>Madhu Ragavan Mani</t>
  </si>
  <si>
    <t>Frame Assembly</t>
  </si>
  <si>
    <t>PO1020373</t>
  </si>
  <si>
    <t>RT79-87920-PN-R005</t>
  </si>
  <si>
    <t>-</t>
  </si>
  <si>
    <t>RT98-87550-PN-R004-R.1</t>
  </si>
  <si>
    <t>88243- Rev.14</t>
  </si>
  <si>
    <t>RT79-79113-PN-R001-R.1</t>
  </si>
  <si>
    <t>RT79-87550-PN-R001-R.1</t>
  </si>
  <si>
    <t>M10-1.5mm x 25mm Screw-Alloy 625</t>
  </si>
  <si>
    <t>88808- Rev.0</t>
  </si>
  <si>
    <t>Counter Balance Weldment (103414)</t>
  </si>
  <si>
    <t>216-02123-PN-T110</t>
  </si>
  <si>
    <t>4-Pis. Inj.Blk-R/W- WO#25-7006- Kyushu</t>
  </si>
  <si>
    <t>Atrim HFH-R/W- WO#25-7020- Blenheim - 1.25mm</t>
  </si>
  <si>
    <t>Altrim HFH-R/W- WO#25-7075- Fremont - 1.25mm</t>
  </si>
  <si>
    <t>4-Pis. Inj.Blk-R/W- WO#25-7090- Fremont</t>
  </si>
  <si>
    <t>Atrim HFH-R/W- WO#25-7091- Fremont - 1.25mm</t>
  </si>
  <si>
    <t>Atrim HFH-R/W- WO#25-7108- Guangzhou- 1.25mm</t>
  </si>
  <si>
    <t>Atrim HFH-R/W- WO#25-7109- Guangzhou - 1.25mm</t>
  </si>
  <si>
    <t>4-Pis. Inj.Blk-R/W-WO#25-7110-Guangzhou</t>
  </si>
  <si>
    <t>Atrim HFH-R/W- WO#25-7111- Anjo- 0.85mm</t>
  </si>
  <si>
    <t>Seal Ring (31910-814-1)</t>
  </si>
  <si>
    <t>Spacer (31910-823-1)</t>
  </si>
  <si>
    <t>Inner Tube ASSY</t>
  </si>
  <si>
    <t>Outer Tube ASSY</t>
  </si>
  <si>
    <t>Tygon Tube (31910-807-1)</t>
  </si>
  <si>
    <t>Centerring Disc (31910-854-1)</t>
  </si>
  <si>
    <t>Tube (31910-807-1)</t>
  </si>
  <si>
    <t>Tube (31910-823-1)</t>
  </si>
  <si>
    <t>Spacer (31910-819-1)</t>
  </si>
  <si>
    <t>Steel Tube (98-31910-21-1)</t>
  </si>
  <si>
    <t>12918-0038-0001</t>
  </si>
  <si>
    <t>Sleeve Guide (98-31910-21-1)</t>
  </si>
  <si>
    <t>12918-0038-0002</t>
  </si>
  <si>
    <t>12918-0038-0003</t>
  </si>
  <si>
    <t>Retaining Latch (98-31910-21-1) SUB ASSY</t>
  </si>
  <si>
    <t>12918-0038-0004</t>
  </si>
  <si>
    <t>Spring (98-31910-21-1)</t>
  </si>
  <si>
    <t>12918-0038-0100</t>
  </si>
  <si>
    <t>Block (98-31910-21-1)</t>
  </si>
  <si>
    <t>12918-0038-0101</t>
  </si>
  <si>
    <t>Vacuum Line Adapter (31910-47-1)</t>
  </si>
  <si>
    <t>12918-0068-0005</t>
  </si>
  <si>
    <t>Elbow (31910-47-1)</t>
  </si>
  <si>
    <t>12918-0068-0007</t>
  </si>
  <si>
    <t>Calibrated Tape Holder</t>
  </si>
  <si>
    <t>RT-88010-0008-01-DD-C</t>
  </si>
  <si>
    <t>Plate</t>
  </si>
  <si>
    <t>RT-88010-0006-01-DD-C</t>
  </si>
  <si>
    <t>Pulley Shaft</t>
  </si>
  <si>
    <t>RT-88010-0007-01-DD-C</t>
  </si>
  <si>
    <t>Pulley Bracket</t>
  </si>
  <si>
    <t>RT-88010-0013-01-GA-C</t>
  </si>
  <si>
    <t>PULLEY BRACKET</t>
  </si>
  <si>
    <t>RT-88010-0014-01-GA-C</t>
  </si>
  <si>
    <t>RT-88010-0015-01-GA-C</t>
  </si>
  <si>
    <t>RT-88010-0016-01-GA-C</t>
  </si>
  <si>
    <t>SLEEVE TUBE</t>
  </si>
  <si>
    <t>RT-88000-70047-001-1-DD-B</t>
  </si>
  <si>
    <t>SLEEVE GUIDE 1</t>
  </si>
  <si>
    <t>RT-88000-70047-002-1-DD-B</t>
  </si>
  <si>
    <t>SLEEVE GUIDE 2</t>
  </si>
  <si>
    <t>RT-88000-70047-003-1-DD-B</t>
  </si>
  <si>
    <t>RETAINING LATCH</t>
  </si>
  <si>
    <t>RT-88000-70047-004-1-DD-B</t>
  </si>
  <si>
    <t>TOOL CART GENERAL ASSEMBLY</t>
  </si>
  <si>
    <t>RT-87540-0200-01-GA-0</t>
  </si>
  <si>
    <t>CATCH TRAY ASSEMBLY</t>
  </si>
  <si>
    <t>RT-87540-0118-01-GA-0</t>
  </si>
  <si>
    <t>PIN</t>
  </si>
  <si>
    <t>RING</t>
  </si>
  <si>
    <t>BLOCK</t>
  </si>
  <si>
    <t>RT-87540-0177-01-DD-2</t>
  </si>
  <si>
    <t>TAP HOLDER</t>
  </si>
  <si>
    <t>RT-87540-0173-01-DD-2</t>
  </si>
  <si>
    <t>SPRING PIN HOLDER</t>
  </si>
  <si>
    <t>RT-87540-0140-01-DD-2</t>
  </si>
  <si>
    <t>MODIFIED DETENT PIN</t>
  </si>
  <si>
    <t>RT-87540-0125-01-DD-2</t>
  </si>
  <si>
    <t>PIN HOLDER</t>
  </si>
  <si>
    <t>BRACKET</t>
  </si>
  <si>
    <t>RT-87540-0131-01-DD-2</t>
  </si>
  <si>
    <t>SHORT STUD</t>
  </si>
  <si>
    <t>RT-87540-0136-01-DD-2</t>
  </si>
  <si>
    <t>LONG STUD</t>
  </si>
  <si>
    <t>RT-87540-0135-01-DD-2</t>
  </si>
  <si>
    <t>COUPLING</t>
  </si>
  <si>
    <t>RT-87540-0134-01-DD-2</t>
  </si>
  <si>
    <t>OUTER TUBE</t>
  </si>
  <si>
    <t>INNER TUBE</t>
  </si>
  <si>
    <t>RT-87540-0133-01-DD-2</t>
  </si>
  <si>
    <t>RT-87540-0132-01-DD-2</t>
  </si>
  <si>
    <t>SHAFT WELDMENT</t>
  </si>
  <si>
    <t>RT-87540-0113-01-DD-2</t>
  </si>
  <si>
    <t>SUPPORT BRACKET</t>
  </si>
  <si>
    <t>RT-87540-0114-01-DD-2</t>
  </si>
  <si>
    <t>SCREW CAP HEX HD.
1/4-20UNC-2A X 1.25 LG.</t>
  </si>
  <si>
    <t>ASTM A307/ #B-46</t>
  </si>
  <si>
    <t>NUT JAM HEX
1/4-20UNC-2B, GRADE 5</t>
  </si>
  <si>
    <t>STEEL / #HN-49</t>
  </si>
  <si>
    <t>PIN SLOTTED SPRING TENSION
.0625 DIA X .375 LG.</t>
  </si>
  <si>
    <t>CARBON STL./ #TP-48</t>
  </si>
  <si>
    <t>PROTECTIVE SLLEVE (31910 52-1)</t>
  </si>
  <si>
    <t>RT-88000-70146-002-1-DD-D</t>
  </si>
  <si>
    <t>BASE PLATE</t>
  </si>
  <si>
    <t>RUBBER FOAM 36" X 36" X 3/8" THK</t>
  </si>
  <si>
    <t>TUBE, 1/2" OD X .049" THK x 48" LG</t>
  </si>
  <si>
    <t>SBR FOAM RUBBER / # 8647K45</t>
  </si>
  <si>
    <t>STAINLESS STEEL, TYPE-304 /
# 8989K25</t>
  </si>
  <si>
    <t>ACME NUT HOLDER</t>
  </si>
  <si>
    <t>HANDLE</t>
  </si>
  <si>
    <t>BRONZE BEARING</t>
  </si>
  <si>
    <t>TUBING WELDMENT</t>
  </si>
  <si>
    <t>SHAFT SUPPORT</t>
  </si>
  <si>
    <t>HANDLE BAR</t>
  </si>
  <si>
    <t>ACME SCREW-MODIFIED</t>
  </si>
  <si>
    <t>REACTION PLATE</t>
  </si>
  <si>
    <t>BAR</t>
  </si>
  <si>
    <t>RT-87540-0160-01-DD-2</t>
  </si>
  <si>
    <t>RT-87540-0161-01-DD-2</t>
  </si>
  <si>
    <t>RT-87540-0162-01-DD-2</t>
  </si>
  <si>
    <t>RT-87540-0163-01-DD-2</t>
  </si>
  <si>
    <t>RT-87540-0164-01-DD-2</t>
  </si>
  <si>
    <t>RT-87540-0165-01-DD-2</t>
  </si>
  <si>
    <t>RT-87540-0171-01-DD-2</t>
  </si>
  <si>
    <t>RT-87540-0172-01-DD-2</t>
  </si>
  <si>
    <t>RT-87540-0170-01-DD-2</t>
  </si>
  <si>
    <t>HANDLE WELDMENT</t>
  </si>
  <si>
    <t>RT-87540-0175-01-DD-2</t>
  </si>
  <si>
    <t>RT-87540-0176-01-DD-2</t>
  </si>
  <si>
    <t>ADAPTOR WELDMENT</t>
  </si>
  <si>
    <t>SLIDE HAMMER ASSEMBLY</t>
  </si>
  <si>
    <t>SCREW SET HEX SOC CUP POINT
#10-24UNC-3A X 3/16 LG</t>
  </si>
  <si>
    <t>RT-87540-0110-01-DD-2</t>
  </si>
  <si>
    <t>RT-87540-0142-01-GA-2</t>
  </si>
  <si>
    <t>ALLOY STL. / #HK358-1044</t>
  </si>
  <si>
    <t>HANDLE ASSEMBLY (SHORT)</t>
  </si>
  <si>
    <t>COUPLING, TOOL HOLDER</t>
  </si>
  <si>
    <t>MODIFIED THREADED PLUG GAUGE SET 1.25-8 UN-2B</t>
  </si>
  <si>
    <t>RT-87540-0145-01-GA-1</t>
  </si>
  <si>
    <t>RT-87540-0146-01-DD-2</t>
  </si>
  <si>
    <t>HANDLE WELDMENT (SHORT)</t>
  </si>
  <si>
    <t>SCREW SOC HD SET CUP POINT 1/4-20 UNC-2A X 3/8" LG</t>
  </si>
  <si>
    <t>RT-87540-0180-01-DD-2</t>
  </si>
  <si>
    <t>HANDLE WELDMENT (LONG)</t>
  </si>
  <si>
    <t>RT-87540-0183-01-DD-2</t>
  </si>
  <si>
    <t>PIN, SLOTTED SPRING,
.125 DIA X .625 LG</t>
  </si>
  <si>
    <t>PIN, SLOTTED SPRING,
.125 DIA X 1.00 LG</t>
  </si>
  <si>
    <t>TAG, BLANK METAL ENGRAVING, DIA 2"</t>
  </si>
  <si>
    <t>AIR CRAFT WIRE 1/16 DIA X 1 X 7
STRAND</t>
  </si>
  <si>
    <t>SWAGE SLEEVE, OVAL</t>
  </si>
  <si>
    <t>RT-87540-0121-01-DD-2</t>
  </si>
  <si>
    <t>RT-87540-0122-01-DD-2</t>
  </si>
  <si>
    <t>AISI 420/ # 240-008</t>
  </si>
  <si>
    <t>AISI 420/ # TP-2002</t>
  </si>
  <si>
    <t>PART No 1540T52 / 304 SS</t>
  </si>
  <si>
    <t>PART No 3461T11 / 304 SS</t>
  </si>
  <si>
    <t>PART No 3633T2</t>
  </si>
  <si>
    <t>RT-87540-0149-01-DD-2</t>
  </si>
  <si>
    <t>ADAPTOR</t>
  </si>
  <si>
    <t>MODIFIED MAGNET, RING</t>
  </si>
  <si>
    <t>RT-87540-0124-01-DD-2</t>
  </si>
  <si>
    <t>RT-87540-0126-01-DD-2</t>
  </si>
  <si>
    <t>RT-87540-0143-01-DD-3</t>
  </si>
  <si>
    <t>O-RING, .239 I.D. x .07 WIDE,
AS568A-010</t>
  </si>
  <si>
    <t>BUNA-N / #9555K11</t>
  </si>
  <si>
    <t>DIGIMATIC INDICATOR PROTECTIVE COVER
ASSEMBLY</t>
  </si>
  <si>
    <t>DIGITAL INDICATOR PROTECTIVE COVER</t>
  </si>
  <si>
    <t>CENTERING RING CTRJ</t>
  </si>
  <si>
    <t>MODIFIED COLLAR</t>
  </si>
  <si>
    <t>LANDING TIP</t>
  </si>
  <si>
    <t>MKII BORE GAUGE (VENDOR SUPPLIED)</t>
  </si>
  <si>
    <t>BUSHING</t>
  </si>
  <si>
    <t>RT38-17000-054_000-1000-000-01-GA-C</t>
  </si>
  <si>
    <t>RT-87920-0358-01-GA-D</t>
  </si>
  <si>
    <t>RT38-16300-033_000-0000-001-01-DD-B</t>
  </si>
  <si>
    <t>RT38-87920-0651-1-DD-B</t>
  </si>
  <si>
    <t>RT38-16300-033_000-0000-002-01-DD-B</t>
  </si>
  <si>
    <t>RT-87920-0352-01-DD-D</t>
  </si>
  <si>
    <t>RT38-15300-032_000-0000-006-01-DD-C</t>
  </si>
  <si>
    <t>DIGIMATIC INDICATOR PROTECTIVE
COVER BASE</t>
  </si>
  <si>
    <t>DIGIMATIC INDICATOR PROTECTIVE
COVER CLAMP</t>
  </si>
  <si>
    <t>RT38-17000-054_000-1000-001-01-DD-C</t>
  </si>
  <si>
    <t>RT38-17000-054_000-1000-002-01-DD-B</t>
  </si>
  <si>
    <t>TOP</t>
  </si>
  <si>
    <t>U3 CENTERING RING- NO THRU CUT</t>
  </si>
  <si>
    <t>U3 CENTERING RING-THRU CUT</t>
  </si>
  <si>
    <t>U3 SHIELD PLUG-THRU CUT</t>
  </si>
  <si>
    <t>U3 SHIELD PLUG</t>
  </si>
  <si>
    <t>U3 MARKER RING</t>
  </si>
  <si>
    <t>U3 OUTBOARD PIECE</t>
  </si>
  <si>
    <t>U3 SLIDER BLOCK</t>
  </si>
  <si>
    <t>U3 PIPE WELDMENT 1</t>
  </si>
  <si>
    <t>U3 PIPE WELDMENT 2</t>
  </si>
  <si>
    <t>U3 BALL PIN ASSEMBLY</t>
  </si>
  <si>
    <t>QUICK RELEASE PIN, MODIFIED</t>
  </si>
  <si>
    <t>HEAD ADAPTER</t>
  </si>
  <si>
    <t>COILFORMER BODY</t>
  </si>
  <si>
    <t>INBOARD PIECE</t>
  </si>
  <si>
    <t>STAND OFF</t>
  </si>
  <si>
    <t>MCR-17300-030-000001-01-DD-C</t>
  </si>
  <si>
    <t>MCR-17300-030-000002-01-DD-C</t>
  </si>
  <si>
    <t>MCR-17300-030-000003-01-DD-C</t>
  </si>
  <si>
    <t>MCR-17300-030-000004-01-DD-C</t>
  </si>
  <si>
    <t>MCR-17300-030-000005-01-DD-C</t>
  </si>
  <si>
    <t>MCR-17300-030-000006-01-DD-C</t>
  </si>
  <si>
    <t>MCR-17300-030-000007-01-DD-C</t>
  </si>
  <si>
    <t>2 MCR-17300-030-100000-01-GA-C</t>
  </si>
  <si>
    <t>MCR-17300-030-200000-01-GA-C</t>
  </si>
  <si>
    <t>MCR-17300-030-300000-01-GA-C</t>
  </si>
  <si>
    <t>MCR-17000-030-400000-01-GA-C</t>
  </si>
  <si>
    <t>MCR-17300-008-000001-01-DD-C</t>
  </si>
  <si>
    <t>MCR-17300-008-000004-01-DD-C</t>
  </si>
  <si>
    <t>MCR-17300-008-000007-01-DD-C</t>
  </si>
  <si>
    <t>MCR-17300-008-000008-01-DD-C</t>
  </si>
  <si>
    <t>PIVOT PIN-PART 1 (31910-637-1)</t>
  </si>
  <si>
    <t>ADJUSTING SCREW-PART1 (31910-643-1)</t>
  </si>
  <si>
    <t>NUT (31910-640-1)</t>
  </si>
  <si>
    <t>ADJUSTING SCREW-PART2 (31910-643-1)</t>
  </si>
  <si>
    <t>SPACER (31910-639-1)</t>
  </si>
  <si>
    <t>PIVOT PIN-PART 2 (31910-637-1)</t>
  </si>
  <si>
    <t>RT-0085-PT STRAIGHTENING TOOL ASSEMBLY</t>
  </si>
  <si>
    <t>SPIGOT (31910-641-1)</t>
  </si>
  <si>
    <t>SHAFT (31910-644-1)</t>
  </si>
  <si>
    <t>12918-0085-0011</t>
  </si>
  <si>
    <t>12918-0085-0012</t>
  </si>
  <si>
    <t>SHAFT END (31910-573-1)</t>
  </si>
  <si>
    <t>SHAFT (31910-573-1)</t>
  </si>
  <si>
    <t>SHAFT ASSY (31910-573-1)</t>
  </si>
  <si>
    <t>HOUSING CENTER (31910-634-1)</t>
  </si>
  <si>
    <t>HOUSING END (31910-635-1)</t>
  </si>
  <si>
    <t>HOUSING ASSY  (31910-632-1)</t>
  </si>
  <si>
    <t>TORQUE RESTRAINING TOOL ASSY (31910-578-1)</t>
  </si>
  <si>
    <t>CENTERING DISC (98-31910-723-1)</t>
  </si>
  <si>
    <t>REAR RADIATION SHIELD</t>
  </si>
  <si>
    <t>FRONT RADIATION SHIELD</t>
  </si>
  <si>
    <t>SPCKET HEAD CAP SCREW</t>
  </si>
  <si>
    <t>SOCKET HEAD CAP SCREW-STAINLESS STEEL</t>
  </si>
  <si>
    <t>SHCS 1/4-20X1 (HARDWARE)</t>
  </si>
  <si>
    <t>73496 (FASTENAL)</t>
  </si>
  <si>
    <t>SUPPORT ASSY</t>
  </si>
  <si>
    <t>INBOARD GUIDE ASSY</t>
  </si>
  <si>
    <t>GUIDE RING</t>
  </si>
  <si>
    <t>ECCENTRIC LOCATOR</t>
  </si>
  <si>
    <t>CENTERING RING</t>
  </si>
  <si>
    <t>ADJUSTABLE STOP</t>
  </si>
  <si>
    <t>ARM</t>
  </si>
  <si>
    <t>TUBE POSITION INDICATOR</t>
  </si>
  <si>
    <t>TUBE</t>
  </si>
  <si>
    <t>TUBE STOP SET-UP TOOL</t>
  </si>
  <si>
    <t>SPROCKET</t>
  </si>
  <si>
    <t>ADJUSTER BLOCK</t>
  </si>
  <si>
    <t>SHAFT</t>
  </si>
  <si>
    <t>SHAFT EXTENSION</t>
  </si>
  <si>
    <t>ROLLER</t>
  </si>
  <si>
    <t>ROLLER SUPPORT</t>
  </si>
  <si>
    <t>ROLLER SHAFT</t>
  </si>
  <si>
    <t>PIVOT PIN</t>
  </si>
  <si>
    <t>PLUNGER</t>
  </si>
  <si>
    <t>SPACER</t>
  </si>
  <si>
    <t>THRUST WASHER</t>
  </si>
  <si>
    <t>SHIELD</t>
  </si>
  <si>
    <t>RT-88000-70118-001-1-DD-D</t>
  </si>
  <si>
    <t>RT-88000-70118-042-1-DD-B</t>
  </si>
  <si>
    <t>RT-88000-70118-038-1-DD-B</t>
  </si>
  <si>
    <t>RT-88000-70118-050-1-DD-B</t>
  </si>
  <si>
    <t>RT-88000-70118-040-1-DD-B</t>
  </si>
  <si>
    <t>RT-88000-70118-037-1-DD-B</t>
  </si>
  <si>
    <t>RT-88000-70118-036-1-DD-B</t>
  </si>
  <si>
    <t>RT-88000-70118-019-1-DD-B</t>
  </si>
  <si>
    <t>RT-88000-70118-021-1-DD-B</t>
  </si>
  <si>
    <t>RT-88000-70118-005-1-DD-B</t>
  </si>
  <si>
    <t>RT-88000-70118-051-1-DD-B</t>
  </si>
  <si>
    <t>RT-88000-70118-049-1-DD-B</t>
  </si>
  <si>
    <t>RT-88000-70118-004-1-DD-B</t>
  </si>
  <si>
    <t>RT-88000-70118-016-1-DD-B</t>
  </si>
  <si>
    <t>RT-88000-70118-011-1-DD-B</t>
  </si>
  <si>
    <t>RT-88000-70118-034-1-DD-B</t>
  </si>
  <si>
    <t>RT-88000-70118-010-1-DD-B</t>
  </si>
  <si>
    <t>RT-88000-70118-014-1-DD-B</t>
  </si>
  <si>
    <t>RT-88000-70118-031-1-DD-B</t>
  </si>
  <si>
    <t>RT-88000-70118-030-1-DD-B</t>
  </si>
  <si>
    <t>RT-88000-70118-029-1-DD-B</t>
  </si>
  <si>
    <t>RT-88000-70118-008-1-DD-B</t>
  </si>
  <si>
    <t>RT-88000-70118-006-1-DD-B</t>
  </si>
  <si>
    <t>RT-88000-70118-007-1-DD-B</t>
  </si>
  <si>
    <t>RT-88000-70118-046-1-DD-B</t>
  </si>
  <si>
    <t>RT-88000-70118-009-1-DD-B</t>
  </si>
  <si>
    <t>RT-88000-70118-022-1-DD-B</t>
  </si>
  <si>
    <t>RT-88000-70118-045-1-DD-B</t>
  </si>
  <si>
    <t>RT-88000-70118-013-1-DD-B</t>
  </si>
  <si>
    <t>RT-88000-70118-043-1-DD-B</t>
  </si>
  <si>
    <t>RT-88000-70118-083-1-DD-D</t>
  </si>
  <si>
    <t>PIVOT FORK</t>
  </si>
  <si>
    <t>SUPPORT SADDLE</t>
  </si>
  <si>
    <t>PIVOT BASE</t>
  </si>
  <si>
    <t>RETAINING WASHER</t>
  </si>
  <si>
    <t>RT-88030-0086-01-DD-D</t>
  </si>
  <si>
    <t>RT-88030-0082-01-DD-B</t>
  </si>
  <si>
    <t>RT-88030-0084-01-DD-B</t>
  </si>
  <si>
    <t>RT-88030-0085-01-DD-B</t>
  </si>
  <si>
    <t>RT-88030-0081-01-DD-B</t>
  </si>
  <si>
    <t>RT-88030-0083-01-DD-B</t>
  </si>
  <si>
    <t>RT-88030-0087-01-DD-B</t>
  </si>
  <si>
    <t>TROUGH ASSEMBLY</t>
  </si>
  <si>
    <t>AXIAL ALIGNMENT BRACKET ASSEMBLY</t>
  </si>
  <si>
    <t>CONNECTION BLOCK</t>
  </si>
  <si>
    <t>RT-88000-70103-010-1-GA-D</t>
  </si>
  <si>
    <t>RT-88000-70103-014-1-GA-C</t>
  </si>
  <si>
    <t>RT-88000-70103-015-1-DD-C</t>
  </si>
  <si>
    <t>ANGLE WELDMENT</t>
  </si>
  <si>
    <t>ANGLE, CONNECTOR</t>
  </si>
  <si>
    <t>RT-88000-70103-008-1-DD-D</t>
  </si>
  <si>
    <t>RT-88000-70103-009-1-DD-C</t>
  </si>
  <si>
    <t>SLIDER BLOCK</t>
  </si>
  <si>
    <t>RT-88000-70103-011-1-DD-C</t>
  </si>
  <si>
    <t>RT-88000-70103-012-1-DD-C</t>
  </si>
  <si>
    <t>RT-88000-70103-013-1-DD-C</t>
  </si>
  <si>
    <t>BASE WELDMENT</t>
  </si>
  <si>
    <t>FLANGE BEAM WELDMENT</t>
  </si>
  <si>
    <t>SLEEVE BRACKET
WELDMENT</t>
  </si>
  <si>
    <t>CYLINDER PUSH BRACKET
WELDMENT</t>
  </si>
  <si>
    <t>CYLINDER MOUNTING
BRACKET WELDMENT (RH)</t>
  </si>
  <si>
    <t>GUARD WELDMENT</t>
  </si>
  <si>
    <t>PIPE WELDMENT</t>
  </si>
  <si>
    <t>SPACER BLOCK</t>
  </si>
  <si>
    <t>STOP PLATE</t>
  </si>
  <si>
    <t>STOP PLATE 2</t>
  </si>
  <si>
    <t>PUMP MOUNTING BRACKET</t>
  </si>
  <si>
    <t>SPACER PLATE</t>
  </si>
  <si>
    <t>CYLINDER NOSE</t>
  </si>
  <si>
    <t>TOOL STORAGE BRACKET</t>
  </si>
  <si>
    <t>TOOL BOX WELDMENT</t>
  </si>
  <si>
    <t>HEX BAR ASSEMBLY</t>
  </si>
  <si>
    <t>RT-87600-0251-1-DD-E</t>
  </si>
  <si>
    <t>RT-87600-0252-1-DD-E</t>
  </si>
  <si>
    <t>RT-87600-0253-1-DD-D</t>
  </si>
  <si>
    <t>RT-87600-0254-1-DD-D</t>
  </si>
  <si>
    <t>RT-87600-0255-1-DD-D</t>
  </si>
  <si>
    <t>RT-87600-0256-1-DD-D</t>
  </si>
  <si>
    <t>RT-87600-0257-1-DD-C</t>
  </si>
  <si>
    <t>RT-87600-0259-1-DD-C</t>
  </si>
  <si>
    <t>RT-87600-0260-1-DD-C</t>
  </si>
  <si>
    <t>RT-87600-0261-1-DD-C</t>
  </si>
  <si>
    <t>RT-87600-0262-1-DD-C</t>
  </si>
  <si>
    <t>RT-87600-0263-1-DD-C</t>
  </si>
  <si>
    <t>RT-87600-0264-1-DD-C</t>
  </si>
  <si>
    <t>RT-87600-0265-1-DD-C</t>
  </si>
  <si>
    <t>RT-87600-0268-1-DD-D</t>
  </si>
  <si>
    <t>RT-87600-0280-1-GA-C</t>
  </si>
  <si>
    <t>HEX BAR</t>
  </si>
  <si>
    <t>RT-87600-0281-1-DD-C</t>
  </si>
  <si>
    <t>BODY WELDMENT</t>
  </si>
  <si>
    <t>RT38-87920-70627-1-DD-C</t>
  </si>
  <si>
    <t>SHAFT COLLAR, 1.5 DIA</t>
  </si>
  <si>
    <t>VACUUM GREASE CLEANING TOOL MKII HEAD ASSEMBLY</t>
  </si>
  <si>
    <t>SWAB HEAD ASSEMBLY</t>
  </si>
  <si>
    <t>RT38-16300-024_000-0000-000-01-GA-C</t>
  </si>
  <si>
    <t>CLAMPING ROD</t>
  </si>
  <si>
    <t>NUT</t>
  </si>
  <si>
    <t>CLAMPING LINK</t>
  </si>
  <si>
    <t>SWAB HEAD</t>
  </si>
  <si>
    <t>RT38-16300-024_000-0000-001-01-DD-C</t>
  </si>
  <si>
    <t>RT38-16300-024_000-0000-002-01-DD-C</t>
  </si>
  <si>
    <t>RT38-16300-024_000-0000-003-01-DD-C</t>
  </si>
  <si>
    <t>RT38-16300-024_000-1000-000-01-GA-C</t>
  </si>
  <si>
    <t>CLAMPING DISK</t>
  </si>
  <si>
    <t>SMALL HEAD ASSEMBLY</t>
  </si>
  <si>
    <t>LARGE HEAD ASSEMBLY</t>
  </si>
  <si>
    <t>RT38-16400-007_000-0000-001-01</t>
  </si>
  <si>
    <t>RT38-16400-007_000-0000-002-01</t>
  </si>
  <si>
    <t>RT38-16400-007_000-0000-003-01</t>
  </si>
  <si>
    <t>RT38-16400-007_000-0000-004-01</t>
  </si>
  <si>
    <t>RT38-16400-007_000-1000-000-01-GA-C</t>
  </si>
  <si>
    <t>RT38-16400-007_000-2000-000-01</t>
  </si>
  <si>
    <t>U-SHAPE SLIDER</t>
  </si>
  <si>
    <t>RT-87713-70010-1-DD-B</t>
  </si>
  <si>
    <t>RT-87713-70002-1-DD-B</t>
  </si>
  <si>
    <t>RT-87713-70006-1-DD-B</t>
  </si>
  <si>
    <t>RT-87713-70009-1-DD-B</t>
  </si>
  <si>
    <t>DRIVE SHAFT AND PIVOT POINT
ASSEMBLY</t>
  </si>
  <si>
    <t>E/F FLANGE ASSEMBLY</t>
  </si>
  <si>
    <t>FEED SCREW &amp; DRIVE ASSEMBLY</t>
  </si>
  <si>
    <t>SHIM</t>
  </si>
  <si>
    <t>AIR MOTOR &amp; PIPE FITTINGS ASSEMBLY</t>
  </si>
  <si>
    <t>UTILITY TOOL WELDMENT</t>
  </si>
  <si>
    <t>SHELL INSTALLATION TOOL ASSEMBLY</t>
  </si>
  <si>
    <t>HAND CRANK ASSEMBLY</t>
  </si>
  <si>
    <t>CARRIER SHELL ASSEMBLY</t>
  </si>
  <si>
    <t>TOOL BIT LONG (NORMAL CUT)</t>
  </si>
  <si>
    <t>TOOL BIT LONG (DEFECT CUT )</t>
  </si>
  <si>
    <t>TOOL BIT SHORT (NORMAL CUT)</t>
  </si>
  <si>
    <t>TOOL BIT SHORT (DEEP CUT)</t>
  </si>
  <si>
    <t>TOOL BIT LONG (DEEP CUT)</t>
  </si>
  <si>
    <t>TOOL BIT SHORT (DEFECT CUT )</t>
  </si>
  <si>
    <t>DOUBLE ACTING LOCK PIN ASSEMBLY</t>
  </si>
  <si>
    <t>SHELL WRENCH (.093” A. F.) ASSEMBLY</t>
  </si>
  <si>
    <t>BEARING WRENCH (3/16" A/F) ASSEMBLY</t>
  </si>
  <si>
    <t>CATCH TRAY WELDMENT (SMALL)</t>
  </si>
  <si>
    <t>CATCH TRAY WELDMENT (LARGE)</t>
  </si>
  <si>
    <t>STEP MEASURING TOOL</t>
  </si>
  <si>
    <t>RT-87550-0192-01-DD-C</t>
  </si>
  <si>
    <t>RT-87550-0165-01-GA-C</t>
  </si>
  <si>
    <t>RT-87550-0144-01-DD-C</t>
  </si>
  <si>
    <t>RT-87550-0191-01-DD-C</t>
  </si>
  <si>
    <t>RT-87550-0189-01-DD-C</t>
  </si>
  <si>
    <t>SADDLE</t>
  </si>
  <si>
    <t>RETAINING FLANGE</t>
  </si>
  <si>
    <t>MODIFIED UNIVERSAL JOINT</t>
  </si>
  <si>
    <t>PINION SHAFT ASSEMBLY</t>
  </si>
  <si>
    <t>SLEEVE</t>
  </si>
  <si>
    <t>DRIVE SHAFT EXTENSION</t>
  </si>
  <si>
    <t>SHEAR PIN</t>
  </si>
  <si>
    <t>MODIFIED MITER GEAR
1.000 P.D. X 14 TEETH X 20 P.A. X 14 D.P.</t>
  </si>
  <si>
    <t>SPINDLE</t>
  </si>
  <si>
    <t>GEAR WRENCH TUBE</t>
  </si>
  <si>
    <t>MODIFIED PALM-GRIP HAND KNOB</t>
  </si>
  <si>
    <t>GEAR WRENCH SHAFT</t>
  </si>
  <si>
    <t>RT-87550-0104-01-DD-D</t>
  </si>
  <si>
    <t>RT-87550-0110-01-DD-C</t>
  </si>
  <si>
    <t>RT-87550-0109-01-DD-C</t>
  </si>
  <si>
    <t>RT-87550-0108-01-DD-C</t>
  </si>
  <si>
    <t>RT-87550-0105-01-DD-C</t>
  </si>
  <si>
    <t>RT-87550-0116-01-DD-C</t>
  </si>
  <si>
    <t>PINION SHAFT</t>
  </si>
  <si>
    <t>PINION SHAFT END</t>
  </si>
  <si>
    <t>RT-87550-0332-01-DD-D</t>
  </si>
  <si>
    <t>RT-87550-0301-01-DD-C</t>
  </si>
  <si>
    <t>FLANGE WELDMENT</t>
  </si>
  <si>
    <t>YOKE</t>
  </si>
  <si>
    <t>PROTECTIVE SLEEVE RING</t>
  </si>
  <si>
    <t>FEED SCREW</t>
  </si>
  <si>
    <t>CLAMP</t>
  </si>
  <si>
    <t>MODIFIED HAND KNOB</t>
  </si>
  <si>
    <t>THREADED ROD .375-16 UNC-3A X 3.0"
LG</t>
  </si>
  <si>
    <t>THREADED ROD .375-16 UNC-3A X 2.13"
LG</t>
  </si>
  <si>
    <t>WASHER</t>
  </si>
  <si>
    <t>RT-87550-0121-01-GA-E</t>
  </si>
  <si>
    <t>RT-87550-0130-01-DD-C</t>
  </si>
  <si>
    <t>RT-87550-0122-01-DD-C</t>
  </si>
  <si>
    <t>08-31912-0446-01-DD-3</t>
  </si>
  <si>
    <t>RT-87550-0125-01-DD-C</t>
  </si>
  <si>
    <t>RT-87550-0126-01-DD-C</t>
  </si>
  <si>
    <t>SCREW STOP</t>
  </si>
  <si>
    <t>SCALE PLATE</t>
  </si>
  <si>
    <t>EXTENSION TUBE WELDMENT</t>
  </si>
  <si>
    <t>FORK</t>
  </si>
  <si>
    <t>08-31912-0456-01-DD-1</t>
  </si>
  <si>
    <t>RT-87550-0138-01-DD-C</t>
  </si>
  <si>
    <t>RT-87550-0139-01-DD-C</t>
  </si>
  <si>
    <t>RT-87550-0313-01-GA-C</t>
  </si>
  <si>
    <t>RT-87550-0140-01-DD-C</t>
  </si>
  <si>
    <t>UTILITY TUBE</t>
  </si>
  <si>
    <t>SLIDE HANDLE</t>
  </si>
  <si>
    <t>STOP COLLAR</t>
  </si>
  <si>
    <t>FOOT</t>
  </si>
  <si>
    <t>RT-87550-0173-01-DD-C</t>
  </si>
  <si>
    <t>RT-87550-0174-01-DD-C</t>
  </si>
  <si>
    <t>RT-87550-0175-01-DD-C</t>
  </si>
  <si>
    <t>SQUARE TUBE WELDMENT</t>
  </si>
  <si>
    <t>CONNECTOR ROD/HOOK WELDMENT</t>
  </si>
  <si>
    <t>RT-87550-0147-01-DD-D</t>
  </si>
  <si>
    <t>RT-87550-0148-01-DD-C</t>
  </si>
  <si>
    <t>RT-87550-0149-01-DD-C</t>
  </si>
  <si>
    <t>CRANK BODY WELDMENTCRANK BODY
WELDMENT</t>
  </si>
  <si>
    <t>ADAPTORADAPTER</t>
  </si>
  <si>
    <t>RT-87550-0166-01-GA-C</t>
  </si>
  <si>
    <t>RT-87550-0167-01-DD-C</t>
  </si>
  <si>
    <t>CARRIER SHELL SEGMENT TOP</t>
  </si>
  <si>
    <t>CARRIER SHELL SEGMENT BOTTOM</t>
  </si>
  <si>
    <t>CLAMPING PLATE</t>
  </si>
  <si>
    <t>ADUSTABLE BEARING SEGMENT</t>
  </si>
  <si>
    <t>WASHER-MODIFIED</t>
  </si>
  <si>
    <t>RT-87550-0330-01-DD-E</t>
  </si>
  <si>
    <t>RT-87550-0117-01-DD-E</t>
  </si>
  <si>
    <t>RT-87550-0118-01-DD-C</t>
  </si>
  <si>
    <t>RT-87550-0119-01-DD-D</t>
  </si>
  <si>
    <t>RT-87550-0331-01-DD-C</t>
  </si>
  <si>
    <t>DETENT PIN WELDMENT</t>
  </si>
  <si>
    <t>PIN (1/4" DIA)</t>
  </si>
  <si>
    <t>T-HANDLE(.093" A.F.) WELDMENT</t>
  </si>
  <si>
    <t>MODIFIED (.093" A.F.)BALL KEY</t>
  </si>
  <si>
    <t>RT-87550-0157-01-DD-C</t>
  </si>
  <si>
    <t>T-HANDLE( 3/16" A.F.) WELDMENT</t>
  </si>
  <si>
    <t>MODIFIED BALL KEY (3/16")</t>
  </si>
  <si>
    <t>RT-87550-0162-01-DD-C</t>
  </si>
  <si>
    <t>CATCH TRAY (SMALL)</t>
  </si>
  <si>
    <t>TUBE (SMALL)</t>
  </si>
  <si>
    <t>CATCH TRAY (LARGE)</t>
  </si>
  <si>
    <t>TUBE (LARGE)</t>
  </si>
  <si>
    <t>SUPPORT TUBE</t>
  </si>
  <si>
    <t>GUIDE BLOCK</t>
  </si>
  <si>
    <t>CLAMP SCREW</t>
  </si>
  <si>
    <t>CONNECTOR</t>
  </si>
  <si>
    <t>HANDLE - MODIFIED</t>
  </si>
  <si>
    <t>RT-87550-0326-01-DD-C</t>
  </si>
  <si>
    <t>RT-87550-0325-01-DD-C</t>
  </si>
  <si>
    <t>RT-87550-0324-01-DD-C</t>
  </si>
  <si>
    <t>RT-87550-0323-01-DD-C</t>
  </si>
  <si>
    <t>RT-87550-0322-01-DD-C</t>
  </si>
  <si>
    <t>RT-87550-0321-01-DD-C</t>
  </si>
  <si>
    <t>PEEK GUIDE CONE</t>
  </si>
  <si>
    <t>CUSTOM PROBE TIP</t>
  </si>
  <si>
    <t>SPACER RESTRAIN</t>
  </si>
  <si>
    <t>SCREW, CROSS DRILLED, HEX HD, CAP, 1-3/4" LG</t>
  </si>
  <si>
    <t>SHIELD PLUG</t>
  </si>
  <si>
    <t>SPACER BAR</t>
  </si>
  <si>
    <t>SCREW, CROSS DRILLED, HEX HD, CAP, 1-1/2" LG</t>
  </si>
  <si>
    <t>HANDLE - WELDMENT</t>
  </si>
  <si>
    <t>PULLER SLEEVE</t>
  </si>
  <si>
    <t>INDICATOR BRACKET WELDMENT</t>
  </si>
  <si>
    <t>SPLIT CLAMP</t>
  </si>
  <si>
    <t>WHEEL SUPPORT SUB-ASSEMBLY</t>
  </si>
  <si>
    <t>MAGNET HOLDER SUB-ASSEMBLY</t>
  </si>
  <si>
    <t>HANDLE BAR WELDMENT</t>
  </si>
  <si>
    <t>MKII BORE GAUGE SUB-ASSEMBLY</t>
  </si>
  <si>
    <t>POSITION GAUGE SUB-ASSEMBLY</t>
  </si>
  <si>
    <t>RT-87900-0420-1-DD-C</t>
  </si>
  <si>
    <t>RT-87900-0407-1-DD-D</t>
  </si>
  <si>
    <t>RT-87900-0418-1-DD-C</t>
  </si>
  <si>
    <t>RT-87900-0402-1-DD-D</t>
  </si>
  <si>
    <t>RT-87900-0411-1-DD-C</t>
  </si>
  <si>
    <t>RT-87900-0424-1-DD-C</t>
  </si>
  <si>
    <t>RT-87900-0403-1-DD-C</t>
  </si>
  <si>
    <t>RT-87900-0436-1-DD-C</t>
  </si>
  <si>
    <t>RT-87900-0408-1-DD-C</t>
  </si>
  <si>
    <t>RT-87900-0406-1-DD-C</t>
  </si>
  <si>
    <t>RT-87900-0426-1-GA-C</t>
  </si>
  <si>
    <t>RT-87900-0432-1-GA-C</t>
  </si>
  <si>
    <t>RT-87900-0443-1-GA-D</t>
  </si>
  <si>
    <t>RT-87900-0451-1-GA-D</t>
  </si>
  <si>
    <t>WHEEL BASE PLATE</t>
  </si>
  <si>
    <t>WHEEL BRACKET</t>
  </si>
  <si>
    <t>WHEEL</t>
  </si>
  <si>
    <t>WHEEL BACKING PLATE</t>
  </si>
  <si>
    <t>RT-87900-0427-1-DD-C</t>
  </si>
  <si>
    <t>RT-87900-0428-1-DD-C</t>
  </si>
  <si>
    <t>RT-87900-0429-1-DD-C</t>
  </si>
  <si>
    <t>RT-87900-0430-1-DD-C</t>
  </si>
  <si>
    <t>RT-87900-0449-1-GA-D</t>
  </si>
  <si>
    <t>RT-87900-0447-1-GA-C</t>
  </si>
  <si>
    <t>DIGIMATIC INDICATOR PROTECTIVE COVER
BASE</t>
  </si>
  <si>
    <t>DIGIMATIC INDICATOR PROTECTIVE COVER
CLAMP</t>
  </si>
  <si>
    <t>RT-87900-0452-1-DD-C</t>
  </si>
  <si>
    <t>RT-87900-0453-1-DD-B</t>
  </si>
  <si>
    <t>POSITION GAUGE</t>
  </si>
  <si>
    <t>FLASH PIN INDICATOR</t>
  </si>
  <si>
    <t>RT-87900-0450-1-DD-C</t>
  </si>
  <si>
    <t>12918-0085-0008 (RT-88000-70085-008-1-DD-B)</t>
  </si>
  <si>
    <t>12918-0085-0002 (RT-88000-70085-002-1-DD-B)</t>
  </si>
  <si>
    <t>12918-0085-0003 (RT-88000-70085-003-1-DD-D)</t>
  </si>
  <si>
    <t>12918-0085-0006 (RT-88000-70085-006-1-DD-D)</t>
  </si>
  <si>
    <t>12918-0085-0005 (RT-88000-70085-005-1-DD-B)</t>
  </si>
  <si>
    <t>12918-0085-0007 (RT-88000-70085-007-1-DD-B)</t>
  </si>
  <si>
    <t>12918-8530-0000 (RT-88000-78530-000-1-GA-E)</t>
  </si>
  <si>
    <t>HOUSING BUSHING (31910-638-1) 4.5DIA. X 1.3 LG.</t>
  </si>
  <si>
    <t>HOUSING ASSEMBLY (31910-645-1)</t>
  </si>
  <si>
    <t>12918-8510-0003 (RT-88000-78510-003-1-DD-D)</t>
  </si>
  <si>
    <t>12918-8530-0001 (RT-88000-78530-001-1-DD-B)</t>
  </si>
  <si>
    <t>12918-8530-0002 (RT-88000-78530-002-1-DD-B)</t>
  </si>
  <si>
    <t>12918-8530-0003 (RT-88000-78530-003-1-DD-D)</t>
  </si>
  <si>
    <t>12918-8510-0000 (RT-88000-78510-000-1-GA-D)</t>
  </si>
  <si>
    <t>12918-8520-0000 (RT-88000-78520-000-1-GA-D)</t>
  </si>
  <si>
    <t>12918-8520-0002 (RT-88000-78530-002-1-GA-E)</t>
  </si>
  <si>
    <t>12918-8520-0001 (RT-88000-78530-001-1-GA-E)</t>
  </si>
  <si>
    <t>12918-8520-0003 (RT-88000-78520-003-1-DD-D/RT-88000-78520-003-2-DD-D)</t>
  </si>
  <si>
    <t>12918-8510-0002 (RT-88000-78510-002-1-DD-B)</t>
  </si>
  <si>
    <t xml:space="preserve">RT-0085-PT STRAIGHTENING TOOL ASSEMBLY </t>
  </si>
  <si>
    <t>LONG ADJUSTING WRENCH ASSY (98-31910-580-1)</t>
  </si>
  <si>
    <t>12918-8610-0000 (RT-88000-78610-000-1-GA-E)</t>
  </si>
  <si>
    <t>HANDLE (98-31910-578-1)</t>
  </si>
  <si>
    <t>12918-8610-0001</t>
  </si>
  <si>
    <t>SHAFT (98-31910-580-1)</t>
  </si>
  <si>
    <t>12918-8610-0002</t>
  </si>
  <si>
    <t>ADJUSTING WRENCH (98-31910-580-1) ASSY</t>
  </si>
  <si>
    <t>SFS-181 (SNAP-ON)</t>
  </si>
  <si>
    <t>240-012 (SPAENAUR)</t>
  </si>
  <si>
    <t>12918-8610-0003 (RT-88000-78610-003-1-DD-D)</t>
  </si>
  <si>
    <t>12918-8610-0004 (RT-88000-78610-004-1-DD-B)</t>
  </si>
  <si>
    <t>12918-8620-0000 (RT-88000-78620-000-1-GA-E)</t>
  </si>
  <si>
    <t>SHAFT 2 (98-31910-578-1)</t>
  </si>
  <si>
    <t>HEAD (98-31910-578-1)</t>
  </si>
  <si>
    <t>PIN (98-31910-578-1)</t>
  </si>
  <si>
    <t>TRQUE RESTRAINING TOOL (31910-578-1) ASSY</t>
  </si>
  <si>
    <t>12918-8620-0006</t>
  </si>
  <si>
    <t xml:space="preserve">12918-8610-0001  </t>
  </si>
  <si>
    <t>12918-8620-0001 (RT-88000-78620-001-1-DD-B)</t>
  </si>
  <si>
    <t>12918-8620-0002 (RT-88000-78620-002-1-DD-B)</t>
  </si>
  <si>
    <t>12918-8620-0003 (RT-88000-78620-003-1-DD-B)</t>
  </si>
  <si>
    <t>12918-8620-0004 (RT-88000-78620-004-1-DD-B)</t>
  </si>
  <si>
    <t>12918-8620-0005 (RT-88000-78620-005-1-DD-D)</t>
  </si>
  <si>
    <t>12918-0086-0003 (RT-88000-70086-003-1-DD-B)</t>
  </si>
  <si>
    <t>12918-0086-0004 (RT-88000-70086-004-1-DD-B)</t>
  </si>
  <si>
    <t>12918-0086-0005 (RT-88000-70086-005-1-DD-B)</t>
  </si>
  <si>
    <t>LONG ADJUSTING WRENCH ASSY (9831910-580-1)</t>
  </si>
  <si>
    <t xml:space="preserve">SHIELD PLUG </t>
  </si>
  <si>
    <t>9/16",6-POINT DEEP SOCKET</t>
  </si>
  <si>
    <t>SOLOTTED SPRING TENSION PIN-STAINLES…</t>
  </si>
  <si>
    <t>12918-8610-0000 (RT-88000-78610-000-A-GA-E)</t>
  </si>
  <si>
    <t>12918-8610-0004</t>
  </si>
  <si>
    <t>12918-8610-0001 (RT-</t>
  </si>
  <si>
    <t>12918-8620-0006 (RT-88000-78620-006-1-DD-B)</t>
  </si>
  <si>
    <t>12918-0086-0004 (RT-88000-70086-004-1-DD-D)</t>
  </si>
  <si>
    <t>12918-0086-0005 (RT-88000-70086-005-1-DD-D)</t>
  </si>
  <si>
    <t>PEEK GUIDE CONE (NARROW)</t>
  </si>
  <si>
    <t>SCREW, CROSS DRILLED, HEX HD, CAP, 1-3/4"
LG</t>
  </si>
  <si>
    <t>SCREW, CROSS DRILLED, HEX HD, CAP, 1-1/2"
LG</t>
  </si>
  <si>
    <t>PIPE SHAFT WELDMENT</t>
  </si>
  <si>
    <t>RT-87900-0433-1-DD-C</t>
  </si>
  <si>
    <t>MAIN SHAFT</t>
  </si>
  <si>
    <t>HANDLE ADAPTER</t>
  </si>
  <si>
    <t>SHIELD 1</t>
  </si>
  <si>
    <t>CENTER SHAFT</t>
  </si>
  <si>
    <t>ALIGNER</t>
  </si>
  <si>
    <t>END LOCATOR</t>
  </si>
  <si>
    <t>BUNG</t>
  </si>
  <si>
    <t>BUNG LOCKING NUT</t>
  </si>
  <si>
    <t>INNER SHIELD PLUG</t>
  </si>
  <si>
    <t>SHIELD 2</t>
  </si>
  <si>
    <t>PLATE</t>
  </si>
  <si>
    <t>DIAL INDICATOR COVER</t>
  </si>
  <si>
    <t>JOINT ROD</t>
  </si>
  <si>
    <t>SHOULDER SCREW</t>
  </si>
  <si>
    <t>RT-87920-74282-001-1-DD-D</t>
  </si>
  <si>
    <t>RT-87920-74282-005-1-DD-B</t>
  </si>
  <si>
    <t>RT-87920-74282-006-1-DD-D</t>
  </si>
  <si>
    <t>RT-87920-74282-007-1-DD-D</t>
  </si>
  <si>
    <t>RT-87920-74282-010-1-DD-C</t>
  </si>
  <si>
    <t>RT-87920-74282-012-1-DD-B</t>
  </si>
  <si>
    <t>RT-87920-74282-013-1-DD-B</t>
  </si>
  <si>
    <t>RT-87920-74282-014-1-DD-B</t>
  </si>
  <si>
    <t>RT-87920-74282-015-1-DD-B</t>
  </si>
  <si>
    <t>RT-87920-74282-016-1-DD-D</t>
  </si>
  <si>
    <t>RT-87920-7423-01-DD-C</t>
  </si>
  <si>
    <t>RT-87920-7424-01-DD-C</t>
  </si>
  <si>
    <t>RT-87920-7422-01-DD-C</t>
  </si>
  <si>
    <t>RT-87920-7421-01-DD-C</t>
  </si>
  <si>
    <t>MODIFIED MAGNET, RIN</t>
  </si>
  <si>
    <t>HANDLE ASSEMBLY (Short)</t>
  </si>
  <si>
    <t>HANDLE WELDMENT (Short)</t>
  </si>
  <si>
    <t>BOTTOMING TAP 1 1/4-8 NS RH THREAD</t>
  </si>
  <si>
    <t>H.S.S/ #2597A72</t>
  </si>
  <si>
    <t>S.S. 18-8/ #92311A535</t>
  </si>
  <si>
    <t>RT-87600-0258-1-DD-C</t>
  </si>
  <si>
    <t>YOKE PIN TOOL WELDMENT</t>
  </si>
  <si>
    <t>END CONNECTOR FITTING</t>
  </si>
  <si>
    <t>SLIDE HAMMER</t>
  </si>
  <si>
    <t>RT-87540-0153-01-GA-C</t>
  </si>
  <si>
    <t>RT-87540-0156-01-GA-C</t>
  </si>
  <si>
    <t>RT-87540-0138-01-DD-B</t>
  </si>
  <si>
    <t>RT-87540-0139-01-DD-D</t>
  </si>
  <si>
    <t>ROUND STOPPER</t>
  </si>
  <si>
    <t>RT-87540-0130-01-DD-B</t>
  </si>
  <si>
    <t>RT-87540-0152-01-DD-B</t>
  </si>
  <si>
    <t>RT-87540-0141-01-DD-B</t>
  </si>
  <si>
    <t>ROUND PLATE</t>
  </si>
  <si>
    <t>RT-87540-0129-01-DD-C</t>
  </si>
  <si>
    <t>RT-87540-0155-01-DD-B</t>
  </si>
  <si>
    <t>RT-87540-0154-01-DD-B</t>
  </si>
  <si>
    <t>SEAL RING (31910-814-1)</t>
  </si>
  <si>
    <t>SPACER (31910-823-1)</t>
  </si>
  <si>
    <t>INNER TUBE ASSY</t>
  </si>
  <si>
    <t>OUTER TUBE ASSY</t>
  </si>
  <si>
    <t>TYGON TUBE (31910-807-1)</t>
  </si>
  <si>
    <t>CENTERING DISC (31910-854-1)</t>
  </si>
  <si>
    <t>TUBE (31910-807-1)</t>
  </si>
  <si>
    <t>SPACER (31910-819-1)</t>
  </si>
  <si>
    <t>TUBE (31910-823-1)</t>
  </si>
  <si>
    <t>12918-0066-0002 (RT-88000-70066-002-1-DD-D)</t>
  </si>
  <si>
    <t>12918-0066-0001 (RT-88000-70066-001-1-DD-B)</t>
  </si>
  <si>
    <t>12918-0066-0021(RT-88000-70066-021-1-DD-B)</t>
  </si>
  <si>
    <t>12918-0066-0022 (RT-88000-70066-022-1-DD-B)</t>
  </si>
  <si>
    <t>GUIDE RING (31910-811-1)</t>
  </si>
  <si>
    <t>PLATE PT.1 (31910-809-1)</t>
  </si>
  <si>
    <t>INNER PIPE (31910-808-1)</t>
  </si>
  <si>
    <t>SHAFT END (31910-816-1)</t>
  </si>
  <si>
    <t>PIPE &amp; PLATES</t>
  </si>
  <si>
    <t>12918-6610-0000 (RT-88000-76610-000-1-GA-D)</t>
  </si>
  <si>
    <t>12918-6610-0001 (RT-88000-76610-001-1-DD-B)</t>
  </si>
  <si>
    <t>12918-6610-0002 (RT-88000-76610-002-1-DD-B)</t>
  </si>
  <si>
    <t>12918-6610-0003 (RT-88000-76610-003-1-DD-B)</t>
  </si>
  <si>
    <t>12918-6610-0004 (RT-88000-76610-004-1-DD-B)</t>
  </si>
  <si>
    <t>12918-6610-0007 (RT-88000-76610-007-1-DD-D)</t>
  </si>
  <si>
    <t>12918-6620-0000 (RT-88000-76620-000-1-GA-D)</t>
  </si>
  <si>
    <t>PLATE PT.2 (31910-809-1)</t>
  </si>
  <si>
    <t>GUIDE RING (31910-848-1)</t>
  </si>
  <si>
    <t>PLATE (31910-815-1)</t>
  </si>
  <si>
    <t>OUTER PIPE (31910-817-1)</t>
  </si>
  <si>
    <t>OUTER HOUSING END (31910-812-1)</t>
  </si>
  <si>
    <t>12918-6620-0001 (RT-88000-76620-001-1-DD-B)</t>
  </si>
  <si>
    <t>12918-6620-0002 (RT-88000-76620-002-1-DD-B)</t>
  </si>
  <si>
    <t>12918-6620-0003 (RT-88000-76620-003-1-DD-B)</t>
  </si>
  <si>
    <t>12918-6620-0004 (RT-88000-76620-004-1-DD-B)</t>
  </si>
  <si>
    <t>12918-6620-0005 (RT-88000-76620-005-1-DD-B)</t>
  </si>
  <si>
    <t>12918-6620-0006 (RT-88000-76620-006-1-DD-B)</t>
  </si>
  <si>
    <t>12918-6620-0009 (RT-88000-76620-009-1-DD-D/RT-88000-76620-009-2-DD-D)</t>
  </si>
  <si>
    <t>12918-0066-0008 (RT-88000-70066-008-1-DD-B)</t>
  </si>
  <si>
    <t>12918-0066-0010 (RT-88000-70066-010-1-DD-B)</t>
  </si>
  <si>
    <t>12918-0066-0011 (RT-88000-70066-011-1-DD-B)</t>
  </si>
  <si>
    <t>12918-0066-0021 (RT-88000-70066-021-1-DD-B)</t>
  </si>
  <si>
    <t>Protective Sleeve (31910-52-1)</t>
  </si>
  <si>
    <t>RING (31910-672-1)</t>
  </si>
  <si>
    <t>SPIGOT (31910-672-1)</t>
  </si>
  <si>
    <t>TUBING (31910-672-1)</t>
  </si>
  <si>
    <t>12918-0069-0001 (RT-88000-70069-001-1-DD-B)</t>
  </si>
  <si>
    <t>12918-0069-0002 (RT-88000-70069-002-1-DD-B/RT-88000-70069-002-2-DD-B)</t>
  </si>
  <si>
    <t>TUBING (31910-672-1) ★only RT-88000-70069-002-1-DD-B</t>
  </si>
  <si>
    <t>12918-0069-0004 (RT-88000-70069-004-1-DD-B)</t>
  </si>
  <si>
    <t>12918-0069-0004(RT-88000-70069-004-1-DD-B)</t>
  </si>
  <si>
    <t>SLEEVE TUBE (98-31910-21-1)</t>
  </si>
  <si>
    <t>SLEEVE GUIDE (98-31910-21-1)</t>
  </si>
  <si>
    <t>SPRING (98-31910-21-1)</t>
  </si>
  <si>
    <t>RETAINING LATCH (98-31910-21-1)</t>
  </si>
  <si>
    <t>BLOCK (98-31910-21-1)</t>
  </si>
  <si>
    <t>12918-0038-0001 (RT-88000-70038-001-1-DD-B)</t>
  </si>
  <si>
    <t>12918-0038-0002 (RT-88000-70038-002-1-DD-B)</t>
  </si>
  <si>
    <t>12918-0038-0003 (RT-88000-70038-003-1-DD-B)</t>
  </si>
  <si>
    <t>12918-0038-0004 (RT-88000-70038-004-1-DD-B)</t>
  </si>
  <si>
    <t>12918-0038-0101 (RT-88000-70038-101-1-DD-B)</t>
  </si>
  <si>
    <t>12918-0038-0100 (RT-88000-70038-100-1-DD-B)</t>
  </si>
  <si>
    <t>VACUUM LINE ADAPTER (31910-47-1)</t>
  </si>
  <si>
    <t>ELBOW (31910-47-1)</t>
  </si>
  <si>
    <t>12918-0068-0005 (RT-88000-70068-005-1-DD-B)</t>
  </si>
  <si>
    <t>12918-0068-0007 (RT-88000-70068-007-1-DD-B)</t>
  </si>
  <si>
    <t>CALIBRATED TAPE HOLDER</t>
  </si>
  <si>
    <t>PULLEY SHAFT</t>
  </si>
  <si>
    <t>Drive Shelf and Pivot Point ASSY</t>
  </si>
  <si>
    <t>Feed Screw &amp; Drive ASSY</t>
  </si>
  <si>
    <t>Flange ASSY</t>
  </si>
  <si>
    <t>BALL</t>
  </si>
  <si>
    <t>RT38-16300-024_000-0000-003-01-DD</t>
  </si>
  <si>
    <t>CENTERING RING-THRU CUT</t>
  </si>
  <si>
    <t>CENTERING RING-NO THRU CUT</t>
  </si>
  <si>
    <t>SHIELD PLUG-THRU CUT</t>
  </si>
  <si>
    <t>PIPE WELDMENT 3</t>
  </si>
  <si>
    <t>PIPE WELDMENT 2</t>
  </si>
  <si>
    <t>OUTBOARD PIECE</t>
  </si>
  <si>
    <t>PROBE VERIFICATION PIPE</t>
  </si>
  <si>
    <t>PIPE WELDMENT 1</t>
  </si>
  <si>
    <t>BALL PIN ASSEMBLY</t>
  </si>
  <si>
    <t>RT-88030-0302-01-DD-2</t>
  </si>
  <si>
    <t>RT38-17300-008_000-0000-009-01-DD-C</t>
  </si>
  <si>
    <t>RT38-17300-008_000-0000-007-01-DD-C</t>
  </si>
  <si>
    <t>RT38-17300-008_000-0000-010-01-DD-C</t>
  </si>
  <si>
    <t>RT-88030-0314-01-DD-C</t>
  </si>
  <si>
    <t>RT-88030-0315-01-DD-C</t>
  </si>
  <si>
    <t>RT-88030-0307-01-DD-C</t>
  </si>
  <si>
    <t>RT38-17300-008_000-0000-008-01-DD-C</t>
  </si>
  <si>
    <t>21RT-88030-0401-001-DD-2</t>
  </si>
  <si>
    <t>RT-88030-0035-1-DD-2</t>
  </si>
  <si>
    <t>21RT-88030-0408-001-DD-2</t>
  </si>
  <si>
    <t>RT-88030-0306-01-DD-C</t>
  </si>
  <si>
    <t>RT38-17300-008_000-0000-002-01-DD-C</t>
  </si>
  <si>
    <t>RT-88030-0125-01-DD-2</t>
  </si>
  <si>
    <t>MACHINED BALL PIN</t>
  </si>
  <si>
    <t>SPRING</t>
  </si>
  <si>
    <t>RT-88030-0124-01-DD-2</t>
  </si>
  <si>
    <t>SPACER HOLDER ASSEMBLY</t>
  </si>
  <si>
    <t>CABLE ACTUATOR ASSEMBLY</t>
  </si>
  <si>
    <t>TUBE WELDMENT DETAIL</t>
  </si>
  <si>
    <t>CABLE WELDMENT</t>
  </si>
  <si>
    <t>RT-88030-0065-01-DD-B</t>
  </si>
  <si>
    <t>CAM SLEEVE</t>
  </si>
  <si>
    <t>CAM PIN</t>
  </si>
  <si>
    <t>RT-88030-0076-01-DD-D</t>
  </si>
  <si>
    <t>RT-88030-0075-01-DD-C</t>
  </si>
  <si>
    <t>RT-88030-0064-02-GA-E</t>
  </si>
  <si>
    <t>MODIFIED SCREW</t>
  </si>
  <si>
    <t>HAND KNOB</t>
  </si>
  <si>
    <t>SPRING CAP</t>
  </si>
  <si>
    <t>PULL ROD</t>
  </si>
  <si>
    <t>CABLE ACTUATOR WELDMENT</t>
  </si>
  <si>
    <t>RT-88030-0069-01-DD-C</t>
  </si>
  <si>
    <t>RT-88030-0068-01-DD-C</t>
  </si>
  <si>
    <t>RT-88030-0067-01-DD-C</t>
  </si>
  <si>
    <t>RT-88030-0070-01-DD-C</t>
  </si>
  <si>
    <t>RT-88030-0071-01-DD-C</t>
  </si>
  <si>
    <t>TEMPLATE FRAME MK F-1</t>
  </si>
  <si>
    <t>DECK PLATE MK. P-1A</t>
  </si>
  <si>
    <t>DECK PLATE MK. P-1B</t>
  </si>
  <si>
    <t>LOCATING BOSS MK. B-1 (3 1/2" DIA FEEDER)</t>
  </si>
  <si>
    <t>LOCATING BOSS MK. B-2 (3" DIA FEEDER)</t>
  </si>
  <si>
    <t>LOCATING BOSS MK. B-3 (2 1/2" DIA FEEDER)</t>
  </si>
  <si>
    <t>LOCATING BOSS MK. B-4 (2" DIA FEEDER)</t>
  </si>
  <si>
    <t>LOCATING BOSS MK. B-5 (1 1/2" DIA FEEDER)</t>
  </si>
  <si>
    <t>RT-88230-0230-01-GA-E</t>
  </si>
  <si>
    <t>RT-88230-0235-01-DD-D</t>
  </si>
  <si>
    <t>RT-88230-0234-01-DD-D</t>
  </si>
  <si>
    <t>RT-88230-0240-01-DD-C</t>
  </si>
  <si>
    <t>RT-88230-0241-01-DD-C</t>
  </si>
  <si>
    <t>RT-88230-0242-01-DD-C</t>
  </si>
  <si>
    <t>RT-88230-0243-01-DD-C</t>
  </si>
  <si>
    <t>RT-88230-0244-01-DD-C</t>
  </si>
  <si>
    <t>Body</t>
  </si>
  <si>
    <t>Pin</t>
  </si>
  <si>
    <t>TEMPLATE FRAME MK F-2</t>
  </si>
  <si>
    <t>RT-88230-0231-01-GA-E</t>
  </si>
  <si>
    <t>DECK PLATE MK. P-2A</t>
  </si>
  <si>
    <t>RT-88230-0236-01-DD-D</t>
  </si>
  <si>
    <t>DECK PLATE MK. P-2B</t>
  </si>
  <si>
    <t>RT-88230-0237-01-DD-D</t>
  </si>
  <si>
    <t>LOCATING BOSS MK. B-4 (2" DIA FEEDER</t>
  </si>
  <si>
    <t xml:space="preserve">LOCATING BOSS MK. B-5 (1 1/2" DIA FEEDER) </t>
  </si>
  <si>
    <t xml:space="preserve">RT-88230-0236-01-DD-D </t>
  </si>
  <si>
    <t>TEMPLATE FRAME MK F-3A</t>
  </si>
  <si>
    <t>DECK PLATE MK.P-3A</t>
  </si>
  <si>
    <t>RT-88230-0232-01-GA-E</t>
  </si>
  <si>
    <t>RT-88230-0238-01-DD-D</t>
  </si>
  <si>
    <t>TEMPLATE FRAME MK F-3C</t>
  </si>
  <si>
    <t>DECK PLATE MK.P-3C</t>
  </si>
  <si>
    <t>RT-88230-0276-01-GA-E</t>
  </si>
  <si>
    <t>RT-88230-0277-01-DD-D</t>
  </si>
  <si>
    <t>TEMPLATE FRAME MK F-4A</t>
  </si>
  <si>
    <t>DECK PLATE MK. P-4A</t>
  </si>
  <si>
    <t>RT-88230-0278-01-GA-E</t>
  </si>
  <si>
    <t>RT-88230-0279-01-DD-D</t>
  </si>
  <si>
    <t>TEMPLATE FRAME MK F-4C</t>
  </si>
  <si>
    <t>DECK PLATE MK. P-4C</t>
  </si>
  <si>
    <t>RT-88230-0233-01-GA-E</t>
  </si>
  <si>
    <t>RT-88230-0239-01-DD-D</t>
  </si>
  <si>
    <t>TOP SUPPORT ASSEMBLY AND DETAILS</t>
  </si>
  <si>
    <t>TIE ROD ANCHOR TP-2A/TP-1C</t>
  </si>
  <si>
    <t>TIE ROD ANCHOR SHORT A/C</t>
  </si>
  <si>
    <t>TIE ROD ANCHOR TP-1A/TP-2</t>
  </si>
  <si>
    <t>TIE ROD ANCHOR SAB/SCB</t>
  </si>
  <si>
    <t>SUPPORT BRACKET ASSY. MK. SB-1</t>
  </si>
  <si>
    <t>SUPPORT BRACKET ASSY. MK. SB-2</t>
  </si>
  <si>
    <t>LATERAL TIE ARRANGEMENT ASSEMBLY
(FACE) MK. TA-4</t>
  </si>
  <si>
    <t>LATERAL TIE ARRANGEMENT ASSEMBLY
(FACE) MK. TA-5</t>
  </si>
  <si>
    <t>LATERAL TIE ARRANGEMENT ASSEMBLY
(FACE) MK. TA-1</t>
  </si>
  <si>
    <t>LATERAL TIE ARRANGEMENT ASSEMBLY
(FACE) MK. TA-2</t>
  </si>
  <si>
    <t>LATERAL BRACKET</t>
  </si>
  <si>
    <t>RT-88230-0202-01-GA-E</t>
  </si>
  <si>
    <t>RT-88230-0203-01-GA-E</t>
  </si>
  <si>
    <t>RT-88230-0253-01-GA-C</t>
  </si>
  <si>
    <t>RT-88230-0254-01-GA-C</t>
  </si>
  <si>
    <t>RT-88230-0212-01-GA-E</t>
  </si>
  <si>
    <t>RT-88230-0213-01-GA-E</t>
  </si>
  <si>
    <t>RT-88230-0274-01-DD-C</t>
  </si>
  <si>
    <t>SUPPORT CHANNEL ASSY MK. SC-3</t>
  </si>
  <si>
    <t>SUPPORT CHANNEL ASSY MK. SC-4</t>
  </si>
  <si>
    <t>CARRIER BEAM ASSY. MK. CB-3</t>
  </si>
  <si>
    <t>CARRIER BEAM ASSY. MK. CB-2</t>
  </si>
  <si>
    <t>CARRIER BEAM ASSY MK. CB-1</t>
  </si>
  <si>
    <t>RT-88230-0261-01-GA-D</t>
  </si>
  <si>
    <t>RT-88230-0263-01-GA-D</t>
  </si>
  <si>
    <t>RT-88230-0256-01-GA-D</t>
  </si>
  <si>
    <t>RT-88230-0255-01-GA-D</t>
  </si>
  <si>
    <t>CHANNEL ASSY MK-SC-1A-CENTER</t>
  </si>
  <si>
    <t>CHANNEL ASSY MK-SC-1B-CENTER</t>
  </si>
  <si>
    <t>CHANNEL ASSY MK-SC-3A-LEFT</t>
  </si>
  <si>
    <t>CHANNEL ASSY MK-SC-1A-RIGHT</t>
  </si>
  <si>
    <t>RT-88230-0264-01-GA-D</t>
  </si>
  <si>
    <t>RT-88230-0265-01-GA-D</t>
  </si>
  <si>
    <t>RT-88230-0268-01-GA-D</t>
  </si>
  <si>
    <t>RT-88230-0267-01-GA-D</t>
  </si>
  <si>
    <t>CHANNEL ASSY MK-SC-4A-LEFT</t>
  </si>
  <si>
    <t>CHANNEL ASSY MK-SC-4B-CENTER</t>
  </si>
  <si>
    <t>CHANNEL ASSY MK-SC-4A-CENTER</t>
  </si>
  <si>
    <t>CHANNEL ASSY MK-SC-4A-RIGHT</t>
  </si>
  <si>
    <t>RT-88230-0269-01-GA-D</t>
  </si>
  <si>
    <t>RT-88230-0270-01-GA-D</t>
  </si>
  <si>
    <t>RT-88230-0271-01-GA-D</t>
  </si>
  <si>
    <t>RT-88230-0272-01-GA-D</t>
  </si>
  <si>
    <t>TIE ROD ASSEMBLY MK. TR-5</t>
  </si>
  <si>
    <t>ANCHOR CORNER ASSEMBLY A FACE</t>
  </si>
  <si>
    <t>RT-88230-0206-01-GA-D</t>
  </si>
  <si>
    <t>TIE ROD ASSEMBLY MK. TR-3</t>
  </si>
  <si>
    <t>ANCHOR SHORT CORNER ASSY. A FACE</t>
  </si>
  <si>
    <t>RT-88230-0209-01-GA-D</t>
  </si>
  <si>
    <t>RT-88230-0215-01-GA-D</t>
  </si>
  <si>
    <t>TIE ROD ASSEMBLY MK. TR-2</t>
  </si>
  <si>
    <t>ANCHOR ANGLE ASSEMBLY A FACE</t>
  </si>
  <si>
    <t>RT-88230-0207-01-GA-D</t>
  </si>
  <si>
    <t>RT-88230-0211-01-GA-D</t>
  </si>
  <si>
    <t>TIE ROD ASSEMBLY MK. TR-4</t>
  </si>
  <si>
    <t>TIE ROD ANCHOR ASSEMBLY SAB</t>
  </si>
  <si>
    <t>RT-88230-0208-01-GA-D</t>
  </si>
  <si>
    <t>RT-88230-0214-01-GA-D</t>
  </si>
  <si>
    <t>ROD EXTENSION</t>
  </si>
  <si>
    <t>RT-88230-0216-01-GA-D</t>
  </si>
  <si>
    <t>RT-88230-0210-01-GA-D</t>
  </si>
  <si>
    <t>ANCHOR CORNER A FACE</t>
  </si>
  <si>
    <t>RT-88230-0217-01-GA-D</t>
  </si>
  <si>
    <t>RT-88230-0218-01-GA-D</t>
  </si>
  <si>
    <t>RT-88230-0226-01-GA-D</t>
  </si>
  <si>
    <t>RT-88230-0227-01-GA-D</t>
  </si>
  <si>
    <t>ROD EXTENSION - SHORT</t>
  </si>
  <si>
    <t>RT-88230-0219-01-GA-D</t>
  </si>
  <si>
    <t>ANCHOR ANGLE A FACE</t>
  </si>
  <si>
    <t>RT-88230-0220-01-GA-D</t>
  </si>
  <si>
    <t>RT-88230-0221-01-GA-D</t>
  </si>
  <si>
    <t>TIE ROD ANCHOR SAB</t>
  </si>
  <si>
    <t>RT-88230-0223-01-DD-D</t>
  </si>
  <si>
    <t>TIE ROD ANCHOR SCB</t>
  </si>
  <si>
    <t>RT-88230-0224-01-DD-D</t>
  </si>
  <si>
    <t>TIE ANGLE ASSEMBLY MK TA-5</t>
  </si>
  <si>
    <t>TIE ANGLE ASSEMBLY MK TA-4</t>
  </si>
  <si>
    <t>TIE ANGLE ASSEMBLY MK TA-1</t>
  </si>
  <si>
    <t>TIE ANGLE ASSEMBLY MK TA-3</t>
  </si>
  <si>
    <t>TIE ANGLE ASSEMBLY MK TA-2</t>
  </si>
  <si>
    <t>RT-88230-0275-01-DD-C</t>
  </si>
  <si>
    <t>DEBRIS TRANSFER FRAME ADAPTER
WELDMENT</t>
  </si>
  <si>
    <t>DEBRIS COLLECTION LINER</t>
  </si>
  <si>
    <t>DEBRIS COLLECTION CAP</t>
  </si>
  <si>
    <t>DEBRIS COLLECTION TUNGSTEN
LINER</t>
  </si>
  <si>
    <t>PRESSFIT SPIGOT</t>
  </si>
  <si>
    <t>OVERPACK CAN</t>
  </si>
  <si>
    <t>LOCKING PLATE (OVERPACK)</t>
  </si>
  <si>
    <t>DOOR</t>
  </si>
  <si>
    <t>COVER</t>
  </si>
  <si>
    <t>DOOR PLATE</t>
  </si>
  <si>
    <t>EXTENSION BLOCK</t>
  </si>
  <si>
    <t>BODY</t>
  </si>
  <si>
    <t>RT-87876-0401-01-DD-C</t>
  </si>
  <si>
    <t>RT-87876-0402-01-DD-C</t>
  </si>
  <si>
    <t>RT-87876-0403-01-DD-C</t>
  </si>
  <si>
    <t>RT-87876-0404-01-DD-C</t>
  </si>
  <si>
    <t>RT-87876-0407-01-DD-C</t>
  </si>
  <si>
    <t>RT-87876-0408-01-DD-C</t>
  </si>
  <si>
    <t>RT-87876-0409-01-DD-C</t>
  </si>
  <si>
    <t>RT-87876-0410-01-DD-C</t>
  </si>
  <si>
    <t>RT-87876-0411-01-DD-C</t>
  </si>
  <si>
    <t>RT-87876-0412-01-DD-C</t>
  </si>
  <si>
    <t>LOCKING PLATE (FLASK)</t>
  </si>
  <si>
    <t>PLUNGER POSITION GAUGE BASE</t>
  </si>
  <si>
    <t>GAUGE HOLDER HANDLE - PLUNGER</t>
  </si>
  <si>
    <t>CALIBRATION PLATE</t>
  </si>
  <si>
    <t>RT-87530-0113-1-DD-2</t>
  </si>
  <si>
    <t>RT-87530-0140-1-DD-1</t>
  </si>
  <si>
    <t>RT-87530-0115-1-DD-2</t>
  </si>
  <si>
    <t>STEM POSITION GAUGE BASE</t>
  </si>
  <si>
    <t>GAUGE HOLDER HANDLE - STEM</t>
  </si>
  <si>
    <t>RT-87530-0117-1-DD-2</t>
  </si>
  <si>
    <t>RT-87530-0141-1-DD-1</t>
  </si>
  <si>
    <t>PAD</t>
  </si>
  <si>
    <t>RT-88030-0251-1-DD-C</t>
  </si>
  <si>
    <t>RT-88030-0252-1-DD-C</t>
  </si>
  <si>
    <t>RT-88030-0253-1-DD-D</t>
  </si>
  <si>
    <t>BOTTOM CARRIAGE WELDMENT</t>
  </si>
  <si>
    <t>BEARING BLOCK MOUNTING ASSEMBLY</t>
  </si>
  <si>
    <t>THREADED BLOCK</t>
  </si>
  <si>
    <t>RT-87250-0701-01-GA-E</t>
  </si>
  <si>
    <t>RT-87250-0703-01-GA-D</t>
  </si>
  <si>
    <t>RT-87250-0704-01-DD-B</t>
  </si>
  <si>
    <t>BEARING BLOCK MOUNTING PLATE</t>
  </si>
  <si>
    <t>INSTALLATION WORKTABLE
(RT-7257)</t>
  </si>
  <si>
    <t>RT-87250-0401-01-GA-E</t>
  </si>
  <si>
    <t>IWT SUPPORT FRAME (RT-7612)</t>
  </si>
  <si>
    <t>PIN BRACKET</t>
  </si>
  <si>
    <t>RT-87920-0008-001-DD-C</t>
  </si>
  <si>
    <t>21RT-87250-9001-1-DD-D</t>
  </si>
  <si>
    <t>SCISSOR ASSEMBLY</t>
  </si>
  <si>
    <t>BASEFRAME ASSEMBLY</t>
  </si>
  <si>
    <t>PLATFORM ASSEMBLY</t>
  </si>
  <si>
    <t>Y INDICATOR SLIDE ASSEMBLY</t>
  </si>
  <si>
    <t>BELLOWS</t>
  </si>
  <si>
    <t>BELLOWS MOUNTING BAR SIDE</t>
  </si>
  <si>
    <t>BELLOWS MOUNTING BAR END</t>
  </si>
  <si>
    <t>YAW ANGLE INDICATOR SCRIBE PLATE</t>
  </si>
  <si>
    <t>YAW INDICATOR ARM</t>
  </si>
  <si>
    <t>YAW INDICATOR ARM (OPPOSITE HAND)</t>
  </si>
  <si>
    <t>SERIAL PLATE</t>
  </si>
  <si>
    <t>21RT-87250-9018-1-GA-D</t>
  </si>
  <si>
    <t>21RT-87250-9077-1-GA-D</t>
  </si>
  <si>
    <t>21RT-87250-9148-1-GA-B</t>
  </si>
  <si>
    <t>21RT-87250-9125-1-DD-B</t>
  </si>
  <si>
    <t>21RT-87250-9162-1-DD-B</t>
  </si>
  <si>
    <t>21RT-87250-9163-1-DD-B</t>
  </si>
  <si>
    <t>21RT-87250-9164-1-DD-B</t>
  </si>
  <si>
    <t>21RT-87250-9165-1-DD-B</t>
  </si>
  <si>
    <t>21RT-87250-9166-1-DD-B</t>
  </si>
  <si>
    <t>LWTF MOCK-UP TROLLEY FRAME ASSY</t>
  </si>
  <si>
    <t>GUSSET</t>
  </si>
  <si>
    <t>LATCH MOUNT BRACKET C SIDE</t>
  </si>
  <si>
    <t>LATCH MOUNT BRACKET A SIDE</t>
  </si>
  <si>
    <t>RT-87640-70300-001-1-DD-E/RT-87640-70300-001-2-DD-E</t>
  </si>
  <si>
    <t>RT-87640-70300-020-1-DD-D</t>
  </si>
  <si>
    <t>RT-87640-70300-021-1-DD-D</t>
  </si>
  <si>
    <t>IPEX .5 BUSHING</t>
  </si>
  <si>
    <t>RT-87630-71254-1001-1-DD-D</t>
  </si>
  <si>
    <t>IPEX .75 BUSHING</t>
  </si>
  <si>
    <t>IPEX 1.0 BUSHING</t>
  </si>
  <si>
    <t>.5 SCREEN</t>
  </si>
  <si>
    <t>.75 SCREEN</t>
  </si>
  <si>
    <t>1.0 SCREEN</t>
  </si>
  <si>
    <t>MICRO FIBER CLOTH</t>
  </si>
  <si>
    <t>FOAM DISC</t>
  </si>
  <si>
    <t>POKER STICK</t>
  </si>
  <si>
    <t>POKER STICK - TUBING</t>
  </si>
  <si>
    <t>POKER STICK - CAP</t>
  </si>
  <si>
    <t>FILTER DELIVERY TOOL</t>
  </si>
  <si>
    <t>TOOL BOX A TAG</t>
  </si>
  <si>
    <t>TOOL BOX B TAG</t>
  </si>
  <si>
    <t>REDUCER-VACUUM TUBE CONNECTION</t>
  </si>
  <si>
    <t>NOZZLE DELIVERY TOOL</t>
  </si>
  <si>
    <t>NOZZLE WAND</t>
  </si>
  <si>
    <t>GARTER SPRING COLLECTION TRAY</t>
  </si>
  <si>
    <t>CAMERA CLAMP ADAPTER</t>
  </si>
  <si>
    <t>FILTER DELIVERY TOOL FLANGE</t>
  </si>
  <si>
    <t>FILTER DELIVERY TOOL MID FLANGE</t>
  </si>
  <si>
    <t>FILTER DELIVERY TOOL GUSSET</t>
  </si>
  <si>
    <t>FILTER DELIVERY TOOL TROUGH</t>
  </si>
  <si>
    <t>FILTER DELIVERY TOOL END PLATE</t>
  </si>
  <si>
    <t>FLEX TUBE-FILTER TO REDUCER</t>
  </si>
  <si>
    <t>1 IN NIPPLE-REDUCER</t>
  </si>
  <si>
    <t>VACUUM NOZZLE BLOCK</t>
  </si>
  <si>
    <t>NOZZLE DELIVERY TOOL SCREW</t>
  </si>
  <si>
    <t>NOZZLE DELIVERY TOOL TUBE</t>
  </si>
  <si>
    <t>DELIVERY TOOL TUBE</t>
  </si>
  <si>
    <t>GARTER SPRING TRAY BOTTOM PLATE</t>
  </si>
  <si>
    <t>GARTER SPRING TRAY SIDE WALL</t>
  </si>
  <si>
    <t>GARTER SPRING TRAY GUSSET</t>
  </si>
  <si>
    <t>VACUUM FILTER INLET NOZZLE ASSEMBLY</t>
  </si>
  <si>
    <t>FILTER HOUSING</t>
  </si>
  <si>
    <t>VACUUM FILTER INLET NOZZLE</t>
  </si>
  <si>
    <t>VACUUM FILTER INLET FLANGE</t>
  </si>
  <si>
    <t>FILTER HOUSING CANISTER</t>
  </si>
  <si>
    <t>FILTER HOUSING TUBE</t>
  </si>
  <si>
    <t>FILTER HOUSING PIPE CAP</t>
  </si>
  <si>
    <t>FLEX TUBE-NOZZLE TO FILTER</t>
  </si>
  <si>
    <t>NOZZLE TUBE</t>
  </si>
  <si>
    <t>VACUUM NOZZLE 2</t>
  </si>
  <si>
    <t>1.5 IN NIPPLE-REDUCER</t>
  </si>
  <si>
    <t>FOOT-REDUCER</t>
  </si>
  <si>
    <t>HANDLE-STICKY STICK</t>
  </si>
  <si>
    <t>GUIDE HANDLE-NOZZLE WAND</t>
  </si>
  <si>
    <t>ID TAG - INSP &amp; RETRIEVAL TOOLS</t>
  </si>
  <si>
    <t>RT-87630-71254-1010</t>
  </si>
  <si>
    <t>RT-87630-71254-1011</t>
  </si>
  <si>
    <t>RT-87630-71254-1029</t>
  </si>
  <si>
    <t>RT-87630-71254-1030</t>
  </si>
  <si>
    <t>RT-87630-71254-1002-1-DD-D</t>
  </si>
  <si>
    <t>RT-87630-71254-1003-1-DD-D</t>
  </si>
  <si>
    <t>RT-87630-71254-1004-1-DD-B</t>
  </si>
  <si>
    <t>RT-87630-71254-1005-1-DD-B</t>
  </si>
  <si>
    <t>RT-87630-71254-1006-1-DD-B</t>
  </si>
  <si>
    <t>RT-87630-71254-1007-1-DD-B</t>
  </si>
  <si>
    <t>RT-87630-71254-1008-1-DD-B</t>
  </si>
  <si>
    <t>RT-87630-71254-1009-1-DD-D</t>
  </si>
  <si>
    <t>RT-87630-71254-1012-1-DD-D</t>
  </si>
  <si>
    <t>RT-87630-71254-1020-1-DD-B</t>
  </si>
  <si>
    <t>RT-87630-71254-1021-1-DD-B</t>
  </si>
  <si>
    <t>RT-87630-71254-1022-1-DD-B</t>
  </si>
  <si>
    <t>RT-87630-71254-1023-1-DD-B</t>
  </si>
  <si>
    <t>RT-87630-71254-1024-1-DD-B</t>
  </si>
  <si>
    <t>RT-87630-71254-1013-1-DD-B</t>
  </si>
  <si>
    <t>RT-87630-71254-1014-1-DD-B</t>
  </si>
  <si>
    <t>RT-87630-71254-1015-1-DD-D</t>
  </si>
  <si>
    <t>RT-87630-71254-1026-1-DD-B</t>
  </si>
  <si>
    <t>RT-87630-71254-1044-1-DD-B</t>
  </si>
  <si>
    <t>RT-87630-71254-1045-1-DD-B</t>
  </si>
  <si>
    <t>RT-87630-71254-1016-1-DD-B</t>
  </si>
  <si>
    <t>RT-87630-71254-1017-1-DD-B</t>
  </si>
  <si>
    <t>RT-87630-71254-1018-1-DD-D</t>
  </si>
  <si>
    <t>RT-87630-71254-1031-1-DD-B</t>
  </si>
  <si>
    <t>RT-87630-71254-1032-1-DD-B</t>
  </si>
  <si>
    <t>RT-87630-71254-1033-1-DD-B</t>
  </si>
  <si>
    <t>RT-87630-71254-1019-1-DD-B</t>
  </si>
  <si>
    <t>RT-87630-71254-1025-1-DD-B</t>
  </si>
  <si>
    <t>RT-87630-71254-1028-1-DD-B</t>
  </si>
  <si>
    <t>RT-87630-71254-1027-1-DD-B</t>
  </si>
  <si>
    <t>RT-87630-71254-1034-1-DD-B</t>
  </si>
  <si>
    <t>RT-87630-71254-1036-1-DD-B</t>
  </si>
  <si>
    <t>RT-87630-71254-1037-1-DD-B</t>
  </si>
  <si>
    <t>RT-87630-71254-1035-1-DD-E</t>
  </si>
  <si>
    <t>RT-87630-71254-1038-1-DD-D</t>
  </si>
  <si>
    <t>RT-87630-71254-1039-1-DD-D</t>
  </si>
  <si>
    <t>RT-87630-71254-1040-1-DD-B</t>
  </si>
  <si>
    <t>RT-87630-71254-1041-1-DD-B</t>
  </si>
  <si>
    <t>RT-87630-71254-1042-1-DD-D</t>
  </si>
  <si>
    <t>RT-87630-71254-1043-1-DD-B</t>
  </si>
  <si>
    <t>RT-87630-71254-1046-1-DD-B</t>
  </si>
  <si>
    <t>RT-87630-71254-1047-1-DD-B</t>
  </si>
  <si>
    <t>RT-87630-71254-1048-1-DD-B</t>
  </si>
  <si>
    <t xml:space="preserve">IWT SUPPORT </t>
  </si>
  <si>
    <t>FRAME</t>
  </si>
  <si>
    <t>INNER PIPE (31910-818-1)</t>
  </si>
  <si>
    <t>12918-6620-0009 (RT-88000-76620-009-1-DD-D/RT-88000-76610-009-2-DD-D)</t>
  </si>
  <si>
    <t>DONE</t>
  </si>
  <si>
    <t>V-BLOCK</t>
  </si>
  <si>
    <t>FRONT V-BLOCK</t>
  </si>
  <si>
    <t>TRANSDUCER SUPPORT</t>
  </si>
  <si>
    <t>TAB WASHER</t>
  </si>
  <si>
    <t>RT-88030-0311-1-DD-E</t>
  </si>
  <si>
    <t>RT-88030-0312-1-DD-D</t>
  </si>
  <si>
    <t>25034SP-01</t>
  </si>
  <si>
    <t>SS Window Frame</t>
  </si>
  <si>
    <t>Roller Pin</t>
  </si>
  <si>
    <t>DSK30308M04-101</t>
  </si>
  <si>
    <t>DSK30308M04-103</t>
  </si>
  <si>
    <t>RT-88000-70164-035-1-GA-C</t>
  </si>
  <si>
    <t>PLATE 1</t>
  </si>
  <si>
    <t>RT-88000-70164-036-1-DD-B</t>
  </si>
  <si>
    <t>PLATE 2</t>
  </si>
  <si>
    <t>RT-88000-70164-037-1-DD-B</t>
  </si>
  <si>
    <t>RETAINING BLOCK</t>
  </si>
  <si>
    <t>RT-88000-70164-038-1-DD-B</t>
  </si>
  <si>
    <t>RT-88000-70164-039-1-DD-B</t>
  </si>
  <si>
    <t>RT-88000-70164-031-1-DD-C</t>
  </si>
  <si>
    <t>RT-88000-70164-032-1-DD-C</t>
  </si>
  <si>
    <t>RT-88000-70164-033-1-DD-C</t>
  </si>
  <si>
    <t>Status</t>
  </si>
  <si>
    <t>08-31912-0446-01-DD-3 (RT-87550-0123-01-DD-C)</t>
  </si>
  <si>
    <t>Parts machining by an external supplier
M&amp;M</t>
  </si>
  <si>
    <t>Parts machining by an external supplier
Electro-Kleen</t>
  </si>
  <si>
    <t>★Check to Gus</t>
  </si>
  <si>
    <t>Parts machining by an external supplier
CMC</t>
  </si>
  <si>
    <t xml:space="preserve">Free Issue </t>
  </si>
  <si>
    <t>Material</t>
  </si>
  <si>
    <t>Grind</t>
  </si>
  <si>
    <t>Fit,Tack,Weld</t>
  </si>
  <si>
    <t>Order Complete</t>
  </si>
  <si>
    <t>Check Stock</t>
  </si>
  <si>
    <t>Sub-parts are on order</t>
  </si>
  <si>
    <t>Receive or Stock</t>
  </si>
  <si>
    <t>Machine
Kennametal</t>
  </si>
  <si>
    <t>RT-88030-7601-01-ED-B</t>
  </si>
  <si>
    <t>TELEMENTARY DIAGRAM</t>
  </si>
  <si>
    <t>RT-88030-7601-02-BD-C</t>
  </si>
  <si>
    <t>RT-88030-7601-03-ED-C</t>
  </si>
  <si>
    <t>RT-88030-7601-04-ED-C</t>
  </si>
  <si>
    <t>RT-88030-7601-05-ED-C</t>
  </si>
  <si>
    <t>RT-88030-7601-05-BM-C</t>
  </si>
  <si>
    <t>Receive,INS</t>
  </si>
  <si>
    <t>Tool Encoder Bracket Assy-Guide ASSY</t>
  </si>
  <si>
    <t>RT-88030-0016-01-GA-1</t>
  </si>
  <si>
    <t>Check stock</t>
  </si>
  <si>
    <t>Receive,Stock</t>
  </si>
  <si>
    <t>Receive,Stock,INS</t>
  </si>
  <si>
    <t>RT-87840-70100-1000-1-GA-B</t>
  </si>
  <si>
    <t>Gather All items</t>
  </si>
  <si>
    <t>Recive,INS</t>
  </si>
  <si>
    <t>Gather all items</t>
  </si>
  <si>
    <t xml:space="preserve">Sub-parts are on order </t>
  </si>
  <si>
    <t>Memo</t>
  </si>
  <si>
    <t>Ship</t>
  </si>
  <si>
    <t>Receive ,INS</t>
  </si>
  <si>
    <t>Spiral Groove Drum LH ＆RH （Spiral Opp）</t>
  </si>
  <si>
    <t>2LH+2RH</t>
  </si>
  <si>
    <t>3737961-00</t>
  </si>
  <si>
    <t>3737964-00</t>
  </si>
  <si>
    <t>VAS Bung-CT Guide Ram</t>
  </si>
  <si>
    <t>RT-87730-0488-01-DD-D</t>
  </si>
  <si>
    <t>216-02123-PN-T117</t>
  </si>
  <si>
    <t>Gripper Manual Adaptor</t>
  </si>
  <si>
    <t>RT-87730-0487-01-DD-D</t>
  </si>
  <si>
    <t>Rack&amp;Pinion Manual Adaptor</t>
  </si>
  <si>
    <t>RT-87730-0486-01-DD-D</t>
  </si>
  <si>
    <t>PO1020435</t>
  </si>
  <si>
    <t>MDA</t>
  </si>
  <si>
    <t>4033507-101</t>
  </si>
  <si>
    <t>4033510-101</t>
  </si>
  <si>
    <t>INS</t>
  </si>
  <si>
    <t>RT-87640-72150-101-1-DD-D</t>
  </si>
  <si>
    <t>RT-87640-72150-093-1-DD-D</t>
  </si>
  <si>
    <t>RT-87640-72150-095-1-DD-D</t>
  </si>
  <si>
    <t>RT-87640-72150-098-1-DD-B</t>
  </si>
  <si>
    <t>RT-87640-72150-097-1-DD-B</t>
  </si>
  <si>
    <t>RT-87640-72150-099-1-DD-B</t>
  </si>
  <si>
    <t>RT-87640-72150-013-1-DD-B</t>
  </si>
  <si>
    <t>NPD0059-DET-6322</t>
  </si>
  <si>
    <t>NPD0059-DET-5506</t>
  </si>
  <si>
    <t>NET0059-DET-5507</t>
  </si>
  <si>
    <t>NET0059-DET-5220</t>
  </si>
  <si>
    <t>MCR-15300-001-163002-01-DD-C</t>
  </si>
  <si>
    <t>RT-88030-0018-01-GA-2</t>
  </si>
  <si>
    <t>RT-87640-72150-094-1-DD-B</t>
  </si>
  <si>
    <t>RT-87640-72150-100-1-DD-D</t>
  </si>
  <si>
    <t>RT-87550-0147-01-DD-C</t>
  </si>
  <si>
    <t>08-63500-0525-01-DD-2</t>
  </si>
  <si>
    <t>RT-87250-74016-091-1-DD-B</t>
  </si>
  <si>
    <t>TURN</t>
  </si>
  <si>
    <t>RT-87250-74016-12-1-DD-B</t>
  </si>
  <si>
    <t>DRILL</t>
  </si>
  <si>
    <t>Chain Retainer Plate</t>
  </si>
  <si>
    <t>DEBURR</t>
  </si>
  <si>
    <t>Shell Pre Machining</t>
  </si>
  <si>
    <t>RT-88030-0066-01-DD-E</t>
  </si>
  <si>
    <t>Yaw Push Pin Mount</t>
  </si>
  <si>
    <t>DEBBUR</t>
  </si>
  <si>
    <t>Clean</t>
  </si>
  <si>
    <t>Tool Cart Bottom Tray</t>
  </si>
  <si>
    <t>Tool Cart Top Tray</t>
  </si>
  <si>
    <t>RT-87540-0202-01-DD-1</t>
  </si>
  <si>
    <t>RT-87540-0203-01-DD-1</t>
  </si>
  <si>
    <t>Tool Cart Frame Weldment</t>
  </si>
  <si>
    <t>RT-87540-0201-01-DD-0</t>
  </si>
  <si>
    <t>Flange</t>
  </si>
  <si>
    <t>MCR-15300-003-107000-02-DD-B</t>
  </si>
  <si>
    <t>MCR-15300-003-107002-02-DD-B</t>
  </si>
  <si>
    <t>Tab</t>
  </si>
  <si>
    <t>MCR-15300-003-107005-02-DD-B</t>
  </si>
  <si>
    <t>Clamp Tab</t>
  </si>
  <si>
    <t>MCR-15300-003-107003-01-DD-B</t>
  </si>
  <si>
    <t>Switch Tab</t>
  </si>
  <si>
    <t>MCR-15300-003-107004-01-DD-B</t>
  </si>
  <si>
    <t>Support Tube</t>
  </si>
  <si>
    <t>MCR-15300-003-107001-01-DD-B</t>
  </si>
  <si>
    <t xml:space="preserve">DONE </t>
  </si>
  <si>
    <t>RT-87550-0147-01-GA-D</t>
  </si>
  <si>
    <t>ROD</t>
  </si>
  <si>
    <t>RT-87713-70005-1-DD-B</t>
  </si>
  <si>
    <t>UNISTRUT MODIFIED</t>
  </si>
  <si>
    <t>RT-87713-70003-1-DD-B</t>
  </si>
  <si>
    <t>BASE DETAIL DESIGN</t>
  </si>
  <si>
    <t>Torque-C side</t>
  </si>
  <si>
    <t>Flag</t>
  </si>
  <si>
    <t>Torque-A side</t>
  </si>
  <si>
    <t>LWTF Locating Pin</t>
  </si>
  <si>
    <t>7/23 : Receive
7/30 : Ship</t>
  </si>
  <si>
    <t>RT38-17300-002_000-0000-003-01-DD-B</t>
  </si>
  <si>
    <t>Stop pin</t>
  </si>
  <si>
    <t>Tool Encoder Bracket Assy-Gusset</t>
  </si>
  <si>
    <t>RT-88030-0019-01-DD-2</t>
  </si>
  <si>
    <t>Stop Block</t>
  </si>
  <si>
    <t>RT-88000-70118-074-1-DD-B</t>
  </si>
  <si>
    <t xml:space="preserve">INBOARD GUIDE INSERT </t>
  </si>
  <si>
    <t>INBOARD GUIDE BODY</t>
  </si>
  <si>
    <t>RT-88000-70118-075-1-DD-B</t>
  </si>
  <si>
    <t>RT-88000-70118-072-1-DD-B</t>
  </si>
  <si>
    <t>RT-88000-70118-071-1-DD-B</t>
  </si>
  <si>
    <t>Support Shaft</t>
  </si>
  <si>
    <t>RT-87540-0116-01-DD-2</t>
  </si>
  <si>
    <t>Tool Cart Tray Shim</t>
  </si>
  <si>
    <t>RT-87540-0204-01-DD-1</t>
  </si>
  <si>
    <t>Receeive,INS</t>
  </si>
  <si>
    <t>Assemble</t>
  </si>
  <si>
    <t>DONE？</t>
  </si>
  <si>
    <t>JACK SCREW MOUNTING PLATE-C SIDE</t>
  </si>
  <si>
    <t>RT-87640-72150-102-1-DD-B</t>
  </si>
  <si>
    <t>JACK SCREW MOUNTING PLATE-A SIDE</t>
  </si>
  <si>
    <t>RT-87640-72150-096-1-DD-B</t>
  </si>
  <si>
    <t>Flag Spacer</t>
  </si>
  <si>
    <t>Jack Screw Mount Block</t>
  </si>
  <si>
    <t>Arm C side</t>
  </si>
  <si>
    <t>ID Tag-A Side Latch</t>
  </si>
  <si>
    <t>RT-87640-72150-103-1-DD-B</t>
  </si>
  <si>
    <t>ID Tag-C Side Latch</t>
  </si>
  <si>
    <t>RT-87640-72150-104-1-DD-B</t>
  </si>
  <si>
    <t>ID Tag-Orientation LWTF</t>
  </si>
  <si>
    <t>RT-87640-72150-082-1-DD-B</t>
  </si>
  <si>
    <t>ID Tag-Assembly 6</t>
  </si>
  <si>
    <t>RT-87640-72150-079-1-DD-B</t>
  </si>
  <si>
    <t>ID Tag-Assembly 5</t>
  </si>
  <si>
    <t>RT-87640-72150-078-1-DD-B</t>
  </si>
  <si>
    <t>Arm A side</t>
  </si>
  <si>
    <t>PIVOT</t>
  </si>
  <si>
    <t>RT-88000-70118-073-1-DD-B</t>
  </si>
  <si>
    <t>RT-88000-70118-070-1-DD-D</t>
  </si>
  <si>
    <t>GUIDE ASSY</t>
  </si>
  <si>
    <t>ADJUSTER</t>
  </si>
  <si>
    <t>RT-87540-0108-1-DD-2</t>
  </si>
  <si>
    <t>LWTF REAR SUPPORT SHIM</t>
  </si>
  <si>
    <t>RT-87640-72150-039-1-DD-B</t>
  </si>
  <si>
    <t>LWTF REAR SUPPORT PIN SHIM</t>
  </si>
  <si>
    <t>RT-87640-72150-038-1-DD-B</t>
  </si>
  <si>
    <t>Receive,Inspect</t>
  </si>
  <si>
    <t>Waterjet cut</t>
  </si>
  <si>
    <t>Mill</t>
  </si>
  <si>
    <t>LWTF Front Block</t>
  </si>
  <si>
    <t>RT-87640-72150-030-1-DD-D</t>
  </si>
  <si>
    <t>Turn,Drill</t>
  </si>
  <si>
    <t>Drill&amp;Bore</t>
  </si>
  <si>
    <t>Front Shim</t>
  </si>
  <si>
    <t>RT-87640-72150-028-1-DD-B</t>
  </si>
  <si>
    <t>CUT</t>
  </si>
  <si>
    <t>ASSY</t>
  </si>
  <si>
    <t>Turn</t>
  </si>
  <si>
    <t>Sheave Wheel-F/I mat'l to r/w</t>
  </si>
  <si>
    <t>Assem1</t>
  </si>
  <si>
    <t>Assembly</t>
  </si>
  <si>
    <t>Sheave Wheel-F/I mat'l to r/w-S.S. Plate</t>
  </si>
  <si>
    <t>Aluminum Segment</t>
  </si>
  <si>
    <t>Store for ASSY</t>
  </si>
  <si>
    <t>Sheave Wheel-F/I mat'l to r/w-Small Wheel</t>
  </si>
  <si>
    <t>Sheave Wheel-1.42in, 800mm</t>
  </si>
  <si>
    <t>Tool Encoder Bracket Assy-Wire Wheel</t>
  </si>
  <si>
    <t>RT-88030-0023-01-DD-2</t>
  </si>
  <si>
    <t>Delrin</t>
  </si>
  <si>
    <t>Tool Encoder Bracket Assy-PinHolder</t>
  </si>
  <si>
    <t>RT-88030-0020-01-DD-2</t>
  </si>
  <si>
    <t>NPD0059-WLD-6309-B</t>
  </si>
  <si>
    <t>RT-87840-70210-1000-1-GA-B</t>
  </si>
  <si>
    <t>Adapter</t>
  </si>
  <si>
    <t>RT-87840-70210-1001-1-DD-B</t>
  </si>
  <si>
    <t>Receive or INS</t>
  </si>
  <si>
    <t>Face/Turn/Drill/Tap</t>
  </si>
  <si>
    <t>waterjet</t>
  </si>
  <si>
    <t>CHANNEL ASSY MK-SC-2A-RIGHT</t>
  </si>
  <si>
    <t>RT-88230-0273-01-GA-D</t>
  </si>
  <si>
    <t>Receive Release</t>
  </si>
  <si>
    <t>Tap Drill Jig</t>
  </si>
  <si>
    <t>Laser Etch</t>
  </si>
  <si>
    <t>Waterjet</t>
  </si>
  <si>
    <t>RT-87250-74016-008-1-DD-D</t>
  </si>
  <si>
    <t>Idler Mount Sprocket Mount</t>
  </si>
  <si>
    <t>RT-87250-74016-004-1-DD-D</t>
  </si>
  <si>
    <t>Chain Connection Link</t>
  </si>
  <si>
    <t>RT-87250-74016-011-1-DD-D</t>
  </si>
  <si>
    <t>Machine</t>
  </si>
  <si>
    <t>NPD0059-WLD-6309-A</t>
  </si>
  <si>
    <t>NPD0059-WLD-6309-C,D</t>
  </si>
  <si>
    <t>Sheave Wheel-F/I mat'l to r/w-UHMW Plate</t>
  </si>
  <si>
    <t>UHMW Segment</t>
  </si>
  <si>
    <t>RT-87550-0136-01-DD-D</t>
  </si>
  <si>
    <t>Face,Chamfers,Mill</t>
  </si>
  <si>
    <t>Clean,Identify</t>
  </si>
  <si>
    <t xml:space="preserve">Unistrut with Post </t>
  </si>
  <si>
    <t>Tack,Weld</t>
  </si>
  <si>
    <t>Sub parts order</t>
  </si>
  <si>
    <t xml:space="preserve">Water jet </t>
  </si>
  <si>
    <t>Water jet</t>
  </si>
  <si>
    <t xml:space="preserve">Form </t>
  </si>
  <si>
    <t>Form</t>
  </si>
  <si>
    <t xml:space="preserve">Chamfer </t>
  </si>
  <si>
    <t xml:space="preserve">Deburr </t>
  </si>
  <si>
    <t>Deburr</t>
  </si>
  <si>
    <t xml:space="preserve">Fit, Tack, Weld </t>
  </si>
  <si>
    <t>Fit, Tac, Weld</t>
  </si>
  <si>
    <t>Fit, Tack, Weld</t>
  </si>
  <si>
    <t>Receive or stock</t>
  </si>
  <si>
    <t>Cut</t>
  </si>
  <si>
    <t>Fit,Tack,weld</t>
  </si>
  <si>
    <t>Tack weld</t>
  </si>
  <si>
    <t>Debbur</t>
  </si>
  <si>
    <t>Paint</t>
  </si>
  <si>
    <t>Clean
INS</t>
  </si>
  <si>
    <t>Order material</t>
  </si>
  <si>
    <t>Ask Gus when receive</t>
  </si>
  <si>
    <t>Return to Profile EDM</t>
  </si>
  <si>
    <t>L-Etch 
MCR-12110-001-000005</t>
  </si>
  <si>
    <t>Heat treat A&amp;M</t>
  </si>
  <si>
    <t>Heat treat</t>
  </si>
  <si>
    <t>Heat treat
A&amp;M</t>
  </si>
  <si>
    <t>A&amp;M</t>
  </si>
  <si>
    <t>Ask Gus</t>
  </si>
  <si>
    <t>Ask Gus about schedule</t>
  </si>
  <si>
    <t>6 (4;stock)</t>
  </si>
  <si>
    <t>Sub parts are ordered</t>
  </si>
  <si>
    <t>EDM</t>
  </si>
  <si>
    <t>Titanium IND</t>
  </si>
  <si>
    <t>Heat Treat
M/C</t>
  </si>
  <si>
    <t>Handle Drive Lock</t>
  </si>
  <si>
    <t>RT-87250-74016-093-1-DD-B</t>
  </si>
  <si>
    <t>Drill</t>
  </si>
  <si>
    <t>Cam Roller Mount</t>
  </si>
  <si>
    <t>RT-87250-74016-006-1-DD-B</t>
  </si>
  <si>
    <t>Single Spacer Drop off Tool-Tubing</t>
  </si>
  <si>
    <t>RT-88030-0073-01-DD-C</t>
  </si>
  <si>
    <t>RT-88030-0072-01-DD-C</t>
  </si>
  <si>
    <t>PROTECT SLEEVE</t>
  </si>
  <si>
    <t>Roller Mount 2</t>
  </si>
  <si>
    <t>RT-87250-74016-089-1-DD-B</t>
  </si>
  <si>
    <t>Pack</t>
  </si>
  <si>
    <t>INS,DIR</t>
  </si>
  <si>
    <t>Receive</t>
  </si>
  <si>
    <t>GatherAllitems</t>
  </si>
  <si>
    <t>Clean
INS,DIR</t>
  </si>
  <si>
    <t>Setup</t>
  </si>
  <si>
    <t>Laser-Etching</t>
  </si>
  <si>
    <t>Claen</t>
  </si>
  <si>
    <t>Gearcut@truegear</t>
  </si>
  <si>
    <t>Trim</t>
  </si>
  <si>
    <t xml:space="preserve">Install </t>
  </si>
  <si>
    <t>L-Etch</t>
  </si>
  <si>
    <t>Center Beam</t>
  </si>
  <si>
    <t>RT-87640-72150-001-1-DD-B</t>
  </si>
  <si>
    <t>Short Beam</t>
  </si>
  <si>
    <t>RT-87640-72150-002-1-DD-B</t>
  </si>
  <si>
    <t>Wheel Gusset</t>
  </si>
  <si>
    <t>RT-87640-72150-003-1-DD-B</t>
  </si>
  <si>
    <t>Access Door</t>
  </si>
  <si>
    <t>RT-87640-72150-004-1-DD-B</t>
  </si>
  <si>
    <t>Trolley Frame</t>
  </si>
  <si>
    <t>RT-87640-72150-005-1-DD-B</t>
  </si>
  <si>
    <t>W-Block spacer plate</t>
  </si>
  <si>
    <t>RT-87640-72150-006-1-DD-B</t>
  </si>
  <si>
    <t>Sound Alarm Mounting Plate</t>
  </si>
  <si>
    <t>RT-87640-72150-008-1-DD-B</t>
  </si>
  <si>
    <t>Long Beam</t>
  </si>
  <si>
    <t>RT-87640-72150-009-1-DD-B</t>
  </si>
  <si>
    <t>Lifting Block</t>
  </si>
  <si>
    <t>RT-87640-72150-010-1-DD-B</t>
  </si>
  <si>
    <t>Bumper Mount Type 1</t>
  </si>
  <si>
    <t>RT-87640-72150-012-1-DD-B</t>
  </si>
  <si>
    <t>SF Front Locator Plate</t>
  </si>
  <si>
    <t>RT-87640-72150-016-1-DD-B</t>
  </si>
  <si>
    <t>SF Rear Locator Plate</t>
  </si>
  <si>
    <t>RT-87640-72150-018-1-DD-B</t>
  </si>
  <si>
    <t>Asafety bumper</t>
  </si>
  <si>
    <t>RT-87640-72150-019-1-DD-B</t>
  </si>
  <si>
    <t>LWTF Front Guide</t>
  </si>
  <si>
    <t>RT-87640-72150-020-1-DD-B</t>
  </si>
  <si>
    <t>Coupling Shaft</t>
  </si>
  <si>
    <t>RT-87640-72150-021-1-DD-B</t>
  </si>
  <si>
    <t>Coupling Y-Plate</t>
  </si>
  <si>
    <t>RT-87640-72150-022-1-DD-B</t>
  </si>
  <si>
    <t>Coupling X-Plate</t>
  </si>
  <si>
    <t>RT-87640-72150-023-1-DD-B</t>
  </si>
  <si>
    <t>Locate Plate-SWTF</t>
  </si>
  <si>
    <t>RT-87640-72150-024-1-DD-B</t>
  </si>
  <si>
    <t>Shuttle Flask Pin</t>
  </si>
  <si>
    <t>RT-87640-72150-025-1-DD-B</t>
  </si>
  <si>
    <t>SF Side Locator</t>
  </si>
  <si>
    <t>RT-87640-72150-026-1-DD-B</t>
  </si>
  <si>
    <t>SF Back Locator</t>
  </si>
  <si>
    <t>RT-87640-72150-027-1-DD-B</t>
  </si>
  <si>
    <t>Superwake</t>
  </si>
  <si>
    <t>Rear Spar Mold</t>
  </si>
  <si>
    <t>S92201-105</t>
  </si>
  <si>
    <t>Main Spar Mold "A"</t>
  </si>
  <si>
    <t>S93501-105</t>
  </si>
  <si>
    <t>Main Spar Mold "B"</t>
  </si>
  <si>
    <t>S93502-105</t>
  </si>
  <si>
    <t xml:space="preserve">
INS,DIR</t>
  </si>
  <si>
    <t>HT</t>
  </si>
  <si>
    <t>Square Tube 1</t>
  </si>
  <si>
    <t>RT-87640-70300-002-DD-B</t>
  </si>
  <si>
    <t>Polyurethane
Prothane</t>
  </si>
  <si>
    <t>Reseive,INS</t>
  </si>
  <si>
    <t xml:space="preserve">Drill </t>
  </si>
  <si>
    <t>L-etch</t>
  </si>
  <si>
    <t>Passivete per ASTM
Electrokleen</t>
  </si>
  <si>
    <t>Submit Document</t>
  </si>
  <si>
    <t>Approved</t>
  </si>
  <si>
    <t>★外注あり</t>
  </si>
  <si>
    <t>Gear Cut
True Gear</t>
  </si>
  <si>
    <t>HT
A＆M</t>
  </si>
  <si>
    <t>Passivate
ElectroKleen</t>
  </si>
  <si>
    <t>Nitride
A＆M</t>
  </si>
  <si>
    <t>Speedway Pkg</t>
  </si>
  <si>
    <t>Poppet Tip</t>
  </si>
  <si>
    <t xml:space="preserve">Stainless Steel
HSUN </t>
  </si>
  <si>
    <t>Poppet Rod</t>
  </si>
  <si>
    <t>Ship？</t>
  </si>
  <si>
    <t>Ask Vandu</t>
  </si>
  <si>
    <t>Order Complete
Shiny Tech</t>
  </si>
  <si>
    <t>89321-Rev.1</t>
  </si>
  <si>
    <t>Weldment ASSY-Sensor Mtg Tube</t>
  </si>
  <si>
    <t>Submit Doc</t>
  </si>
  <si>
    <t>Receive Approval</t>
  </si>
  <si>
    <t>Drill&amp;Tap</t>
  </si>
  <si>
    <t>Passivate to ASTM
Electro-Kleen</t>
  </si>
  <si>
    <t>oeder sub parts</t>
  </si>
  <si>
    <t>Doc</t>
  </si>
  <si>
    <t>Weigh</t>
  </si>
  <si>
    <t>3747324-00</t>
  </si>
  <si>
    <t>Pivot Pin</t>
  </si>
  <si>
    <t>MODIFIED PIPE STAND</t>
  </si>
  <si>
    <t xml:space="preserve">Fit </t>
  </si>
  <si>
    <t>Straighten</t>
  </si>
  <si>
    <t>Visual Examination
Perfection</t>
  </si>
  <si>
    <t>Fit</t>
  </si>
  <si>
    <t>INS Marking</t>
  </si>
  <si>
    <t>Stress Reliese</t>
  </si>
  <si>
    <t>Prep</t>
  </si>
  <si>
    <t>Face</t>
  </si>
  <si>
    <t>Passivate
Electro-Kleen</t>
  </si>
  <si>
    <t>Eclips</t>
  </si>
  <si>
    <t>RT-87850-71100-107-1-DD-B</t>
  </si>
  <si>
    <t>Motor Mtg End Cap</t>
  </si>
  <si>
    <t>169536 #5</t>
  </si>
  <si>
    <t>169536 #6</t>
  </si>
  <si>
    <t>★外注あり（済）</t>
  </si>
  <si>
    <t xml:space="preserve">Complete M/E </t>
  </si>
  <si>
    <t>CMC</t>
  </si>
  <si>
    <t>Receive, INS</t>
  </si>
  <si>
    <t>Woodbridge-kipling</t>
  </si>
  <si>
    <t>38-Uploading Fixture Transfer Block</t>
  </si>
  <si>
    <t>RTD-3B04 (040318)</t>
  </si>
  <si>
    <t>Mill,Drill</t>
  </si>
  <si>
    <t>Passivate
Electro Kleen</t>
  </si>
  <si>
    <t>Face Flange</t>
  </si>
  <si>
    <t>Install</t>
  </si>
  <si>
    <t>Passivate to ASTM
Electro Kleen</t>
  </si>
  <si>
    <t>169536 #1+2</t>
  </si>
  <si>
    <t>Main-Body-Rear Tube</t>
  </si>
  <si>
    <t>RT-87850-1017-01-DD-E</t>
  </si>
  <si>
    <t>MPI
Perfection</t>
  </si>
  <si>
    <t>Stress Relieve,Sand Blast
Conrex</t>
  </si>
  <si>
    <t>Stamp</t>
  </si>
  <si>
    <t>Nitride
A&amp;M</t>
  </si>
  <si>
    <t>Sand Blast</t>
  </si>
  <si>
    <t>Mill,Drill,Tap</t>
  </si>
  <si>
    <t>C500-003</t>
  </si>
  <si>
    <t>Weld</t>
  </si>
  <si>
    <t>Mill(itemB)</t>
  </si>
  <si>
    <t>Mill(itemC）</t>
  </si>
  <si>
    <t>Trim/Mill</t>
  </si>
  <si>
    <t>Prep(Done)</t>
  </si>
  <si>
    <t>Nickelplate
CMC</t>
  </si>
  <si>
    <t>Grind
RTD</t>
  </si>
  <si>
    <t>RT98-87900-PN-R002</t>
  </si>
  <si>
    <t>PT Liner Tube Gap Measuring Tool-Outer Tube</t>
  </si>
  <si>
    <t>Order MTR</t>
  </si>
  <si>
    <t>RT-88000-70095-000-1-GA-E</t>
  </si>
  <si>
    <t>★already received</t>
  </si>
  <si>
    <t>PT Liner Tube Gap Measuring Tool (Reactor Gace)</t>
  </si>
  <si>
    <t>Order sub parts</t>
  </si>
  <si>
    <t>Slide Rod</t>
  </si>
  <si>
    <t>RT-88000-70095-002-1-DD-B</t>
  </si>
  <si>
    <t>RT-88000-70095-001-1-DD-D</t>
  </si>
  <si>
    <t>Frame ASSY-Extrusion,24"LG</t>
  </si>
  <si>
    <t>Ring Roll</t>
  </si>
  <si>
    <t>Bend</t>
  </si>
  <si>
    <t>Deburr Clean</t>
  </si>
  <si>
    <t>Bore,Drill&amp;Tap</t>
  </si>
  <si>
    <t>EDM
Profile EDM</t>
  </si>
  <si>
    <t>Tool Encoder Bracket Assy-Top Plate</t>
  </si>
  <si>
    <t>RT-88030-0017-01-DD-2</t>
  </si>
  <si>
    <t>Tool Encoder Bracket Assy-wheel Bracket</t>
  </si>
  <si>
    <t>RT-88030-0022-01-DD-2</t>
  </si>
  <si>
    <t>Black Anolize
West-Tech/AST</t>
  </si>
  <si>
    <t>Engrave</t>
  </si>
  <si>
    <t>Face End,Bore</t>
  </si>
  <si>
    <t>RT-88000-70095-007-1-DD-B</t>
  </si>
  <si>
    <t>Rod</t>
  </si>
  <si>
    <t>RT-88000-70095-101-1-DD-B</t>
  </si>
  <si>
    <t>★fixing</t>
  </si>
  <si>
    <t>33745678-00</t>
  </si>
  <si>
    <t>DJ Ind</t>
  </si>
  <si>
    <t>Alum Rosina Quill Holder</t>
  </si>
  <si>
    <t>72565-QH</t>
  </si>
  <si>
    <t>Tap</t>
  </si>
  <si>
    <t>CAT5880-2 Item#4</t>
  </si>
  <si>
    <t>Mill、Drll＆Tap</t>
  </si>
  <si>
    <t>RT98-88010-PN-R011</t>
  </si>
  <si>
    <t>EF BB Bore Gauge Calibration Hub</t>
  </si>
  <si>
    <t>RT-88000-70210-031-1-DD-D</t>
  </si>
  <si>
    <t>DSK30901G04-105</t>
  </si>
  <si>
    <t>Material ordered</t>
  </si>
  <si>
    <t>Receive,Ins</t>
  </si>
  <si>
    <t>Plate,Adaptor</t>
  </si>
  <si>
    <t>4036813-101</t>
  </si>
  <si>
    <t>PO1020694　#1</t>
  </si>
  <si>
    <t>Chemical Conversion Coat
West-Tech</t>
  </si>
  <si>
    <t>Gather all parts</t>
  </si>
  <si>
    <t>PO1020695　#1</t>
  </si>
  <si>
    <t>Mount,Readhead</t>
  </si>
  <si>
    <t>4037705-101</t>
  </si>
  <si>
    <t>Stock,INS</t>
  </si>
  <si>
    <t>PO1020696　#1</t>
  </si>
  <si>
    <t>Shaft,Output</t>
  </si>
  <si>
    <t>4038009-101</t>
  </si>
  <si>
    <t>Passivate
CMC Nickel</t>
  </si>
  <si>
    <t>PO1020697 #1</t>
  </si>
  <si>
    <t>Adaptor,Torque,Sensor</t>
  </si>
  <si>
    <t>4037978-101</t>
  </si>
  <si>
    <t>PO1020698 #1</t>
  </si>
  <si>
    <t>4036812-101</t>
  </si>
  <si>
    <r>
      <t xml:space="preserve">Machine
Kennametal
</t>
    </r>
    <r>
      <rPr>
        <sz val="16"/>
        <color rgb="FFFF0000"/>
        <rFont val="Cambria"/>
        <family val="1"/>
      </rPr>
      <t>★back in Sep</t>
    </r>
  </si>
  <si>
    <t>★Ask Gus</t>
  </si>
  <si>
    <t>Cut(Done)</t>
  </si>
  <si>
    <t>CAT5880-2 Item#8</t>
  </si>
  <si>
    <t>CAT5880-2 Item#9</t>
  </si>
  <si>
    <t>Bottom Pivot Bracket</t>
  </si>
  <si>
    <t>Top Pivot Bracket</t>
  </si>
  <si>
    <t>Black Oxide
Ampere</t>
  </si>
  <si>
    <t>Bore,Dill,Tap</t>
  </si>
  <si>
    <t>59RT-79112-0011-01-DD-B</t>
  </si>
  <si>
    <t>Shield Plug-Plug</t>
  </si>
  <si>
    <t>RT-88000-70095-010-1-DD-B</t>
  </si>
  <si>
    <t>End Tongue</t>
  </si>
  <si>
    <t>RT-88000-70095-003-1-DD-B</t>
  </si>
  <si>
    <t>MIll</t>
  </si>
  <si>
    <t>59RT-79112-0068-01-DD-B</t>
  </si>
  <si>
    <t>Awating Candu release</t>
  </si>
  <si>
    <t>Awating Candu Release</t>
  </si>
  <si>
    <t>RT79-87710-PN-R004-R1</t>
  </si>
  <si>
    <t>RT98-87920-PN-R005</t>
  </si>
  <si>
    <t>Awating updated scheduled from Eddyfi</t>
  </si>
  <si>
    <t>CONREX</t>
  </si>
  <si>
    <t>Nickel plate</t>
  </si>
  <si>
    <t>Paddle Switch-Base</t>
  </si>
  <si>
    <t>Fit,Tack</t>
  </si>
  <si>
    <t>89468-Rev.1</t>
  </si>
  <si>
    <t>ATS-Crop</t>
  </si>
  <si>
    <t>Long Extension</t>
  </si>
  <si>
    <t>Submit MITP</t>
  </si>
  <si>
    <t>Material receive</t>
  </si>
  <si>
    <t>Receive approval from ATS</t>
  </si>
  <si>
    <t>Passivate to ASTM</t>
  </si>
  <si>
    <t>RT98-88010-PN-R008</t>
  </si>
  <si>
    <t>Gauge AS Lemgth Gauge-Movable Hub Assy</t>
  </si>
  <si>
    <t>Gauge AS Lemgth Gauge</t>
  </si>
  <si>
    <t>Bore（Item0102）</t>
  </si>
  <si>
    <t>Drill&amp;Ream</t>
  </si>
  <si>
    <t>Grind（Item1010）</t>
  </si>
  <si>
    <t>Gauge AS Lemgth Gauge-Length Gauge</t>
  </si>
  <si>
    <t>Drill＆Ream</t>
  </si>
  <si>
    <t>Gauge AS Lemgth Gauge-Movable Hub Assy (Opposite Hand)</t>
  </si>
  <si>
    <t>Perfection</t>
  </si>
  <si>
    <t>Gauge AS Lemgth Gauge-Fixed Hub</t>
  </si>
  <si>
    <t>Turn(Item0107)</t>
  </si>
  <si>
    <t>Turn(Item10107)</t>
  </si>
  <si>
    <t>Mill(Item0108)</t>
  </si>
  <si>
    <t>Gauge AS Lemgth Gauge-Gusset2</t>
  </si>
  <si>
    <t>Gauge AS Lemgth Gauge-Vertical Plate2</t>
  </si>
  <si>
    <t>Gauge AS Lemgth Gauge-Micrometer Extension</t>
  </si>
  <si>
    <t>RT-88000-70034-0112-1-DD-B</t>
  </si>
  <si>
    <t>Gauge AS Lemgth Gauge-Mount Plate1</t>
  </si>
  <si>
    <t>RT-88000-70034-0102-1-DD-B</t>
  </si>
  <si>
    <t>Gauge AS Lemgth Gauge-Bar1</t>
  </si>
  <si>
    <t>Gauge AS Lemgth Gauge-Gusset1</t>
  </si>
  <si>
    <t>Gauge AS Lemgth Gauge-Vertical Plate1</t>
  </si>
  <si>
    <t>Gauge AS Lemgth Gauge-Tag</t>
  </si>
  <si>
    <t>Gauge AS Lemgth Gauge-Spring Collar</t>
  </si>
  <si>
    <t>Gauge AS Lemgth Gauge-Collar</t>
  </si>
  <si>
    <t>Gauge AS Lemgth Gauge-Connecting Plug</t>
  </si>
  <si>
    <t>Gauge AS Lemgth Gauge-Precision Shaft</t>
  </si>
  <si>
    <t>INA Shaft</t>
  </si>
  <si>
    <t>Gauge AS Lemgth Gauge-Tube</t>
  </si>
  <si>
    <t>MTR</t>
  </si>
  <si>
    <t>Check Stock(Item0104)</t>
  </si>
  <si>
    <t>★外注あり
★Need contuct</t>
  </si>
  <si>
    <t>★Need to contuct</t>
  </si>
  <si>
    <t>RT98-88010-PN-R009</t>
  </si>
  <si>
    <t>Leak Test Tool Check Sleeve</t>
  </si>
  <si>
    <t>RT98-88000-70067-000-1-GA-D</t>
  </si>
  <si>
    <t>Gauge Expander Tool-Ring Gauge</t>
  </si>
  <si>
    <t>Split</t>
  </si>
  <si>
    <t>CAT5880-2 Item#2</t>
  </si>
  <si>
    <t>L Bracket</t>
  </si>
  <si>
    <t>waiting for the candu answer</t>
  </si>
  <si>
    <t>Debur</t>
  </si>
  <si>
    <t>★Need to fix
アラート！</t>
  </si>
  <si>
    <t>material:order
★外注あり(72610,72611,72613,72614一緒に送る)
★Charos Area</t>
  </si>
  <si>
    <t>material:stock
★外注あり(72610,72611,72613,72614一緒に送る)
★Dimention out→check Gus</t>
  </si>
  <si>
    <t>★外注あり
8/20返却済</t>
  </si>
  <si>
    <t>material:stock
★外注あり★Dimention out→check Gus</t>
  </si>
  <si>
    <t>Master Chrome</t>
  </si>
  <si>
    <t>★Need to fix
waiting for a new drawing from Candu</t>
  </si>
  <si>
    <t xml:space="preserve">Canada Tools &amp; Molding </t>
  </si>
  <si>
    <t>Dolly Body</t>
  </si>
  <si>
    <t>CAT5880-2 Item#1</t>
  </si>
  <si>
    <t>RT-98-88010-PN-R009</t>
  </si>
  <si>
    <t>Leak Test Tool Check Sleeve-Bearing</t>
  </si>
  <si>
    <t>RT-87000-70201-6001-1-DD-B</t>
  </si>
  <si>
    <t>Bore Gauge Protective Sleeve</t>
  </si>
  <si>
    <t>RT-88010-0080-01-DD-B</t>
  </si>
  <si>
    <t>RT-88000-70164-105-1-DD-B</t>
  </si>
  <si>
    <t>Tag C of G without end fitting</t>
  </si>
  <si>
    <t>★Rush</t>
  </si>
  <si>
    <t>A&amp;M
Cabonized</t>
  </si>
  <si>
    <t>Dimention is out so making another one
Big machine stuck</t>
  </si>
  <si>
    <t>Safran （Messier）</t>
  </si>
  <si>
    <t>Protective Cone / Guide</t>
  </si>
  <si>
    <t>CAT5881-6</t>
  </si>
  <si>
    <t>Weld 中</t>
  </si>
  <si>
    <t>Waterjetcut</t>
  </si>
  <si>
    <t>Plate A Weld ASSY</t>
  </si>
  <si>
    <t>CT Removal Thrust Sleeve</t>
  </si>
  <si>
    <t>RT-87000-70600-6000-1-GA-B</t>
  </si>
  <si>
    <t>Thrust Sleeve Wedge Interface</t>
  </si>
  <si>
    <t>RT-87000-70600-6004-1-DD-B</t>
  </si>
  <si>
    <t>634828-12000-52BX-R</t>
  </si>
  <si>
    <t>Ballscrew SMR Adapter</t>
  </si>
  <si>
    <t>Gatherallitems</t>
  </si>
  <si>
    <t>Tuen</t>
  </si>
  <si>
    <t xml:space="preserve">Gauge P/T Expander Reach setting Gauge </t>
  </si>
  <si>
    <t>Gauge Tip</t>
  </si>
  <si>
    <t xml:space="preserve">Gauge EF Liner Tube Plug Gauge </t>
  </si>
  <si>
    <t>21-31732-PN-R038</t>
  </si>
  <si>
    <t xml:space="preserve">Damper shaft Bearing </t>
  </si>
  <si>
    <t>NK21-B-DD-N31732-45</t>
  </si>
  <si>
    <t>Silver Solder</t>
  </si>
  <si>
    <t>Sleeve</t>
  </si>
  <si>
    <t>RT-88000-70067-001-1-DD-B</t>
  </si>
  <si>
    <t>ASSY
Almost Done</t>
  </si>
  <si>
    <t xml:space="preserve">ASSY </t>
  </si>
  <si>
    <t>ASSSY</t>
  </si>
  <si>
    <t>★外注あり(済)</t>
  </si>
  <si>
    <t>★Need to fix</t>
  </si>
  <si>
    <t>Gauge P/T  Category Check Tool</t>
  </si>
  <si>
    <t>INS,DIR
★Need to fix</t>
  </si>
  <si>
    <t>RT98-87710-PN-R006</t>
  </si>
  <si>
    <t>Base Detail Design</t>
  </si>
  <si>
    <t>End Shield Mesurement Tool Sys</t>
  </si>
  <si>
    <t>Pivot Block</t>
  </si>
  <si>
    <t>CAT5880-2 Item#15</t>
  </si>
  <si>
    <t>Black Oxide</t>
  </si>
  <si>
    <t>Secure Pin</t>
  </si>
  <si>
    <t>CAT5880-2 Item#16</t>
  </si>
  <si>
    <t>Pivot Plate</t>
  </si>
  <si>
    <t>CAT5880-2 Item#6</t>
  </si>
  <si>
    <t>進捗なし　放置？</t>
  </si>
  <si>
    <t>Flange Thrust Sleeve</t>
  </si>
  <si>
    <t>RT-87000-70600-6102-1-DD-B</t>
  </si>
  <si>
    <t>Bore</t>
  </si>
  <si>
    <t>★Super Rush
★Ship date;9/4</t>
  </si>
  <si>
    <t>Tune</t>
  </si>
  <si>
    <t>Chemical Conversion Coat</t>
  </si>
  <si>
    <t>Gear Cut</t>
  </si>
  <si>
    <t>★remake</t>
  </si>
  <si>
    <t>Valve Enclosure</t>
  </si>
  <si>
    <t>Skim</t>
  </si>
  <si>
    <t>Passivate</t>
  </si>
  <si>
    <t>Cover Plate</t>
  </si>
  <si>
    <t>E' Face Protective cap</t>
  </si>
  <si>
    <t xml:space="preserve">Pressure tube ring gauges PT ring gauge 3 Tool </t>
  </si>
  <si>
    <t>★need HT</t>
  </si>
  <si>
    <t>Gauge Finger</t>
  </si>
  <si>
    <t>RT-88000-70051-01-1-DD-B</t>
  </si>
  <si>
    <t>Gauge P/T Ring Gauge (Red)</t>
  </si>
  <si>
    <t>Gauge Ring Gauge for Bore Gauge</t>
  </si>
  <si>
    <t>Gauge P/T Ring Gauge(Yellow)</t>
  </si>
  <si>
    <t xml:space="preserve">Turn </t>
  </si>
  <si>
    <t>Slit</t>
  </si>
  <si>
    <t>Cert</t>
  </si>
  <si>
    <t>★Visual Examination</t>
  </si>
  <si>
    <t>★INA Shaft</t>
  </si>
  <si>
    <t>★Nickel</t>
  </si>
  <si>
    <t>LWTF REAR PIN PLATE</t>
  </si>
  <si>
    <t>RT-87640-72150-014-1-DD-D</t>
  </si>
  <si>
    <t>Nickel</t>
  </si>
  <si>
    <t>LWTF FRONT PIN PLATE</t>
  </si>
  <si>
    <t>RT-87640-72150-011-1-DD-D</t>
  </si>
  <si>
    <t>RT-87630-71254-1000-1-GA-D-Item#1 004</t>
  </si>
  <si>
    <t>VRS Manual Retrieval Tool - Filter</t>
  </si>
  <si>
    <t>PO1021164</t>
  </si>
  <si>
    <t>Plate,Lifting Jack</t>
  </si>
  <si>
    <t>4040044-101</t>
  </si>
  <si>
    <t>Bag&amp;Tag</t>
  </si>
  <si>
    <t>912E1601</t>
  </si>
  <si>
    <t>Liftjack Bracket Weldment</t>
  </si>
  <si>
    <t>PO1021076</t>
  </si>
  <si>
    <t>Visual Examination</t>
  </si>
  <si>
    <t>Adapter plate</t>
  </si>
  <si>
    <t>DSK30308M02-103</t>
  </si>
  <si>
    <t>Angle Block</t>
  </si>
  <si>
    <t>DSK30308M02-111</t>
  </si>
  <si>
    <t>Clevis</t>
  </si>
  <si>
    <t>DSK30308M02-109</t>
  </si>
  <si>
    <t>Tube -Protective Sleeve Body</t>
  </si>
  <si>
    <t>RT-87000-70201-6102-DD-B</t>
  </si>
  <si>
    <t>CT Removal Thrust Sleeve-Body Protective Sleeve</t>
  </si>
  <si>
    <t>RT-87000-70201-6100-1-GA-B</t>
  </si>
  <si>
    <t>Gasket</t>
  </si>
  <si>
    <t>★Black oxide</t>
  </si>
  <si>
    <t>★HT(済),Electrokleen（72569と一緒に送る）</t>
  </si>
  <si>
    <t>Shell</t>
  </si>
  <si>
    <t>RT-87000-70600-6002-1-DD-B</t>
  </si>
  <si>
    <t>NPD0059-DET-5216</t>
  </si>
  <si>
    <t>Hand Tool Spring Dowel</t>
  </si>
  <si>
    <t>Hand Tool End Knob</t>
  </si>
  <si>
    <t>NPD0059-DET-5215</t>
  </si>
  <si>
    <t>★EDM</t>
  </si>
  <si>
    <t>Face Datum</t>
  </si>
  <si>
    <t>Gear Attachment</t>
  </si>
  <si>
    <t>CAT5880-2 Item#5</t>
  </si>
  <si>
    <t>Ship Date</t>
  </si>
  <si>
    <t>RT-98-87530-PN-R001</t>
  </si>
  <si>
    <t>RT-87530-70001-1-GA-D</t>
  </si>
  <si>
    <t>Enhanced FIF Tool</t>
  </si>
  <si>
    <t>Central Plunger</t>
  </si>
  <si>
    <t>RT-87530-70015-1-DD-C</t>
  </si>
  <si>
    <t>★HT</t>
  </si>
  <si>
    <t>Trigger</t>
  </si>
  <si>
    <t>RT-87530-70011-1-DD-C</t>
  </si>
  <si>
    <t>Palm Grip</t>
  </si>
  <si>
    <t>RT-87530-70010-1-DD-C</t>
  </si>
  <si>
    <t>RT-87530-70009-1-DD-C</t>
  </si>
  <si>
    <t>Bar</t>
  </si>
  <si>
    <t>Crank Arm</t>
  </si>
  <si>
    <t>RT-87530-70008-1-GA-C</t>
  </si>
  <si>
    <t>Turn
Waterjet cut</t>
  </si>
  <si>
    <t>Screw</t>
  </si>
  <si>
    <t>RT-87560-70007-1-DD-C</t>
  </si>
  <si>
    <t>Cover</t>
  </si>
  <si>
    <t>RT-87530-70006-1-DD-C</t>
  </si>
  <si>
    <t>Inner Inspection Fix</t>
  </si>
  <si>
    <t>RT-87530-70005-1-DD-C</t>
  </si>
  <si>
    <t>Inner Cone</t>
  </si>
  <si>
    <t>RT-87530-70004-1-DD-C</t>
  </si>
  <si>
    <t>RT-87530-70003-1-DD-D</t>
  </si>
  <si>
    <t>Latch Tube</t>
  </si>
  <si>
    <t>RT-87530-70002-1-DD-C</t>
  </si>
  <si>
    <t>RT98-87530-PN-R001</t>
  </si>
  <si>
    <t>98-31952-83-1-GA-E</t>
  </si>
  <si>
    <t xml:space="preserve">General Inspection Fixture </t>
  </si>
  <si>
    <t>Padded Stud ASSY</t>
  </si>
  <si>
    <t>98-31952-80-1-GA-B</t>
  </si>
  <si>
    <t>Nylon Stud</t>
  </si>
  <si>
    <t>98-31952-81-1-DD-B</t>
  </si>
  <si>
    <t>Threaded Stud</t>
  </si>
  <si>
    <t>98-31952-82-1-DD-B</t>
  </si>
  <si>
    <t>Gatherall items</t>
  </si>
  <si>
    <t xml:space="preserve">Latch Tube </t>
  </si>
  <si>
    <t>98-31952-84-1-DD-C</t>
  </si>
  <si>
    <t>Reveive,INS</t>
  </si>
  <si>
    <t>Dog</t>
  </si>
  <si>
    <t>98-31952-85-1-DD-B</t>
  </si>
  <si>
    <t>Stud</t>
  </si>
  <si>
    <t>98-31952-86-1-DD-B</t>
  </si>
  <si>
    <t>Height Comparison Post</t>
  </si>
  <si>
    <t>98-31952-90-1-DD-B</t>
  </si>
  <si>
    <t>Crank</t>
  </si>
  <si>
    <t>98-31952-91-1-DD-C</t>
  </si>
  <si>
    <t>Cut
Waterjet cut</t>
  </si>
  <si>
    <t>Hand Knob Extension</t>
  </si>
  <si>
    <t>98-31952-92-1-DD-C</t>
  </si>
  <si>
    <t>Hand Knob</t>
  </si>
  <si>
    <t>98-31952-93-1-DD-C</t>
  </si>
  <si>
    <t>★Black Oxide</t>
  </si>
  <si>
    <t>Round Tube</t>
  </si>
  <si>
    <t>DSK30308M02-115</t>
  </si>
  <si>
    <t>DSK30308M02-113</t>
  </si>
  <si>
    <t>DSK30308M02-105</t>
  </si>
  <si>
    <t>Beam</t>
  </si>
  <si>
    <t>LPI</t>
  </si>
  <si>
    <t>★Chemical Conversion Coat</t>
  </si>
  <si>
    <t>Receive,iINS</t>
  </si>
  <si>
    <t>Thrust Sleeve Weldment</t>
  </si>
  <si>
    <t>RT-87000-70600-6001-1-DD-B</t>
  </si>
  <si>
    <t>RT-87000-70600-6100-1-GA-B</t>
  </si>
  <si>
    <t>Aluminum</t>
  </si>
  <si>
    <t>RT-8700-70600-6101-2-DD-B</t>
  </si>
  <si>
    <t>★Dimention Change</t>
  </si>
  <si>
    <t>★Hard Anodize</t>
  </si>
  <si>
    <t>Hard Anodize</t>
  </si>
  <si>
    <t>RT-87840-70130-1002-1-DD-B</t>
  </si>
  <si>
    <t>CV FME Inspection Tool-Roller MTG Plate LH</t>
  </si>
  <si>
    <t>iNS,DIR</t>
  </si>
  <si>
    <t>★Need fix</t>
  </si>
  <si>
    <t>★Gear Cut</t>
  </si>
  <si>
    <t>★EDM
Change the material</t>
  </si>
  <si>
    <t>Base plate</t>
  </si>
  <si>
    <t>DSK30308M02-101</t>
  </si>
  <si>
    <t>Gauge AS Length Gauge</t>
  </si>
  <si>
    <t>RT98-88010-PN-R014</t>
  </si>
  <si>
    <t>ZCRJ Equalibium Leak Test Tool</t>
  </si>
  <si>
    <t>RT-88010-0001-1-GA-E</t>
  </si>
  <si>
    <t>INS all items</t>
  </si>
  <si>
    <t>Functiontest</t>
  </si>
  <si>
    <t>Apply teflon tape</t>
  </si>
  <si>
    <t>Seal Housing</t>
  </si>
  <si>
    <t>RT-88010-0002-1-DD-D</t>
  </si>
  <si>
    <t>teflon tape</t>
  </si>
  <si>
    <t>RT-88010-0003-1-DD-D</t>
  </si>
  <si>
    <t>PT Seal Plate-EF Steal Plate - Gauge Cover  (Item2,3,4)</t>
  </si>
  <si>
    <t>Small flask body ASSY</t>
  </si>
  <si>
    <t>RT-79112-0302-01-GA-D</t>
  </si>
  <si>
    <t>Lower Drawer ASSY</t>
  </si>
  <si>
    <t>59RT-79112-0082-01-GA-D</t>
  </si>
  <si>
    <t>RT-79112-0336-01-GA-E</t>
  </si>
  <si>
    <t>Junction box ASSY</t>
  </si>
  <si>
    <t>RT-79112-0350-01-GA-B</t>
  </si>
  <si>
    <t>59RT-79112-0104-01-DD-B</t>
  </si>
  <si>
    <t>59RT-79112-0108-01-DD-B</t>
  </si>
  <si>
    <t>59RT-79112-0099-01-GA-D</t>
  </si>
  <si>
    <t>RT-79112-051-01-DD-E</t>
  </si>
  <si>
    <t>RT-79112-0083-01-DD-E</t>
  </si>
  <si>
    <t>Lower Drawer (Weldment)</t>
  </si>
  <si>
    <t>RT-79112-0084-01-DD-B</t>
  </si>
  <si>
    <t>★Lead Pouring
Integrity Test</t>
  </si>
  <si>
    <t>Need to fix</t>
  </si>
  <si>
    <t>59RT-79112-0036-01-GA-E</t>
  </si>
  <si>
    <t>Small Waste Transfer Flask-Cover Bar Left</t>
  </si>
  <si>
    <t>59RT-79112-0177-01-DD-C</t>
  </si>
  <si>
    <t>Cover Bar Right</t>
  </si>
  <si>
    <t>59RT-79112-0043-01-DD-C</t>
  </si>
  <si>
    <t>Top Seal Plate-Top Component 1</t>
  </si>
  <si>
    <t>RT-79112-0342-01-GA-C</t>
  </si>
  <si>
    <t>59RT-79112-0042-01-GA-C</t>
  </si>
  <si>
    <t>Top Seal Plate</t>
  </si>
  <si>
    <t>Bottom Component 2</t>
  </si>
  <si>
    <t>59RT-79112-0041-01-DD-C</t>
  </si>
  <si>
    <t>RT-79112-0340-01-DD-C</t>
  </si>
  <si>
    <t>59RT-79112-0049-01-DD-B</t>
  </si>
  <si>
    <t>59RT-79112-0058-01-DD-B</t>
  </si>
  <si>
    <t>Block left</t>
  </si>
  <si>
    <t>59RT-79112-0048-01-DD-B</t>
  </si>
  <si>
    <t>Container Index Pin</t>
  </si>
  <si>
    <t>59RT-79112-0178-01-DD-B</t>
  </si>
  <si>
    <t>59RT-79112-0085-01-DD-B</t>
  </si>
  <si>
    <t>Side Plate-1</t>
  </si>
  <si>
    <t>59RT-79112-0086-01-DD-B</t>
  </si>
  <si>
    <t>Drawer Cover</t>
  </si>
  <si>
    <t>59RT-79112-0087-01-DD-B</t>
  </si>
  <si>
    <t>Top Bar</t>
  </si>
  <si>
    <t>59RT-79112-0088-01-DD-B</t>
  </si>
  <si>
    <t>Block</t>
  </si>
  <si>
    <t>59RT-79112-0089-01-DD-B</t>
  </si>
  <si>
    <t>Back Plate</t>
  </si>
  <si>
    <t>59RT-79112-0090-01-DD-B</t>
  </si>
  <si>
    <t>Front Plate</t>
  </si>
  <si>
    <t>59RT-79112-0091-01-DD-B</t>
  </si>
  <si>
    <t>Lock Bar</t>
  </si>
  <si>
    <t>59RT-79112-0092-01-DD-B</t>
  </si>
  <si>
    <t>End Plate</t>
  </si>
  <si>
    <t>59RT-79112-0093-01-DD-B</t>
  </si>
  <si>
    <t>Lead seal plug</t>
  </si>
  <si>
    <t>59RT-79112-0031-01-DD-B</t>
  </si>
  <si>
    <t>Side Plate-2</t>
  </si>
  <si>
    <t>Bar 1.75"DIA. X 2"LG.</t>
  </si>
  <si>
    <t>59RT-79112-0094-01-DD-B</t>
  </si>
  <si>
    <t>Lower Drawer (Machined)</t>
  </si>
  <si>
    <t>RT-79112-0300-01-GA-E</t>
  </si>
  <si>
    <t>Bottom Gate can't bar weldment</t>
  </si>
  <si>
    <t>Upper drawer ASSY</t>
  </si>
  <si>
    <t>RT-79112-0061-01-GA-D</t>
  </si>
  <si>
    <t>Upper drawer STOP (Left)</t>
  </si>
  <si>
    <t>RT-79112-0060-01-DD-B</t>
  </si>
  <si>
    <t>Upper drawer STOP (Right)</t>
  </si>
  <si>
    <t>RT-79112-0098-01-DD-B</t>
  </si>
  <si>
    <t>Proximity switch ASSY</t>
  </si>
  <si>
    <t>Wire Cover (Left)</t>
  </si>
  <si>
    <t>Rack/Pinion Block ASSY(Right)</t>
  </si>
  <si>
    <t>Rack/Pinion Block ASSY(Left)</t>
  </si>
  <si>
    <t>Small and Large Waste Transfer flask shielding flapper block weldment</t>
  </si>
  <si>
    <t>Wire Cover (Right)</t>
  </si>
  <si>
    <t>Flask Cover  (Weldment)</t>
  </si>
  <si>
    <t>Top Plate</t>
  </si>
  <si>
    <t>59RT-79112-0037-01-DD-B</t>
  </si>
  <si>
    <t>Cover Drum</t>
  </si>
  <si>
    <t>59RT-79112-0038-01-DD-B</t>
  </si>
  <si>
    <t>Top Seal plate (Top&amp;Bottoms components) ASSY</t>
  </si>
  <si>
    <t>Cover bar (Left)</t>
  </si>
  <si>
    <t>RT-79112-0177-01-DD-C</t>
  </si>
  <si>
    <t>Cover bar (Right)</t>
  </si>
  <si>
    <t>RT-79112-0043-01-DD-C</t>
  </si>
  <si>
    <t>59RT-79112-0044-01-DD-B</t>
  </si>
  <si>
    <t>Bearing Rail (Left)</t>
  </si>
  <si>
    <t>59RT-79112-0045-01-DD-B</t>
  </si>
  <si>
    <t>Bearing Rail (Right)</t>
  </si>
  <si>
    <t>59RT-79112-0046-01-DD-B</t>
  </si>
  <si>
    <t>Lead Seal Plug</t>
  </si>
  <si>
    <t>Block right</t>
  </si>
  <si>
    <t>Hard stop</t>
  </si>
  <si>
    <t>59RT-79112-0050-01-DD-B</t>
  </si>
  <si>
    <t xml:space="preserve">Back Plate </t>
  </si>
  <si>
    <t>59RT-79112-0051-01-DD-B</t>
  </si>
  <si>
    <t>Index pin container</t>
  </si>
  <si>
    <t>59RT-79112-0052-01-DD-B</t>
  </si>
  <si>
    <t>Lock Plug</t>
  </si>
  <si>
    <t>59RT-79112-0053-01-DD-B</t>
  </si>
  <si>
    <t>Container Locating Rod</t>
  </si>
  <si>
    <t>59RT-79112-0054-01-DD-B</t>
  </si>
  <si>
    <t>Switch casting</t>
  </si>
  <si>
    <t>59RT-79112-0055-01-DD-B</t>
  </si>
  <si>
    <t>Upper lifting lug</t>
  </si>
  <si>
    <t>59RT-79112-0056-01-DD-B</t>
  </si>
  <si>
    <t>Hoist Lifting Lug</t>
  </si>
  <si>
    <t>59RT-79112-0057-01-DD-B</t>
  </si>
  <si>
    <t>Guide pipe</t>
  </si>
  <si>
    <t>RT-79112-0303-01-DD-E</t>
  </si>
  <si>
    <t>RT-79112-0309-01-DD-B
59RT-79112-0009-02-DD-B</t>
  </si>
  <si>
    <t>Small Waste Transfer Flask-Small Flask Body(Weldment)</t>
  </si>
  <si>
    <t>59RT-79112-0010-01-DD-B</t>
  </si>
  <si>
    <t>Inner Drum</t>
  </si>
  <si>
    <t>59RT-79112-0012-01-DD-B</t>
  </si>
  <si>
    <t>Internal Plate</t>
  </si>
  <si>
    <t>59RT-79112-0013-01-DD-B</t>
  </si>
  <si>
    <t>Rail Plate</t>
  </si>
  <si>
    <t>59RT-79112-0014-01-DD-B</t>
  </si>
  <si>
    <t>Rear Plate</t>
  </si>
  <si>
    <t>59RT-79112-0015-01-DD-B</t>
  </si>
  <si>
    <t>Bottom bar</t>
  </si>
  <si>
    <t>Side plate</t>
  </si>
  <si>
    <t>Base cap separator</t>
  </si>
  <si>
    <t>Left pipe</t>
  </si>
  <si>
    <t>Side Angle Plate（Left）</t>
  </si>
  <si>
    <t>Side Angle Plate（Right）</t>
  </si>
  <si>
    <t>Rear Angle Plate（Left）</t>
  </si>
  <si>
    <t>Rear Angle Plate（Right）</t>
  </si>
  <si>
    <t>Top Angle Plate（Left）</t>
  </si>
  <si>
    <t>Top Angle Plate（Right）</t>
  </si>
  <si>
    <t>Enclosure pltate</t>
  </si>
  <si>
    <t>Front plate</t>
  </si>
  <si>
    <t>Flask Lifting Bracket</t>
  </si>
  <si>
    <t>Flask Body</t>
  </si>
  <si>
    <t>Back Bar</t>
  </si>
  <si>
    <t>Lifting Bracket Gusset</t>
  </si>
  <si>
    <t>Lower Lifting Lug</t>
  </si>
  <si>
    <t>Lead seal Plug</t>
  </si>
  <si>
    <t>Junction box support</t>
  </si>
  <si>
    <t>container guide pad</t>
  </si>
  <si>
    <t>pipe(Right)</t>
  </si>
  <si>
    <t>59RT-79112-0016-01-DD-B</t>
  </si>
  <si>
    <t>59RT-79112-0017-01-DD-B</t>
  </si>
  <si>
    <t>59RT-79112-0018-01-DD-B</t>
  </si>
  <si>
    <t>59RT-79112-0019-01-DD-B</t>
  </si>
  <si>
    <t>59RT-79112-0020-01-DD-B</t>
  </si>
  <si>
    <t>59RT-79112-0021-01-DD-B</t>
  </si>
  <si>
    <t>59RT-79112-0022-01-DD-B</t>
  </si>
  <si>
    <t>59RT-79112-0023-01-DD-B</t>
  </si>
  <si>
    <t>59RT-79112-0024-01-DD-B</t>
  </si>
  <si>
    <t>59RT-79112-0025-01-DD-B</t>
  </si>
  <si>
    <t>59RT-79112-0026-01-DD-B</t>
  </si>
  <si>
    <t>59RT-79112-0027-01-DD-B</t>
  </si>
  <si>
    <t>59RT-79112-0028-01-DD-B</t>
  </si>
  <si>
    <t>59RT-79112-0029-01-DD-B</t>
  </si>
  <si>
    <t>59RT-79112-0030-01-DD-B</t>
  </si>
  <si>
    <t>59RT-79112-0032-01-DD-B</t>
  </si>
  <si>
    <t>59RT-79112-0033-01-DD-B</t>
  </si>
  <si>
    <t>59RT-79112-0034-01-DD-B</t>
  </si>
  <si>
    <t>59RT-79112-0035-01-DD-B</t>
  </si>
  <si>
    <t>Upper Drawer (Machined)</t>
  </si>
  <si>
    <t>RT-79112-0062-01-DD-D</t>
  </si>
  <si>
    <t>Upper Drawer (Weldment)</t>
  </si>
  <si>
    <t>RT-79112-0072-01-DD-B</t>
  </si>
  <si>
    <t>59RT-79112-0063-01-DD-B</t>
  </si>
  <si>
    <t>Side Plate</t>
  </si>
  <si>
    <t>Cover Latch Plate</t>
  </si>
  <si>
    <t>Upper Latch Bar</t>
  </si>
  <si>
    <t>Base Block</t>
  </si>
  <si>
    <t>Boss</t>
  </si>
  <si>
    <t>Lead Shielding</t>
  </si>
  <si>
    <t>Top Cover Plate</t>
  </si>
  <si>
    <t>59RT-79112-0064-01-DD-B</t>
  </si>
  <si>
    <t>59RT-79112-0065-01-DD-B</t>
  </si>
  <si>
    <t>59RT-79112-0066-01-DD-B</t>
  </si>
  <si>
    <t>59RT-79112-0067-01-DD-B</t>
  </si>
  <si>
    <t>59RT-79112-0069-01-DD-B</t>
  </si>
  <si>
    <t>59RT-79112-0070-01-DD-B</t>
  </si>
  <si>
    <t>59RT-79112-0071-01-DD-B</t>
  </si>
  <si>
    <t>6/16/2025+J:BF</t>
  </si>
  <si>
    <t>DIR</t>
  </si>
  <si>
    <t>DIR
Doc</t>
  </si>
  <si>
    <t>Fixing</t>
  </si>
  <si>
    <t>CCC</t>
  </si>
  <si>
    <t>material:stock
★外注あり(72610,72611,72613,72614一緒に送る)
★INS done
NCR</t>
  </si>
  <si>
    <t>HOLD</t>
  </si>
  <si>
    <t>material:stock
★外注あり(72610,72611,72613,72614一緒に送る)
★INS will done 8/20
NCR</t>
  </si>
  <si>
    <t>Baffalo</t>
  </si>
  <si>
    <t>Z Axis Beam</t>
  </si>
  <si>
    <t>Weld INS</t>
  </si>
  <si>
    <t>Machining</t>
  </si>
  <si>
    <t>Bore,Drill,Ream</t>
  </si>
  <si>
    <t>★外注あり（72568と一緒に送る）</t>
  </si>
  <si>
    <t>RT79-87630-PN-R011</t>
  </si>
  <si>
    <t>PT Lunch Box</t>
  </si>
  <si>
    <t>RT-87630-71521-1000-1-GA-E</t>
  </si>
  <si>
    <t>Order Material</t>
  </si>
  <si>
    <t>Weldment TOP BOX</t>
  </si>
  <si>
    <t>RT-87630-71521-1001-2-DD-D</t>
  </si>
  <si>
    <t>FRONT PLATE</t>
  </si>
  <si>
    <t>RT-87630-71521-1002-1-DD-D</t>
  </si>
  <si>
    <t>VACUUM SIDE PLATE</t>
  </si>
  <si>
    <t>RT-87630-71521-1003-1-DD-D</t>
  </si>
  <si>
    <t>SIDE PLATE</t>
  </si>
  <si>
    <t>RT-87630-71521-1004-1-DD-D</t>
  </si>
  <si>
    <t>TOP PLATE</t>
  </si>
  <si>
    <t>FRONT GUIDE BAR</t>
  </si>
  <si>
    <t>VACUUM PORT</t>
  </si>
  <si>
    <t>PO1021394</t>
  </si>
  <si>
    <t>Block, Clamping</t>
  </si>
  <si>
    <t>4039582-101</t>
  </si>
  <si>
    <t>Turn,Bore</t>
  </si>
  <si>
    <t>PO1021397</t>
  </si>
  <si>
    <t>Ring, Compression</t>
  </si>
  <si>
    <t>4039584-101</t>
  </si>
  <si>
    <t>PO1021442</t>
  </si>
  <si>
    <t>Ring, Pushing</t>
  </si>
  <si>
    <t>4039498-101</t>
  </si>
  <si>
    <t>PO1021443</t>
  </si>
  <si>
    <t>Spacer, Spring</t>
  </si>
  <si>
    <t>4039876-101</t>
  </si>
  <si>
    <t>PLATE MAIN</t>
  </si>
  <si>
    <t>4033515-101</t>
  </si>
  <si>
    <t>water jet</t>
  </si>
  <si>
    <t>89691- Rev.4</t>
  </si>
  <si>
    <t>Retraction Tool</t>
  </si>
  <si>
    <t>Mill
Form
Trim/Mill</t>
  </si>
  <si>
    <t>Turn
Turn
Turn
Waterjet</t>
  </si>
  <si>
    <t>Turn
Turn
Turn</t>
  </si>
  <si>
    <t>9/26/2025
10/9?</t>
  </si>
  <si>
    <t>Pack
Ship</t>
  </si>
  <si>
    <t>Cut
Turn
Mill</t>
  </si>
  <si>
    <t>Deburr
INS</t>
  </si>
  <si>
    <t>L-Etch
INS</t>
  </si>
  <si>
    <t>Hole
Slot</t>
  </si>
  <si>
    <t>Turn
Hole</t>
  </si>
  <si>
    <t>Slot
Deburr
INS</t>
  </si>
  <si>
    <t>RT79-87630-PN-R009</t>
  </si>
  <si>
    <t>VRS Spreader Bar</t>
  </si>
  <si>
    <t>RT-87630-71710-1000-1-GA-E</t>
  </si>
  <si>
    <t>Dummy Hook S475 mat'l by Safran</t>
  </si>
  <si>
    <t>DSK30308M03-101</t>
  </si>
  <si>
    <t>Drill
Deburr</t>
  </si>
  <si>
    <t>K-940121-DET-7101</t>
  </si>
  <si>
    <t>Mill
Receive,
INS</t>
  </si>
  <si>
    <t>Mill
Drill</t>
  </si>
  <si>
    <t>PO1021744</t>
  </si>
  <si>
    <t>PO1021745</t>
  </si>
  <si>
    <t>Plate, Master</t>
  </si>
  <si>
    <t>Plate, Adapter</t>
  </si>
  <si>
    <t>Load test</t>
  </si>
  <si>
    <t>SandBlast</t>
  </si>
  <si>
    <t>Mounting Plate, Kid of Stages</t>
  </si>
  <si>
    <t>NPD0059-DET-2223</t>
  </si>
  <si>
    <t>Free Issue</t>
  </si>
  <si>
    <t>RT-87290-7002-1-GA-D</t>
  </si>
  <si>
    <t>RT98-87290-PN-R004</t>
  </si>
  <si>
    <t>5 TON PUSH CART WELDMENT</t>
  </si>
  <si>
    <t>PUSH CART HANDLE DETAIL</t>
  </si>
  <si>
    <t>PUSH CART STAINLESS STEEL COVER</t>
  </si>
  <si>
    <t>RT-87290-7005-1-GA-D</t>
  </si>
  <si>
    <t>RT-87290-7004-1-GA-D</t>
  </si>
  <si>
    <t>RT-87290-7003-1-GA-D</t>
  </si>
  <si>
    <t>RT-97290-7006-1-DD-D</t>
  </si>
  <si>
    <t>5 TON PUSH CART GENERAL ARRANGEMENT</t>
  </si>
  <si>
    <t>5 TON PUSH CART ASSY</t>
  </si>
  <si>
    <t>RT-87290-7000-1-GA-D</t>
  </si>
  <si>
    <t>Caster will arrive at 10/15</t>
  </si>
  <si>
    <t>waiting for the parts</t>
  </si>
  <si>
    <t>RT-87630-71622-1000-1-GA-E</t>
  </si>
  <si>
    <t>VRS Baseline- PT Small OD Gripper Hd</t>
  </si>
  <si>
    <t>HOUSING</t>
  </si>
  <si>
    <t>RT-87630-71622-1001-1-DD-D</t>
  </si>
  <si>
    <t>RAM HEAD EXTENSION</t>
  </si>
  <si>
    <t>RT-87630-71622-1002-1-DD-D</t>
  </si>
  <si>
    <t>PT FLANGE</t>
  </si>
  <si>
    <t>RT-87630-71622-1003-DD-D</t>
  </si>
  <si>
    <t>NOSE</t>
  </si>
  <si>
    <t>RT-87630-71622-1005-DD-B</t>
  </si>
  <si>
    <t>RT-87630-71622-1004-DD-B</t>
  </si>
  <si>
    <t>EXPANDING COLLET</t>
  </si>
  <si>
    <t>RT-87630-71622-1006-1-DD-B</t>
  </si>
  <si>
    <t>COLLET GUIDE</t>
  </si>
  <si>
    <t>RT-87630-71622-1007-1-DD-B</t>
  </si>
  <si>
    <t>GUIDE BUSHING</t>
  </si>
  <si>
    <t>RT-87630-71622-1008-1-DD-B</t>
  </si>
  <si>
    <t>PRESSURE PLUG</t>
  </si>
  <si>
    <t>RT-87630-71622-1009-1-DD-B</t>
  </si>
  <si>
    <t>SLIDE</t>
  </si>
  <si>
    <t>RT-87630-71622-1012-1-DD-B</t>
  </si>
  <si>
    <t>RT-87630-81622-1010-1-DD-B</t>
  </si>
  <si>
    <t>RT-87630-81622-1011-1-DD-B</t>
  </si>
  <si>
    <t>WEDGE</t>
  </si>
  <si>
    <t>RT-87630-71622-1013-1-DD-D</t>
  </si>
  <si>
    <t>JAW</t>
  </si>
  <si>
    <t>RT-87630-71622-1014-1-DD-D</t>
  </si>
  <si>
    <t>KEY</t>
  </si>
  <si>
    <t>RT-87630-71622-1015-1-DD-B</t>
  </si>
  <si>
    <t>HEAT TREAT
Chrome Plate</t>
  </si>
  <si>
    <t>HEAT TREAT</t>
  </si>
  <si>
    <t>Chrome Plate</t>
  </si>
  <si>
    <t>waiting sub parts</t>
  </si>
  <si>
    <t>VRS Swab Loader- Mark 2</t>
  </si>
  <si>
    <t>RT-87630-71522-1000-1-GA-E</t>
  </si>
  <si>
    <t>BRUSH LOCATE PLUG</t>
  </si>
  <si>
    <t>RT-87630-71522-1002-1-DD-B</t>
  </si>
  <si>
    <t>WINE SWAB</t>
  </si>
  <si>
    <t>BRUSH MOUNTING PLATE</t>
  </si>
  <si>
    <t>SWING ARM</t>
  </si>
  <si>
    <t>PIVOT PLATE</t>
  </si>
  <si>
    <t>SLIDE LOCK</t>
  </si>
  <si>
    <t>LOADER PRESSURE FOOT</t>
  </si>
  <si>
    <t>ORIENTATION BRACKET</t>
  </si>
  <si>
    <t>LOCK BLOCK</t>
  </si>
  <si>
    <t>RT-87630-71522-1011-1-DD-B</t>
  </si>
  <si>
    <t>CLOTH SWAB</t>
  </si>
  <si>
    <t>RT-87630-71522-0012-1-DD-B</t>
  </si>
  <si>
    <t>RT-87630-71522-1001-1-DD-D</t>
  </si>
  <si>
    <t>RT-87630-71522-1003-1-DD-B</t>
  </si>
  <si>
    <t>RT-87630-71522-1004-1-DD-B</t>
  </si>
  <si>
    <t>RT-87630-71522-1005-1-DD-D</t>
  </si>
  <si>
    <t>RT-87630-71522-1006-1-DD-B</t>
  </si>
  <si>
    <t>RT-87630-71522-1007-1-DD-B</t>
  </si>
  <si>
    <t>RT-87630-71522-1008-1-DD-E</t>
  </si>
  <si>
    <t>RT-87630-71522-1009-1-DD-B</t>
  </si>
  <si>
    <t>RT-87630-71522-1010-1-DD-D</t>
  </si>
  <si>
    <t>RT-87630-71521-1005-1-DD-D</t>
  </si>
  <si>
    <t>RT-87630-71521-1006-1-DD-D</t>
  </si>
  <si>
    <t>RT-87630-71521-1007-1-DD-D</t>
  </si>
  <si>
    <t>RT-87630-71521-1008-1-DD-D</t>
  </si>
  <si>
    <t>REAR GUIDE BAR</t>
  </si>
  <si>
    <t>TOP DOOR</t>
  </si>
  <si>
    <t>RT-87630-71521-1009-1-DD-D</t>
  </si>
  <si>
    <t>BOTTOM PLATE</t>
  </si>
  <si>
    <t>BOTTOM FRONT PLATE</t>
  </si>
  <si>
    <t>RT-87630-71521-1011-1-DD-D</t>
  </si>
  <si>
    <t>RT-87630-71521-1012-1-DD-B</t>
  </si>
  <si>
    <t>TOP REAR PLATE</t>
  </si>
  <si>
    <t>RT-87630-71521-1013-1-DD-D</t>
  </si>
  <si>
    <t>PT LUNCH BOX C OF G TAG</t>
  </si>
  <si>
    <t>RT-87630-71521-1014-1-DD-B</t>
  </si>
  <si>
    <t>FRONT DOOR LEFT</t>
  </si>
  <si>
    <t>RT-87630-71521-1015-1-DD-D</t>
  </si>
  <si>
    <t>FRONT DOOR RIGHT</t>
  </si>
  <si>
    <t>RT-87630-71521-1016-1-DD-D</t>
  </si>
  <si>
    <t>POSITION INDICATOR-LUNCH BOX</t>
  </si>
  <si>
    <t>RT-87630-71521-1017-1-DD-B</t>
  </si>
  <si>
    <t>REAR DOOR</t>
  </si>
  <si>
    <t>RT-87630-71521-1018-1-DD-D</t>
  </si>
  <si>
    <t>END PLATE</t>
  </si>
  <si>
    <t>RT-87630-71521-1019-1-DD-D</t>
  </si>
  <si>
    <t>REAR SUPPORT</t>
  </si>
  <si>
    <t>RT-87630-71521-1020-1-DD-D</t>
  </si>
  <si>
    <t>ROLLER BLOCK</t>
  </si>
  <si>
    <t>RT-87630-71521-1021-1-DD-B</t>
  </si>
  <si>
    <t>VACUUM SHIELD</t>
  </si>
  <si>
    <t>RT-87630-71521-1023-1-DD-B</t>
  </si>
  <si>
    <t>SHIELD SUPPORT BAR</t>
  </si>
  <si>
    <t>RT-87630-71521-1024-1-DD-B</t>
  </si>
  <si>
    <t>PIN BLOCK</t>
  </si>
  <si>
    <t>RT-87630-71521-1025-1-DD-B</t>
  </si>
  <si>
    <t>FILLER PLATE</t>
  </si>
  <si>
    <t>RT-87630-71521-1026-1-DD-B</t>
  </si>
  <si>
    <t>TAPERED GUIDE BLOCK</t>
  </si>
  <si>
    <t>RT-87630-71521-1027-1-DD-B</t>
  </si>
  <si>
    <t>RT-87630-71521-1031-1-DD-D</t>
  </si>
  <si>
    <t>SMALL DIA PT HEAD HINGE SUPPORT</t>
  </si>
  <si>
    <t>HEAD SUPPORT HINGE BASE</t>
  </si>
  <si>
    <t>RT-87630-71521-1035-1-DD-D</t>
  </si>
  <si>
    <t>HINGED HEAD SUPPORT VEE</t>
  </si>
  <si>
    <t>RT-87630-71521-1036-1-DD-B</t>
  </si>
  <si>
    <t>RT-87630-71521-1037-1-DD-B</t>
  </si>
  <si>
    <t>RT-87630-71521-1038-1-DD-B</t>
  </si>
  <si>
    <t>8pc ship : 9/24</t>
  </si>
  <si>
    <t>10pc ship : 8/25
10pc ship : 9/23</t>
  </si>
  <si>
    <t>35pc ship : 8/25
35pc ship : 9/23</t>
  </si>
  <si>
    <t>Ship date : 10/6/2025</t>
  </si>
  <si>
    <t>NPD0059-7-DET-2558</t>
  </si>
  <si>
    <t>NPD0059-7-DET-2536</t>
  </si>
  <si>
    <t>NPD0059-7-DET-2545</t>
  </si>
  <si>
    <t>MV Insulating Cap</t>
  </si>
  <si>
    <t>Dock Insulating Standoff</t>
  </si>
  <si>
    <t>Supression Insulating Standoff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</si>
</sst>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\(&quot;$&quot;#,##0.00\)"/>
    <numFmt numFmtId="165" formatCode="[$-409]d\-mmm\-yyyy;@"/>
    <numFmt numFmtId="166" formatCode="mmm/dd"/>
    <numFmt numFmtId="167" formatCode="m/d/yy;@"/>
    <numFmt numFmtId="168" formatCode="&quot;$&quot;#,##0.00"/>
    <numFmt numFmtId="169" formatCode="[$-409]d\-mmm\-yy;@"/>
    <numFmt numFmtId="170" formatCode="mm/dd/yy;@"/>
  </numFmts>
  <fonts count="7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.5"/>
      <color theme="10"/>
      <name val="Arial"/>
      <family val="2"/>
    </font>
    <font>
      <sz val="10"/>
      <color rgb="FF000000"/>
      <name val="Arial"/>
      <family val="2"/>
    </font>
    <font>
      <b/>
      <sz val="14"/>
      <color rgb="FF00B0F0"/>
      <name val="Times New Roman"/>
      <family val="1"/>
    </font>
    <font>
      <sz val="14"/>
      <color theme="1"/>
      <name val="Cambria"/>
      <family val="1"/>
    </font>
    <font>
      <sz val="14"/>
      <color rgb="FF000000"/>
      <name val="Cambria"/>
      <family val="1"/>
    </font>
    <font>
      <b/>
      <sz val="16"/>
      <color theme="1"/>
      <name val="Cambria"/>
      <family val="1"/>
    </font>
    <font>
      <sz val="10"/>
      <name val="Arial"/>
      <family val="2"/>
    </font>
    <font>
      <sz val="12"/>
      <name val="Aptos Display"/>
      <family val="1"/>
      <scheme val="major"/>
    </font>
    <font>
      <b/>
      <sz val="12"/>
      <name val="Aptos Display"/>
      <family val="1"/>
      <scheme val="major"/>
    </font>
    <font>
      <b/>
      <sz val="12"/>
      <color theme="9" tint="-0.249977111117893"/>
      <name val="Aptos Display"/>
      <family val="1"/>
      <scheme val="major"/>
    </font>
    <font>
      <b/>
      <sz val="12"/>
      <color rgb="FFFF0000"/>
      <name val="Aptos Display"/>
      <family val="1"/>
      <scheme val="major"/>
    </font>
    <font>
      <b/>
      <sz val="12"/>
      <color rgb="FF00B050"/>
      <name val="Aptos Display"/>
      <family val="1"/>
      <scheme val="major"/>
    </font>
    <font>
      <b/>
      <sz val="12"/>
      <color rgb="FF17425D"/>
      <name val="Aptos Display"/>
      <family val="1"/>
      <scheme val="major"/>
    </font>
    <font>
      <sz val="12"/>
      <color rgb="FFFF0000"/>
      <name val="Aptos Display"/>
      <family val="1"/>
      <scheme val="major"/>
    </font>
    <font>
      <b/>
      <sz val="10"/>
      <name val="Aptos Display"/>
      <family val="1"/>
      <scheme val="major"/>
    </font>
    <font>
      <b/>
      <sz val="10"/>
      <color rgb="FFFF0000"/>
      <name val="Aptos Display"/>
      <family val="1"/>
      <scheme val="major"/>
    </font>
    <font>
      <b/>
      <sz val="12"/>
      <color rgb="FF0070C0"/>
      <name val="Aptos Display"/>
      <family val="1"/>
      <scheme val="major"/>
    </font>
    <font>
      <b/>
      <sz val="8"/>
      <color rgb="FF0070C0"/>
      <name val="Aptos Display"/>
      <family val="1"/>
      <scheme val="major"/>
    </font>
    <font>
      <sz val="11"/>
      <name val="Aptos Display"/>
      <family val="1"/>
      <scheme val="major"/>
    </font>
    <font>
      <b/>
      <sz val="11"/>
      <color rgb="FFFF0000"/>
      <name val="Aptos Display"/>
      <family val="1"/>
      <scheme val="major"/>
    </font>
    <font>
      <b/>
      <sz val="8"/>
      <name val="Aptos Display"/>
      <family val="1"/>
      <scheme val="major"/>
    </font>
    <font>
      <b/>
      <sz val="8"/>
      <color rgb="FFFF0000"/>
      <name val="Aptos Display"/>
      <family val="1"/>
      <scheme val="major"/>
    </font>
    <font>
      <b/>
      <sz val="9"/>
      <color rgb="FFFF0000"/>
      <name val="Aptos Display"/>
      <family val="1"/>
      <scheme val="major"/>
    </font>
    <font>
      <b/>
      <sz val="12"/>
      <color rgb="FF00B0F0"/>
      <name val="Aptos Display"/>
      <family val="1"/>
      <scheme val="major"/>
    </font>
    <font>
      <b/>
      <sz val="11"/>
      <name val="Aptos Display"/>
      <family val="1"/>
      <scheme val="major"/>
    </font>
    <font>
      <sz val="8"/>
      <name val="Aptos Display"/>
      <family val="1"/>
      <scheme val="major"/>
    </font>
    <font>
      <b/>
      <sz val="6"/>
      <color rgb="FFFF0000"/>
      <name val="Aptos Display"/>
      <family val="1"/>
      <scheme val="major"/>
    </font>
    <font>
      <b/>
      <sz val="11"/>
      <color rgb="FF00B0F0"/>
      <name val="Aptos Display"/>
      <family val="1"/>
      <scheme val="major"/>
    </font>
    <font>
      <sz val="9"/>
      <name val="Aptos Display"/>
      <family val="1"/>
      <scheme val="major"/>
    </font>
    <font>
      <b/>
      <sz val="12"/>
      <color theme="3" tint="0.39997558519241921"/>
      <name val="Aptos Display"/>
      <family val="1"/>
      <scheme val="major"/>
    </font>
    <font>
      <b/>
      <sz val="9"/>
      <name val="Aptos Display"/>
      <family val="1"/>
      <scheme val="major"/>
    </font>
    <font>
      <b/>
      <sz val="11"/>
      <color rgb="FF0070C0"/>
      <name val="Aptos Display"/>
      <family val="1"/>
      <scheme val="major"/>
    </font>
    <font>
      <b/>
      <sz val="11"/>
      <color rgb="FFFF3300"/>
      <name val="Aptos Display"/>
      <family val="1"/>
      <scheme val="major"/>
    </font>
    <font>
      <sz val="10.5"/>
      <name val="Aptos Display"/>
      <family val="1"/>
      <scheme val="major"/>
    </font>
    <font>
      <b/>
      <sz val="10.5"/>
      <color theme="1"/>
      <name val="Aptos Display"/>
      <family val="1"/>
      <scheme val="major"/>
    </font>
    <font>
      <sz val="10.5"/>
      <color theme="1"/>
      <name val="Aptos Display"/>
      <family val="1"/>
      <scheme val="major"/>
    </font>
    <font>
      <b/>
      <sz val="10.5"/>
      <color rgb="FFFF3300"/>
      <name val="Aptos Display"/>
      <family val="1"/>
      <scheme val="major"/>
    </font>
    <font>
      <b/>
      <sz val="10.5"/>
      <color rgb="FFFF0000"/>
      <name val="Aptos Display"/>
      <family val="1"/>
      <scheme val="major"/>
    </font>
    <font>
      <sz val="10"/>
      <name val="Aptos Display"/>
      <family val="1"/>
      <scheme val="major"/>
    </font>
    <font>
      <sz val="11.5"/>
      <name val="Aptos Display"/>
      <family val="1"/>
      <scheme val="major"/>
    </font>
    <font>
      <b/>
      <sz val="11.5"/>
      <color theme="3" tint="0.39997558519241921"/>
      <name val="Aptos Display"/>
      <family val="1"/>
      <scheme val="major"/>
    </font>
    <font>
      <b/>
      <sz val="11.5"/>
      <color rgb="FFFF0000"/>
      <name val="Aptos Display"/>
      <family val="1"/>
      <scheme val="major"/>
    </font>
    <font>
      <sz val="12"/>
      <color rgb="FF0070C0"/>
      <name val="Aptos Display"/>
      <family val="1"/>
      <scheme val="major"/>
    </font>
    <font>
      <b/>
      <sz val="12"/>
      <color theme="1"/>
      <name val="Aptos Display"/>
      <family val="1"/>
      <scheme val="major"/>
    </font>
    <font>
      <sz val="12"/>
      <color rgb="FFFF3300"/>
      <name val="Aptos Display"/>
      <family val="1"/>
      <scheme val="major"/>
    </font>
    <font>
      <sz val="11"/>
      <color rgb="FFFF0000"/>
      <name val="Aptos Display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Vandra"/>
    </font>
    <font>
      <b/>
      <sz val="12"/>
      <color indexed="81"/>
      <name val="Vandra"/>
    </font>
    <font>
      <b/>
      <sz val="14"/>
      <color indexed="81"/>
      <name val="Vandra"/>
    </font>
    <font>
      <sz val="14"/>
      <color indexed="81"/>
      <name val="Arial"/>
      <family val="2"/>
    </font>
    <font>
      <sz val="12"/>
      <color indexed="81"/>
      <name val="Tahoma"/>
      <family val="2"/>
    </font>
    <font>
      <sz val="12"/>
      <color indexed="81"/>
      <name val="Arial"/>
      <family val="2"/>
    </font>
    <font>
      <b/>
      <sz val="14"/>
      <color rgb="FF000000"/>
      <name val="Times New Roman"/>
      <family val="1"/>
    </font>
    <font>
      <sz val="16"/>
      <color theme="1"/>
      <name val="Cambria"/>
      <family val="1"/>
    </font>
    <font>
      <b/>
      <sz val="12"/>
      <color rgb="FF000000"/>
      <name val="Arial"/>
      <family val="2"/>
    </font>
    <font>
      <sz val="24"/>
      <color theme="1"/>
      <name val="Cambria"/>
      <family val="1"/>
    </font>
    <font>
      <b/>
      <sz val="24"/>
      <color rgb="FF00B0F0"/>
      <name val="Cambria"/>
      <family val="1"/>
    </font>
    <font>
      <b/>
      <sz val="24"/>
      <color rgb="FF000000"/>
      <name val="Cambria"/>
      <family val="1"/>
    </font>
    <font>
      <sz val="24"/>
      <color rgb="FF000000"/>
      <name val="Cambria"/>
      <family val="1"/>
    </font>
    <font>
      <u/>
      <sz val="24"/>
      <color theme="10"/>
      <name val="Cambria"/>
      <family val="1"/>
    </font>
    <font>
      <u/>
      <sz val="24"/>
      <color rgb="FFFF0000"/>
      <name val="Cambria"/>
      <family val="1"/>
    </font>
    <font>
      <b/>
      <sz val="24"/>
      <name val="Cambria"/>
      <family val="1"/>
    </font>
    <font>
      <sz val="16"/>
      <name val="Cambria"/>
      <family val="1"/>
    </font>
    <font>
      <sz val="16"/>
      <color rgb="FF000000"/>
      <name val="Cambria"/>
      <family val="1"/>
    </font>
    <font>
      <sz val="16"/>
      <color rgb="FFFF0000"/>
      <name val="Cambria"/>
      <family val="1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Calibri"/>
      <family val="2"/>
    </font>
    <font>
      <sz val="16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3" fillId="0" borderId="0"/>
    <xf numFmtId="165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8" fillId="0" borderId="0"/>
    <xf numFmtId="0" fontId="70" fillId="0" borderId="0" applyNumberFormat="0" applyFill="0" applyBorder="0" applyAlignment="0" applyProtection="0"/>
  </cellStyleXfs>
  <cellXfs count="370">
    <xf numFmtId="0" fontId="0" fillId="0" borderId="0" xfId="0"/>
    <xf numFmtId="0" fontId="5" fillId="0" borderId="1" xfId="0" applyFont="1" applyBorder="1"/>
    <xf numFmtId="165" fontId="6" fillId="0" borderId="1" xfId="1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1" fontId="9" fillId="4" borderId="3" xfId="5" applyNumberFormat="1" applyFont="1" applyFill="1" applyBorder="1" applyAlignment="1">
      <alignment horizontal="center" vertical="center"/>
    </xf>
    <xf numFmtId="1" fontId="10" fillId="4" borderId="3" xfId="5" applyNumberFormat="1" applyFont="1" applyFill="1" applyBorder="1" applyAlignment="1">
      <alignment horizontal="center" vertical="center"/>
    </xf>
    <xf numFmtId="1" fontId="9" fillId="4" borderId="0" xfId="5" applyNumberFormat="1" applyFont="1" applyFill="1" applyAlignment="1" applyProtection="1">
      <alignment horizontal="left" vertical="center"/>
      <protection locked="0"/>
    </xf>
    <xf numFmtId="0" fontId="10" fillId="4" borderId="0" xfId="5" applyFont="1" applyFill="1" applyAlignment="1" applyProtection="1">
      <alignment horizontal="center" vertical="center"/>
      <protection locked="0"/>
    </xf>
    <xf numFmtId="49" fontId="9" fillId="4" borderId="0" xfId="5" applyNumberFormat="1" applyFont="1" applyFill="1" applyAlignment="1" applyProtection="1">
      <alignment horizontal="left" vertical="center"/>
      <protection locked="0"/>
    </xf>
    <xf numFmtId="49" fontId="9" fillId="4" borderId="0" xfId="5" applyNumberFormat="1" applyFont="1" applyFill="1" applyAlignment="1" applyProtection="1">
      <alignment horizontal="center"/>
      <protection locked="0"/>
    </xf>
    <xf numFmtId="167" fontId="9" fillId="4" borderId="0" xfId="5" applyNumberFormat="1" applyFont="1" applyFill="1" applyAlignment="1" applyProtection="1">
      <alignment horizontal="center" vertical="center"/>
      <protection locked="0"/>
    </xf>
    <xf numFmtId="0" fontId="9" fillId="4" borderId="0" xfId="5" applyFont="1" applyFill="1" applyAlignment="1" applyProtection="1">
      <alignment horizontal="center" vertical="center"/>
      <protection locked="0"/>
    </xf>
    <xf numFmtId="168" fontId="11" fillId="4" borderId="0" xfId="5" applyNumberFormat="1" applyFont="1" applyFill="1" applyAlignment="1" applyProtection="1">
      <alignment horizontal="center" vertical="center"/>
      <protection locked="0"/>
    </xf>
    <xf numFmtId="0" fontId="9" fillId="4" borderId="3" xfId="5" applyFont="1" applyFill="1" applyBorder="1" applyAlignment="1" applyProtection="1">
      <alignment horizontal="center" vertical="center"/>
      <protection locked="0"/>
    </xf>
    <xf numFmtId="49" fontId="12" fillId="4" borderId="0" xfId="5" applyNumberFormat="1" applyFont="1" applyFill="1" applyAlignment="1" applyProtection="1">
      <alignment horizontal="center" vertical="center"/>
      <protection locked="0"/>
    </xf>
    <xf numFmtId="1" fontId="9" fillId="4" borderId="0" xfId="5" applyNumberFormat="1" applyFont="1" applyFill="1" applyAlignment="1" applyProtection="1">
      <alignment horizontal="center" vertical="center"/>
      <protection locked="0"/>
    </xf>
    <xf numFmtId="49" fontId="13" fillId="4" borderId="0" xfId="5" applyNumberFormat="1" applyFont="1" applyFill="1" applyAlignment="1" applyProtection="1">
      <alignment horizontal="center" vertical="center"/>
      <protection locked="0"/>
    </xf>
    <xf numFmtId="169" fontId="9" fillId="4" borderId="0" xfId="5" applyNumberFormat="1" applyFont="1" applyFill="1" applyAlignment="1" applyProtection="1">
      <alignment horizontal="center" vertical="center"/>
      <protection locked="0"/>
    </xf>
    <xf numFmtId="170" fontId="9" fillId="4" borderId="0" xfId="5" applyNumberFormat="1" applyFont="1" applyFill="1" applyAlignment="1" applyProtection="1">
      <alignment horizontal="center" vertical="center"/>
      <protection locked="0"/>
    </xf>
    <xf numFmtId="1" fontId="9" fillId="4" borderId="0" xfId="5" applyNumberFormat="1" applyFont="1" applyFill="1" applyAlignment="1">
      <alignment horizontal="center" vertical="center"/>
    </xf>
    <xf numFmtId="0" fontId="9" fillId="0" borderId="3" xfId="5" applyFont="1" applyBorder="1" applyProtection="1">
      <protection locked="0"/>
    </xf>
    <xf numFmtId="0" fontId="9" fillId="0" borderId="0" xfId="5" applyFont="1" applyProtection="1">
      <protection locked="0"/>
    </xf>
    <xf numFmtId="1" fontId="10" fillId="4" borderId="0" xfId="5" applyNumberFormat="1" applyFont="1" applyFill="1" applyAlignment="1" applyProtection="1">
      <alignment horizontal="center" vertical="center"/>
      <protection locked="0"/>
    </xf>
    <xf numFmtId="49" fontId="10" fillId="4" borderId="0" xfId="5" applyNumberFormat="1" applyFont="1" applyFill="1" applyAlignment="1" applyProtection="1">
      <alignment horizontal="left" vertical="center"/>
      <protection locked="0"/>
    </xf>
    <xf numFmtId="49" fontId="10" fillId="4" borderId="0" xfId="5" applyNumberFormat="1" applyFont="1" applyFill="1" applyAlignment="1" applyProtection="1">
      <alignment horizontal="center"/>
      <protection locked="0"/>
    </xf>
    <xf numFmtId="167" fontId="10" fillId="4" borderId="0" xfId="5" applyNumberFormat="1" applyFont="1" applyFill="1" applyAlignment="1" applyProtection="1">
      <alignment horizontal="center" vertical="center"/>
      <protection locked="0"/>
    </xf>
    <xf numFmtId="168" fontId="10" fillId="4" borderId="0" xfId="5" applyNumberFormat="1" applyFont="1" applyFill="1" applyAlignment="1" applyProtection="1">
      <alignment horizontal="center" vertical="center"/>
      <protection locked="0"/>
    </xf>
    <xf numFmtId="169" fontId="10" fillId="4" borderId="0" xfId="5" applyNumberFormat="1" applyFont="1" applyFill="1" applyAlignment="1" applyProtection="1">
      <alignment horizontal="center" vertical="center"/>
      <protection locked="0"/>
    </xf>
    <xf numFmtId="0" fontId="10" fillId="0" borderId="2" xfId="5" applyFont="1" applyBorder="1"/>
    <xf numFmtId="0" fontId="11" fillId="0" borderId="4" xfId="5" applyFont="1" applyBorder="1" applyProtection="1">
      <protection locked="0"/>
    </xf>
    <xf numFmtId="0" fontId="10" fillId="0" borderId="0" xfId="5" applyFont="1" applyProtection="1">
      <protection locked="0"/>
    </xf>
    <xf numFmtId="0" fontId="10" fillId="0" borderId="5" xfId="5" applyFont="1" applyBorder="1" applyProtection="1">
      <protection locked="0"/>
    </xf>
    <xf numFmtId="0" fontId="10" fillId="0" borderId="2" xfId="5" applyFont="1" applyBorder="1" applyProtection="1">
      <protection locked="0"/>
    </xf>
    <xf numFmtId="0" fontId="11" fillId="0" borderId="2" xfId="5" applyFont="1" applyBorder="1" applyProtection="1">
      <protection locked="0"/>
    </xf>
    <xf numFmtId="0" fontId="11" fillId="0" borderId="0" xfId="5" applyFont="1" applyProtection="1">
      <protection locked="0"/>
    </xf>
    <xf numFmtId="1" fontId="10" fillId="5" borderId="6" xfId="5" applyNumberFormat="1" applyFont="1" applyFill="1" applyBorder="1" applyAlignment="1" applyProtection="1">
      <alignment horizontal="center" vertical="center"/>
      <protection locked="0"/>
    </xf>
    <xf numFmtId="1" fontId="10" fillId="5" borderId="7" xfId="5" applyNumberFormat="1" applyFont="1" applyFill="1" applyBorder="1" applyAlignment="1" applyProtection="1">
      <alignment horizontal="center" vertical="center"/>
      <protection locked="0"/>
    </xf>
    <xf numFmtId="49" fontId="10" fillId="5" borderId="7" xfId="5" applyNumberFormat="1" applyFont="1" applyFill="1" applyBorder="1" applyAlignment="1" applyProtection="1">
      <alignment horizontal="left" vertical="center"/>
      <protection locked="0"/>
    </xf>
    <xf numFmtId="0" fontId="10" fillId="5" borderId="7" xfId="5" applyFont="1" applyFill="1" applyBorder="1" applyAlignment="1" applyProtection="1">
      <alignment horizontal="center" vertical="center"/>
      <protection locked="0"/>
    </xf>
    <xf numFmtId="49" fontId="10" fillId="5" borderId="7" xfId="5" applyNumberFormat="1" applyFont="1" applyFill="1" applyBorder="1" applyAlignment="1" applyProtection="1">
      <alignment horizontal="center"/>
      <protection locked="0"/>
    </xf>
    <xf numFmtId="167" fontId="10" fillId="5" borderId="7" xfId="5" applyNumberFormat="1" applyFont="1" applyFill="1" applyBorder="1" applyAlignment="1" applyProtection="1">
      <alignment horizontal="center" vertical="center"/>
      <protection locked="0"/>
    </xf>
    <xf numFmtId="168" fontId="10" fillId="5" borderId="7" xfId="5" applyNumberFormat="1" applyFont="1" applyFill="1" applyBorder="1" applyAlignment="1" applyProtection="1">
      <alignment horizontal="center" vertical="center"/>
      <protection locked="0"/>
    </xf>
    <xf numFmtId="49" fontId="14" fillId="5" borderId="7" xfId="5" applyNumberFormat="1" applyFont="1" applyFill="1" applyBorder="1" applyAlignment="1" applyProtection="1">
      <alignment horizontal="center" vertical="center"/>
      <protection locked="0"/>
    </xf>
    <xf numFmtId="49" fontId="13" fillId="5" borderId="7" xfId="5" applyNumberFormat="1" applyFont="1" applyFill="1" applyBorder="1" applyAlignment="1" applyProtection="1">
      <alignment horizontal="center" vertical="center"/>
      <protection locked="0"/>
    </xf>
    <xf numFmtId="169" fontId="10" fillId="5" borderId="7" xfId="5" applyNumberFormat="1" applyFont="1" applyFill="1" applyBorder="1" applyAlignment="1" applyProtection="1">
      <alignment horizontal="center" vertical="center"/>
      <protection locked="0"/>
    </xf>
    <xf numFmtId="170" fontId="9" fillId="5" borderId="7" xfId="5" applyNumberFormat="1" applyFont="1" applyFill="1" applyBorder="1" applyAlignment="1" applyProtection="1">
      <alignment horizontal="center" vertical="center"/>
      <protection locked="0"/>
    </xf>
    <xf numFmtId="1" fontId="10" fillId="5" borderId="8" xfId="5" applyNumberFormat="1" applyFont="1" applyFill="1" applyBorder="1" applyAlignment="1" applyProtection="1">
      <alignment horizontal="center" vertical="center"/>
      <protection locked="0"/>
    </xf>
    <xf numFmtId="0" fontId="9" fillId="0" borderId="2" xfId="5" applyFont="1" applyBorder="1" applyProtection="1">
      <protection locked="0"/>
    </xf>
    <xf numFmtId="169" fontId="11" fillId="0" borderId="9" xfId="5" applyNumberFormat="1" applyFont="1" applyBorder="1" applyProtection="1">
      <protection locked="0"/>
    </xf>
    <xf numFmtId="169" fontId="10" fillId="0" borderId="0" xfId="5" applyNumberFormat="1" applyFont="1" applyProtection="1">
      <protection locked="0"/>
    </xf>
    <xf numFmtId="169" fontId="10" fillId="0" borderId="9" xfId="5" applyNumberFormat="1" applyFont="1" applyBorder="1" applyProtection="1">
      <protection locked="0"/>
    </xf>
    <xf numFmtId="15" fontId="11" fillId="0" borderId="2" xfId="5" applyNumberFormat="1" applyFont="1" applyBorder="1" applyProtection="1">
      <protection locked="0"/>
    </xf>
    <xf numFmtId="15" fontId="10" fillId="0" borderId="2" xfId="5" applyNumberFormat="1" applyFont="1" applyBorder="1" applyProtection="1">
      <protection locked="0"/>
    </xf>
    <xf numFmtId="15" fontId="11" fillId="0" borderId="9" xfId="5" applyNumberFormat="1" applyFont="1" applyBorder="1" applyProtection="1">
      <protection locked="0"/>
    </xf>
    <xf numFmtId="15" fontId="10" fillId="0" borderId="9" xfId="5" applyNumberFormat="1" applyFont="1" applyBorder="1" applyProtection="1">
      <protection locked="0"/>
    </xf>
    <xf numFmtId="0" fontId="9" fillId="0" borderId="9" xfId="5" applyFont="1" applyBorder="1" applyProtection="1">
      <protection locked="0"/>
    </xf>
    <xf numFmtId="1" fontId="9" fillId="0" borderId="0" xfId="5" applyNumberFormat="1" applyFont="1" applyAlignment="1" applyProtection="1">
      <alignment horizontal="center" vertical="center"/>
      <protection locked="0"/>
    </xf>
    <xf numFmtId="1" fontId="10" fillId="6" borderId="0" xfId="5" applyNumberFormat="1" applyFont="1" applyFill="1" applyAlignment="1" applyProtection="1">
      <alignment horizontal="center" vertical="center"/>
      <protection locked="0"/>
    </xf>
    <xf numFmtId="49" fontId="9" fillId="0" borderId="0" xfId="5" applyNumberFormat="1" applyFont="1" applyAlignment="1" applyProtection="1">
      <alignment horizontal="left" vertical="center"/>
      <protection locked="0"/>
    </xf>
    <xf numFmtId="0" fontId="9" fillId="0" borderId="0" xfId="5" applyFont="1" applyAlignment="1" applyProtection="1">
      <alignment horizontal="center" vertical="center"/>
      <protection locked="0"/>
    </xf>
    <xf numFmtId="49" fontId="9" fillId="0" borderId="0" xfId="5" applyNumberFormat="1" applyFont="1" applyAlignment="1" applyProtection="1">
      <alignment horizontal="center"/>
      <protection locked="0"/>
    </xf>
    <xf numFmtId="167" fontId="9" fillId="0" borderId="0" xfId="5" applyNumberFormat="1" applyFont="1" applyAlignment="1" applyProtection="1">
      <alignment horizontal="center" vertical="center"/>
      <protection locked="0"/>
    </xf>
    <xf numFmtId="168" fontId="9" fillId="0" borderId="0" xfId="5" applyNumberFormat="1" applyFont="1" applyAlignment="1" applyProtection="1">
      <alignment horizontal="center" vertical="center"/>
      <protection locked="0"/>
    </xf>
    <xf numFmtId="49" fontId="12" fillId="0" borderId="0" xfId="5" applyNumberFormat="1" applyFont="1" applyAlignment="1" applyProtection="1">
      <alignment horizontal="center" vertical="center"/>
      <protection locked="0"/>
    </xf>
    <xf numFmtId="49" fontId="13" fillId="0" borderId="0" xfId="5" applyNumberFormat="1" applyFont="1" applyAlignment="1" applyProtection="1">
      <alignment horizontal="center" vertical="center"/>
      <protection locked="0"/>
    </xf>
    <xf numFmtId="169" fontId="15" fillId="0" borderId="0" xfId="5" applyNumberFormat="1" applyFont="1" applyAlignment="1" applyProtection="1">
      <alignment horizontal="center" vertical="center"/>
      <protection locked="0"/>
    </xf>
    <xf numFmtId="170" fontId="9" fillId="0" borderId="0" xfId="5" applyNumberFormat="1" applyFont="1" applyAlignment="1" applyProtection="1">
      <alignment horizontal="center" vertical="center"/>
      <protection locked="0"/>
    </xf>
    <xf numFmtId="1" fontId="9" fillId="0" borderId="0" xfId="5" applyNumberFormat="1" applyFont="1" applyAlignment="1">
      <alignment horizontal="center" vertical="center"/>
    </xf>
    <xf numFmtId="1" fontId="10" fillId="0" borderId="0" xfId="5" applyNumberFormat="1" applyFont="1" applyAlignment="1" applyProtection="1">
      <alignment horizontal="center" vertical="center"/>
      <protection locked="0"/>
    </xf>
    <xf numFmtId="169" fontId="9" fillId="0" borderId="0" xfId="5" applyNumberFormat="1" applyFont="1" applyAlignment="1" applyProtection="1">
      <alignment horizontal="center" vertical="center"/>
      <protection locked="0"/>
    </xf>
    <xf numFmtId="1" fontId="10" fillId="7" borderId="0" xfId="5" applyNumberFormat="1" applyFont="1" applyFill="1" applyAlignment="1" applyProtection="1">
      <alignment horizontal="center" vertical="center"/>
      <protection locked="0"/>
    </xf>
    <xf numFmtId="49" fontId="16" fillId="0" borderId="0" xfId="5" applyNumberFormat="1" applyFont="1" applyAlignment="1" applyProtection="1">
      <alignment horizontal="center"/>
      <protection locked="0"/>
    </xf>
    <xf numFmtId="1" fontId="10" fillId="8" borderId="0" xfId="5" applyNumberFormat="1" applyFont="1" applyFill="1" applyAlignment="1" applyProtection="1">
      <alignment horizontal="center" vertical="center"/>
      <protection locked="0"/>
    </xf>
    <xf numFmtId="0" fontId="16" fillId="0" borderId="0" xfId="5" applyFont="1" applyAlignment="1" applyProtection="1">
      <alignment horizontal="center" vertical="center"/>
      <protection locked="0"/>
    </xf>
    <xf numFmtId="49" fontId="17" fillId="0" borderId="0" xfId="5" applyNumberFormat="1" applyFont="1" applyAlignment="1" applyProtection="1">
      <alignment horizontal="center" vertical="center"/>
      <protection locked="0"/>
    </xf>
    <xf numFmtId="169" fontId="12" fillId="8" borderId="0" xfId="5" applyNumberFormat="1" applyFont="1" applyFill="1" applyAlignment="1" applyProtection="1">
      <alignment horizontal="center" vertical="center"/>
      <protection locked="0"/>
    </xf>
    <xf numFmtId="1" fontId="18" fillId="0" borderId="0" xfId="5" applyNumberFormat="1" applyFont="1" applyAlignment="1" applyProtection="1">
      <alignment horizontal="center" vertical="center"/>
      <protection locked="0"/>
    </xf>
    <xf numFmtId="49" fontId="19" fillId="0" borderId="0" xfId="5" applyNumberFormat="1" applyFont="1" applyAlignment="1" applyProtection="1">
      <alignment horizontal="left" vertical="center"/>
      <protection locked="0"/>
    </xf>
    <xf numFmtId="0" fontId="18" fillId="0" borderId="0" xfId="5" applyFont="1" applyAlignment="1" applyProtection="1">
      <alignment horizontal="center" vertical="center"/>
      <protection locked="0"/>
    </xf>
    <xf numFmtId="49" fontId="18" fillId="0" borderId="0" xfId="5" applyNumberFormat="1" applyFont="1" applyAlignment="1" applyProtection="1">
      <alignment horizontal="left" vertical="center"/>
      <protection locked="0"/>
    </xf>
    <xf numFmtId="49" fontId="18" fillId="0" borderId="0" xfId="5" applyNumberFormat="1" applyFont="1" applyAlignment="1" applyProtection="1">
      <alignment horizontal="center"/>
      <protection locked="0"/>
    </xf>
    <xf numFmtId="167" fontId="18" fillId="0" borderId="0" xfId="5" applyNumberFormat="1" applyFont="1" applyAlignment="1" applyProtection="1">
      <alignment horizontal="center" vertical="center"/>
      <protection locked="0"/>
    </xf>
    <xf numFmtId="168" fontId="18" fillId="0" borderId="0" xfId="5" applyNumberFormat="1" applyFont="1" applyAlignment="1" applyProtection="1">
      <alignment horizontal="center" vertical="center"/>
      <protection locked="0"/>
    </xf>
    <xf numFmtId="169" fontId="18" fillId="0" borderId="0" xfId="5" applyNumberFormat="1" applyFont="1" applyAlignment="1" applyProtection="1">
      <alignment horizontal="center" vertical="center"/>
      <protection locked="0"/>
    </xf>
    <xf numFmtId="0" fontId="9" fillId="0" borderId="0" xfId="5" applyFont="1" applyAlignment="1" applyProtection="1">
      <alignment horizontal="center"/>
      <protection locked="0"/>
    </xf>
    <xf numFmtId="0" fontId="10" fillId="0" borderId="0" xfId="5" applyFont="1" applyAlignment="1" applyProtection="1">
      <alignment horizontal="center"/>
      <protection locked="0"/>
    </xf>
    <xf numFmtId="0" fontId="9" fillId="0" borderId="0" xfId="5" applyFont="1" applyAlignment="1" applyProtection="1">
      <alignment horizontal="left"/>
      <protection locked="0"/>
    </xf>
    <xf numFmtId="167" fontId="9" fillId="0" borderId="0" xfId="5" applyNumberFormat="1" applyFont="1" applyAlignment="1" applyProtection="1">
      <alignment horizontal="center"/>
      <protection locked="0"/>
    </xf>
    <xf numFmtId="0" fontId="12" fillId="0" borderId="0" xfId="5" applyFont="1" applyAlignment="1" applyProtection="1">
      <alignment horizontal="center"/>
      <protection locked="0"/>
    </xf>
    <xf numFmtId="0" fontId="13" fillId="0" borderId="0" xfId="5" applyFont="1" applyAlignment="1" applyProtection="1">
      <alignment horizontal="center"/>
      <protection locked="0"/>
    </xf>
    <xf numFmtId="169" fontId="9" fillId="0" borderId="0" xfId="5" applyNumberFormat="1" applyFont="1" applyAlignment="1" applyProtection="1">
      <alignment horizontal="center"/>
      <protection locked="0"/>
    </xf>
    <xf numFmtId="170" fontId="9" fillId="0" borderId="0" xfId="5" applyNumberFormat="1" applyFont="1" applyAlignment="1" applyProtection="1">
      <alignment horizontal="center"/>
      <protection locked="0"/>
    </xf>
    <xf numFmtId="0" fontId="20" fillId="0" borderId="0" xfId="5" applyFont="1" applyAlignment="1" applyProtection="1">
      <alignment horizontal="left"/>
      <protection locked="0"/>
    </xf>
    <xf numFmtId="0" fontId="22" fillId="0" borderId="0" xfId="5" applyFont="1" applyAlignment="1" applyProtection="1">
      <alignment horizontal="center" vertical="center"/>
      <protection locked="0"/>
    </xf>
    <xf numFmtId="0" fontId="9" fillId="9" borderId="0" xfId="5" applyFont="1" applyFill="1" applyAlignment="1" applyProtection="1">
      <alignment horizontal="center"/>
      <protection locked="0"/>
    </xf>
    <xf numFmtId="0" fontId="10" fillId="9" borderId="0" xfId="5" applyFont="1" applyFill="1" applyProtection="1">
      <protection locked="0"/>
    </xf>
    <xf numFmtId="0" fontId="10" fillId="9" borderId="0" xfId="5" applyFont="1" applyFill="1" applyAlignment="1" applyProtection="1">
      <alignment horizontal="center"/>
      <protection locked="0"/>
    </xf>
    <xf numFmtId="0" fontId="10" fillId="9" borderId="0" xfId="5" applyFont="1" applyFill="1" applyAlignment="1" applyProtection="1">
      <alignment horizontal="left"/>
      <protection locked="0"/>
    </xf>
    <xf numFmtId="0" fontId="16" fillId="9" borderId="0" xfId="5" applyFont="1" applyFill="1" applyProtection="1">
      <protection locked="0"/>
    </xf>
    <xf numFmtId="167" fontId="10" fillId="9" borderId="0" xfId="5" applyNumberFormat="1" applyFont="1" applyFill="1" applyAlignment="1" applyProtection="1">
      <alignment horizontal="center"/>
      <protection locked="0"/>
    </xf>
    <xf numFmtId="0" fontId="10" fillId="9" borderId="0" xfId="5" applyFont="1" applyFill="1" applyAlignment="1" applyProtection="1">
      <alignment horizontal="center" vertical="center"/>
      <protection locked="0"/>
    </xf>
    <xf numFmtId="168" fontId="10" fillId="9" borderId="0" xfId="5" applyNumberFormat="1" applyFont="1" applyFill="1" applyAlignment="1" applyProtection="1">
      <alignment horizontal="center" vertical="center"/>
      <protection locked="0"/>
    </xf>
    <xf numFmtId="0" fontId="12" fillId="9" borderId="0" xfId="5" applyFont="1" applyFill="1" applyAlignment="1" applyProtection="1">
      <alignment horizontal="center"/>
      <protection locked="0"/>
    </xf>
    <xf numFmtId="0" fontId="9" fillId="9" borderId="0" xfId="5" applyFont="1" applyFill="1" applyAlignment="1" applyProtection="1">
      <alignment horizontal="center" vertical="center"/>
      <protection locked="0"/>
    </xf>
    <xf numFmtId="0" fontId="13" fillId="9" borderId="0" xfId="5" applyFont="1" applyFill="1" applyAlignment="1" applyProtection="1">
      <alignment horizontal="center"/>
      <protection locked="0"/>
    </xf>
    <xf numFmtId="169" fontId="9" fillId="9" borderId="0" xfId="5" applyNumberFormat="1" applyFont="1" applyFill="1" applyAlignment="1" applyProtection="1">
      <alignment horizontal="center"/>
      <protection locked="0"/>
    </xf>
    <xf numFmtId="0" fontId="9" fillId="10" borderId="0" xfId="5" applyFont="1" applyFill="1" applyAlignment="1" applyProtection="1">
      <alignment horizontal="center"/>
      <protection locked="0"/>
    </xf>
    <xf numFmtId="0" fontId="10" fillId="10" borderId="0" xfId="5" applyFont="1" applyFill="1" applyAlignment="1" applyProtection="1">
      <alignment horizontal="center"/>
      <protection locked="0"/>
    </xf>
    <xf numFmtId="0" fontId="9" fillId="10" borderId="0" xfId="5" applyFont="1" applyFill="1" applyProtection="1">
      <protection locked="0"/>
    </xf>
    <xf numFmtId="0" fontId="9" fillId="10" borderId="0" xfId="5" applyFont="1" applyFill="1" applyAlignment="1" applyProtection="1">
      <alignment horizontal="left"/>
      <protection locked="0"/>
    </xf>
    <xf numFmtId="167" fontId="9" fillId="10" borderId="0" xfId="5" applyNumberFormat="1" applyFont="1" applyFill="1" applyAlignment="1" applyProtection="1">
      <alignment horizontal="center"/>
      <protection locked="0"/>
    </xf>
    <xf numFmtId="0" fontId="9" fillId="10" borderId="0" xfId="5" applyFont="1" applyFill="1" applyAlignment="1" applyProtection="1">
      <alignment horizontal="center" vertical="center"/>
      <protection locked="0"/>
    </xf>
    <xf numFmtId="168" fontId="9" fillId="10" borderId="0" xfId="5" applyNumberFormat="1" applyFont="1" applyFill="1" applyAlignment="1" applyProtection="1">
      <alignment horizontal="center" vertical="center"/>
      <protection locked="0"/>
    </xf>
    <xf numFmtId="0" fontId="12" fillId="10" borderId="0" xfId="5" applyFont="1" applyFill="1" applyAlignment="1" applyProtection="1">
      <alignment horizontal="center"/>
      <protection locked="0"/>
    </xf>
    <xf numFmtId="0" fontId="13" fillId="10" borderId="0" xfId="5" applyFont="1" applyFill="1" applyAlignment="1" applyProtection="1">
      <alignment horizontal="center"/>
      <protection locked="0"/>
    </xf>
    <xf numFmtId="169" fontId="9" fillId="10" borderId="0" xfId="5" applyNumberFormat="1" applyFont="1" applyFill="1" applyAlignment="1" applyProtection="1">
      <alignment horizontal="center"/>
      <protection locked="0"/>
    </xf>
    <xf numFmtId="0" fontId="9" fillId="11" borderId="0" xfId="5" applyFont="1" applyFill="1" applyProtection="1">
      <protection locked="0"/>
    </xf>
    <xf numFmtId="0" fontId="9" fillId="12" borderId="0" xfId="5" applyFont="1" applyFill="1" applyAlignment="1" applyProtection="1">
      <alignment horizontal="center"/>
      <protection locked="0"/>
    </xf>
    <xf numFmtId="0" fontId="10" fillId="12" borderId="0" xfId="5" applyFont="1" applyFill="1" applyAlignment="1" applyProtection="1">
      <alignment horizontal="center"/>
      <protection locked="0"/>
    </xf>
    <xf numFmtId="0" fontId="9" fillId="12" borderId="0" xfId="5" applyFont="1" applyFill="1" applyProtection="1">
      <protection locked="0"/>
    </xf>
    <xf numFmtId="0" fontId="9" fillId="12" borderId="0" xfId="5" applyFont="1" applyFill="1" applyAlignment="1" applyProtection="1">
      <alignment horizontal="left"/>
      <protection locked="0"/>
    </xf>
    <xf numFmtId="167" fontId="9" fillId="12" borderId="0" xfId="5" applyNumberFormat="1" applyFont="1" applyFill="1" applyAlignment="1" applyProtection="1">
      <alignment horizontal="center"/>
      <protection locked="0"/>
    </xf>
    <xf numFmtId="0" fontId="9" fillId="12" borderId="0" xfId="5" applyFont="1" applyFill="1" applyAlignment="1" applyProtection="1">
      <alignment horizontal="center" vertical="center"/>
      <protection locked="0"/>
    </xf>
    <xf numFmtId="168" fontId="9" fillId="12" borderId="0" xfId="5" applyNumberFormat="1" applyFont="1" applyFill="1" applyAlignment="1" applyProtection="1">
      <alignment horizontal="center" vertical="center"/>
      <protection locked="0"/>
    </xf>
    <xf numFmtId="0" fontId="12" fillId="12" borderId="0" xfId="5" applyFont="1" applyFill="1" applyAlignment="1" applyProtection="1">
      <alignment horizontal="center"/>
      <protection locked="0"/>
    </xf>
    <xf numFmtId="0" fontId="13" fillId="12" borderId="0" xfId="5" applyFont="1" applyFill="1" applyAlignment="1" applyProtection="1">
      <alignment horizontal="center"/>
      <protection locked="0"/>
    </xf>
    <xf numFmtId="169" fontId="9" fillId="12" borderId="0" xfId="5" applyNumberFormat="1" applyFont="1" applyFill="1" applyAlignment="1" applyProtection="1">
      <alignment horizontal="center"/>
      <protection locked="0"/>
    </xf>
    <xf numFmtId="0" fontId="26" fillId="0" borderId="0" xfId="5" applyFont="1" applyAlignment="1" applyProtection="1">
      <alignment horizontal="left"/>
      <protection locked="0"/>
    </xf>
    <xf numFmtId="0" fontId="27" fillId="0" borderId="0" xfId="5" applyFont="1" applyProtection="1">
      <protection locked="0"/>
    </xf>
    <xf numFmtId="169" fontId="12" fillId="0" borderId="0" xfId="5" applyNumberFormat="1" applyFont="1" applyAlignment="1" applyProtection="1">
      <alignment horizontal="center"/>
      <protection locked="0"/>
    </xf>
    <xf numFmtId="0" fontId="9" fillId="13" borderId="0" xfId="5" applyFont="1" applyFill="1" applyAlignment="1" applyProtection="1">
      <alignment horizontal="center"/>
      <protection locked="0"/>
    </xf>
    <xf numFmtId="0" fontId="10" fillId="13" borderId="0" xfId="5" applyFont="1" applyFill="1" applyAlignment="1" applyProtection="1">
      <alignment horizontal="center"/>
      <protection locked="0"/>
    </xf>
    <xf numFmtId="0" fontId="9" fillId="13" borderId="0" xfId="5" applyFont="1" applyFill="1" applyProtection="1">
      <protection locked="0"/>
    </xf>
    <xf numFmtId="0" fontId="9" fillId="13" borderId="0" xfId="5" applyFont="1" applyFill="1" applyAlignment="1" applyProtection="1">
      <alignment horizontal="left"/>
      <protection locked="0"/>
    </xf>
    <xf numFmtId="167" fontId="9" fillId="13" borderId="0" xfId="5" applyNumberFormat="1" applyFont="1" applyFill="1" applyAlignment="1" applyProtection="1">
      <alignment horizontal="center"/>
      <protection locked="0"/>
    </xf>
    <xf numFmtId="0" fontId="9" fillId="13" borderId="0" xfId="5" applyFont="1" applyFill="1" applyAlignment="1" applyProtection="1">
      <alignment horizontal="center" vertical="center"/>
      <protection locked="0"/>
    </xf>
    <xf numFmtId="168" fontId="12" fillId="13" borderId="0" xfId="5" applyNumberFormat="1" applyFont="1" applyFill="1" applyAlignment="1" applyProtection="1">
      <alignment horizontal="center" vertical="center"/>
      <protection locked="0"/>
    </xf>
    <xf numFmtId="0" fontId="20" fillId="13" borderId="0" xfId="5" applyFont="1" applyFill="1" applyAlignment="1" applyProtection="1">
      <alignment horizontal="center" vertical="center"/>
      <protection locked="0"/>
    </xf>
    <xf numFmtId="0" fontId="12" fillId="13" borderId="0" xfId="5" applyFont="1" applyFill="1" applyAlignment="1" applyProtection="1">
      <alignment horizontal="center"/>
      <protection locked="0"/>
    </xf>
    <xf numFmtId="0" fontId="13" fillId="13" borderId="0" xfId="5" applyFont="1" applyFill="1" applyAlignment="1" applyProtection="1">
      <alignment horizontal="center"/>
      <protection locked="0"/>
    </xf>
    <xf numFmtId="169" fontId="12" fillId="13" borderId="0" xfId="5" applyNumberFormat="1" applyFont="1" applyFill="1" applyAlignment="1" applyProtection="1">
      <alignment horizontal="center"/>
      <protection locked="0"/>
    </xf>
    <xf numFmtId="168" fontId="9" fillId="13" borderId="0" xfId="5" applyNumberFormat="1" applyFont="1" applyFill="1" applyAlignment="1" applyProtection="1">
      <alignment horizontal="center" vertical="center"/>
      <protection locked="0"/>
    </xf>
    <xf numFmtId="169" fontId="9" fillId="13" borderId="0" xfId="5" applyNumberFormat="1" applyFont="1" applyFill="1" applyAlignment="1" applyProtection="1">
      <alignment horizontal="center"/>
      <protection locked="0"/>
    </xf>
    <xf numFmtId="0" fontId="9" fillId="14" borderId="0" xfId="5" applyFont="1" applyFill="1" applyAlignment="1" applyProtection="1">
      <alignment horizontal="center"/>
      <protection locked="0"/>
    </xf>
    <xf numFmtId="0" fontId="9" fillId="14" borderId="0" xfId="5" applyFont="1" applyFill="1" applyProtection="1">
      <protection locked="0"/>
    </xf>
    <xf numFmtId="0" fontId="9" fillId="14" borderId="0" xfId="5" applyFont="1" applyFill="1" applyAlignment="1" applyProtection="1">
      <alignment horizontal="left"/>
      <protection locked="0"/>
    </xf>
    <xf numFmtId="0" fontId="30" fillId="14" borderId="0" xfId="5" applyFont="1" applyFill="1" applyProtection="1">
      <protection locked="0"/>
    </xf>
    <xf numFmtId="167" fontId="9" fillId="14" borderId="0" xfId="5" applyNumberFormat="1" applyFont="1" applyFill="1" applyAlignment="1" applyProtection="1">
      <alignment horizontal="center"/>
      <protection locked="0"/>
    </xf>
    <xf numFmtId="0" fontId="9" fillId="14" borderId="0" xfId="5" applyFont="1" applyFill="1" applyAlignment="1" applyProtection="1">
      <alignment horizontal="center" vertical="center"/>
      <protection locked="0"/>
    </xf>
    <xf numFmtId="168" fontId="9" fillId="14" borderId="0" xfId="5" applyNumberFormat="1" applyFont="1" applyFill="1" applyAlignment="1" applyProtection="1">
      <alignment horizontal="center" vertical="center"/>
      <protection locked="0"/>
    </xf>
    <xf numFmtId="0" fontId="26" fillId="14" borderId="0" xfId="5" applyFont="1" applyFill="1" applyAlignment="1" applyProtection="1">
      <alignment horizontal="center" vertical="center"/>
      <protection locked="0"/>
    </xf>
    <xf numFmtId="0" fontId="12" fillId="14" borderId="0" xfId="5" applyFont="1" applyFill="1" applyAlignment="1" applyProtection="1">
      <alignment horizontal="center"/>
      <protection locked="0"/>
    </xf>
    <xf numFmtId="0" fontId="13" fillId="14" borderId="0" xfId="5" applyFont="1" applyFill="1" applyAlignment="1" applyProtection="1">
      <alignment horizontal="center"/>
      <protection locked="0"/>
    </xf>
    <xf numFmtId="169" fontId="9" fillId="14" borderId="0" xfId="5" applyNumberFormat="1" applyFont="1" applyFill="1" applyAlignment="1" applyProtection="1">
      <alignment horizontal="center"/>
      <protection locked="0"/>
    </xf>
    <xf numFmtId="0" fontId="10" fillId="15" borderId="0" xfId="5" applyFont="1" applyFill="1" applyAlignment="1" applyProtection="1">
      <alignment horizontal="center"/>
      <protection locked="0"/>
    </xf>
    <xf numFmtId="0" fontId="30" fillId="0" borderId="0" xfId="5" applyFont="1" applyProtection="1">
      <protection locked="0"/>
    </xf>
    <xf numFmtId="0" fontId="10" fillId="12" borderId="0" xfId="5" applyFont="1" applyFill="1" applyAlignment="1" applyProtection="1">
      <alignment horizontal="center" vertical="center"/>
      <protection locked="0"/>
    </xf>
    <xf numFmtId="0" fontId="10" fillId="16" borderId="0" xfId="5" applyFont="1" applyFill="1" applyAlignment="1" applyProtection="1">
      <alignment horizontal="center"/>
      <protection locked="0"/>
    </xf>
    <xf numFmtId="0" fontId="10" fillId="16" borderId="0" xfId="5" applyFont="1" applyFill="1" applyProtection="1">
      <protection locked="0"/>
    </xf>
    <xf numFmtId="0" fontId="10" fillId="16" borderId="0" xfId="5" applyFont="1" applyFill="1" applyAlignment="1" applyProtection="1">
      <alignment horizontal="left"/>
      <protection locked="0"/>
    </xf>
    <xf numFmtId="0" fontId="22" fillId="16" borderId="0" xfId="5" applyFont="1" applyFill="1" applyProtection="1">
      <protection locked="0"/>
    </xf>
    <xf numFmtId="167" fontId="10" fillId="16" borderId="0" xfId="5" applyNumberFormat="1" applyFont="1" applyFill="1" applyAlignment="1" applyProtection="1">
      <alignment horizontal="center"/>
      <protection locked="0"/>
    </xf>
    <xf numFmtId="0" fontId="10" fillId="16" borderId="0" xfId="5" applyFont="1" applyFill="1" applyAlignment="1" applyProtection="1">
      <alignment horizontal="center" vertical="center"/>
      <protection locked="0"/>
    </xf>
    <xf numFmtId="168" fontId="10" fillId="16" borderId="0" xfId="5" applyNumberFormat="1" applyFont="1" applyFill="1" applyAlignment="1" applyProtection="1">
      <alignment horizontal="center" vertical="center"/>
      <protection locked="0"/>
    </xf>
    <xf numFmtId="0" fontId="12" fillId="16" borderId="0" xfId="5" applyFont="1" applyFill="1" applyAlignment="1" applyProtection="1">
      <alignment horizontal="center"/>
      <protection locked="0"/>
    </xf>
    <xf numFmtId="0" fontId="13" fillId="16" borderId="0" xfId="5" applyFont="1" applyFill="1" applyAlignment="1" applyProtection="1">
      <alignment horizontal="center"/>
      <protection locked="0"/>
    </xf>
    <xf numFmtId="169" fontId="10" fillId="16" borderId="0" xfId="5" applyNumberFormat="1" applyFont="1" applyFill="1" applyAlignment="1" applyProtection="1">
      <alignment horizontal="center"/>
      <protection locked="0"/>
    </xf>
    <xf numFmtId="170" fontId="10" fillId="0" borderId="0" xfId="5" applyNumberFormat="1" applyFont="1" applyAlignment="1" applyProtection="1">
      <alignment horizontal="center"/>
      <protection locked="0"/>
    </xf>
    <xf numFmtId="0" fontId="26" fillId="16" borderId="0" xfId="5" applyFont="1" applyFill="1" applyAlignment="1" applyProtection="1">
      <alignment horizontal="left"/>
      <protection locked="0"/>
    </xf>
    <xf numFmtId="0" fontId="12" fillId="0" borderId="0" xfId="5" applyFont="1" applyAlignment="1" applyProtection="1">
      <alignment horizontal="center" vertical="center"/>
      <protection locked="0"/>
    </xf>
    <xf numFmtId="0" fontId="32" fillId="0" borderId="0" xfId="5" applyFont="1" applyAlignment="1" applyProtection="1">
      <alignment horizontal="center"/>
      <protection locked="0"/>
    </xf>
    <xf numFmtId="0" fontId="9" fillId="0" borderId="0" xfId="5" applyFont="1" applyAlignment="1" applyProtection="1">
      <alignment horizontal="left" vertical="center"/>
      <protection locked="0"/>
    </xf>
    <xf numFmtId="164" fontId="9" fillId="0" borderId="0" xfId="5" applyNumberFormat="1" applyFont="1" applyAlignment="1" applyProtection="1">
      <alignment horizontal="center"/>
      <protection locked="0"/>
    </xf>
    <xf numFmtId="0" fontId="9" fillId="15" borderId="0" xfId="5" applyFont="1" applyFill="1" applyAlignment="1" applyProtection="1">
      <alignment horizontal="center"/>
      <protection locked="0"/>
    </xf>
    <xf numFmtId="0" fontId="9" fillId="15" borderId="0" xfId="5" applyFont="1" applyFill="1" applyProtection="1">
      <protection locked="0"/>
    </xf>
    <xf numFmtId="0" fontId="9" fillId="15" borderId="0" xfId="5" applyFont="1" applyFill="1" applyAlignment="1" applyProtection="1">
      <alignment horizontal="left"/>
      <protection locked="0"/>
    </xf>
    <xf numFmtId="167" fontId="9" fillId="15" borderId="0" xfId="5" applyNumberFormat="1" applyFont="1" applyFill="1" applyAlignment="1" applyProtection="1">
      <alignment horizontal="center"/>
      <protection locked="0"/>
    </xf>
    <xf numFmtId="0" fontId="9" fillId="15" borderId="0" xfId="5" applyFont="1" applyFill="1" applyAlignment="1" applyProtection="1">
      <alignment horizontal="center" vertical="center"/>
      <protection locked="0"/>
    </xf>
    <xf numFmtId="168" fontId="9" fillId="15" borderId="0" xfId="5" applyNumberFormat="1" applyFont="1" applyFill="1" applyAlignment="1" applyProtection="1">
      <alignment horizontal="center" vertical="center"/>
      <protection locked="0"/>
    </xf>
    <xf numFmtId="0" fontId="12" fillId="15" borderId="0" xfId="5" applyFont="1" applyFill="1" applyAlignment="1" applyProtection="1">
      <alignment horizontal="center"/>
      <protection locked="0"/>
    </xf>
    <xf numFmtId="0" fontId="13" fillId="15" borderId="0" xfId="5" applyFont="1" applyFill="1" applyAlignment="1" applyProtection="1">
      <alignment horizontal="center"/>
      <protection locked="0"/>
    </xf>
    <xf numFmtId="169" fontId="9" fillId="15" borderId="0" xfId="5" applyNumberFormat="1" applyFont="1" applyFill="1" applyAlignment="1" applyProtection="1">
      <alignment horizontal="center"/>
      <protection locked="0"/>
    </xf>
    <xf numFmtId="170" fontId="9" fillId="15" borderId="0" xfId="5" applyNumberFormat="1" applyFont="1" applyFill="1" applyAlignment="1" applyProtection="1">
      <alignment horizontal="center"/>
      <protection locked="0"/>
    </xf>
    <xf numFmtId="0" fontId="10" fillId="17" borderId="0" xfId="5" applyFont="1" applyFill="1" applyAlignment="1" applyProtection="1">
      <alignment horizontal="center"/>
      <protection locked="0"/>
    </xf>
    <xf numFmtId="0" fontId="9" fillId="18" borderId="0" xfId="5" applyFont="1" applyFill="1" applyAlignment="1" applyProtection="1">
      <alignment horizontal="center"/>
      <protection locked="0"/>
    </xf>
    <xf numFmtId="0" fontId="26" fillId="15" borderId="0" xfId="5" applyFont="1" applyFill="1" applyProtection="1">
      <protection locked="0"/>
    </xf>
    <xf numFmtId="0" fontId="26" fillId="13" borderId="0" xfId="5" applyFont="1" applyFill="1" applyAlignment="1" applyProtection="1">
      <alignment horizontal="center" vertical="center"/>
      <protection locked="0"/>
    </xf>
    <xf numFmtId="0" fontId="35" fillId="0" borderId="0" xfId="5" applyFont="1" applyProtection="1">
      <protection locked="0"/>
    </xf>
    <xf numFmtId="168" fontId="12" fillId="0" borderId="0" xfId="5" applyNumberFormat="1" applyFont="1" applyAlignment="1" applyProtection="1">
      <alignment horizontal="center" vertical="center"/>
      <protection locked="0"/>
    </xf>
    <xf numFmtId="0" fontId="20" fillId="0" borderId="0" xfId="5" applyFont="1" applyAlignment="1" applyProtection="1">
      <alignment horizontal="center" vertical="center"/>
      <protection locked="0"/>
    </xf>
    <xf numFmtId="0" fontId="9" fillId="19" borderId="0" xfId="5" applyFont="1" applyFill="1" applyProtection="1">
      <protection locked="0"/>
    </xf>
    <xf numFmtId="0" fontId="20" fillId="14" borderId="0" xfId="5" applyFont="1" applyFill="1" applyProtection="1">
      <protection locked="0"/>
    </xf>
    <xf numFmtId="0" fontId="9" fillId="9" borderId="0" xfId="5" applyFont="1" applyFill="1" applyProtection="1">
      <protection locked="0"/>
    </xf>
    <xf numFmtId="0" fontId="9" fillId="9" borderId="0" xfId="5" applyFont="1" applyFill="1" applyAlignment="1" applyProtection="1">
      <alignment horizontal="left"/>
      <protection locked="0"/>
    </xf>
    <xf numFmtId="0" fontId="20" fillId="9" borderId="0" xfId="5" applyFont="1" applyFill="1" applyProtection="1">
      <protection locked="0"/>
    </xf>
    <xf numFmtId="167" fontId="9" fillId="9" borderId="0" xfId="5" applyNumberFormat="1" applyFont="1" applyFill="1" applyAlignment="1" applyProtection="1">
      <alignment horizontal="center"/>
      <protection locked="0"/>
    </xf>
    <xf numFmtId="168" fontId="9" fillId="9" borderId="0" xfId="5" applyNumberFormat="1" applyFont="1" applyFill="1" applyAlignment="1" applyProtection="1">
      <alignment horizontal="center" vertical="center"/>
      <protection locked="0"/>
    </xf>
    <xf numFmtId="0" fontId="22" fillId="15" borderId="0" xfId="5" applyFont="1" applyFill="1" applyProtection="1">
      <protection locked="0"/>
    </xf>
    <xf numFmtId="0" fontId="20" fillId="15" borderId="0" xfId="5" applyFont="1" applyFill="1" applyAlignment="1" applyProtection="1">
      <alignment horizontal="center" vertical="center"/>
      <protection locked="0"/>
    </xf>
    <xf numFmtId="169" fontId="12" fillId="15" borderId="0" xfId="5" applyNumberFormat="1" applyFont="1" applyFill="1" applyAlignment="1" applyProtection="1">
      <alignment horizontal="center"/>
      <protection locked="0"/>
    </xf>
    <xf numFmtId="0" fontId="26" fillId="13" borderId="0" xfId="5" applyFont="1" applyFill="1" applyProtection="1">
      <protection locked="0"/>
    </xf>
    <xf numFmtId="0" fontId="26" fillId="0" borderId="0" xfId="5" applyFont="1" applyProtection="1">
      <protection locked="0"/>
    </xf>
    <xf numFmtId="0" fontId="36" fillId="13" borderId="0" xfId="5" applyFont="1" applyFill="1" applyAlignment="1" applyProtection="1">
      <alignment horizontal="center" vertical="center"/>
      <protection locked="0"/>
    </xf>
    <xf numFmtId="0" fontId="10" fillId="3" borderId="0" xfId="5" applyFont="1" applyFill="1" applyAlignment="1" applyProtection="1">
      <alignment horizontal="center"/>
      <protection locked="0"/>
    </xf>
    <xf numFmtId="0" fontId="9" fillId="3" borderId="0" xfId="5" applyFont="1" applyFill="1" applyAlignment="1" applyProtection="1">
      <alignment horizontal="left"/>
      <protection locked="0"/>
    </xf>
    <xf numFmtId="0" fontId="16" fillId="0" borderId="0" xfId="5" applyFont="1" applyProtection="1">
      <protection locked="0"/>
    </xf>
    <xf numFmtId="0" fontId="15" fillId="0" borderId="0" xfId="5" applyFont="1" applyAlignment="1" applyProtection="1">
      <alignment horizontal="center"/>
      <protection locked="0"/>
    </xf>
    <xf numFmtId="0" fontId="9" fillId="11" borderId="0" xfId="5" applyFont="1" applyFill="1" applyAlignment="1" applyProtection="1">
      <alignment horizontal="center"/>
      <protection locked="0"/>
    </xf>
    <xf numFmtId="0" fontId="10" fillId="11" borderId="0" xfId="5" applyFont="1" applyFill="1" applyAlignment="1" applyProtection="1">
      <alignment horizontal="center"/>
      <protection locked="0"/>
    </xf>
    <xf numFmtId="0" fontId="9" fillId="11" borderId="0" xfId="5" applyFont="1" applyFill="1" applyAlignment="1" applyProtection="1">
      <alignment horizontal="left"/>
      <protection locked="0"/>
    </xf>
    <xf numFmtId="0" fontId="22" fillId="11" borderId="0" xfId="5" applyFont="1" applyFill="1" applyProtection="1">
      <protection locked="0"/>
    </xf>
    <xf numFmtId="167" fontId="9" fillId="11" borderId="0" xfId="5" applyNumberFormat="1" applyFont="1" applyFill="1" applyAlignment="1" applyProtection="1">
      <alignment horizontal="center"/>
      <protection locked="0"/>
    </xf>
    <xf numFmtId="0" fontId="9" fillId="11" borderId="0" xfId="5" applyFont="1" applyFill="1" applyAlignment="1" applyProtection="1">
      <alignment horizontal="center" vertical="center"/>
      <protection locked="0"/>
    </xf>
    <xf numFmtId="168" fontId="9" fillId="11" borderId="0" xfId="5" applyNumberFormat="1" applyFont="1" applyFill="1" applyAlignment="1" applyProtection="1">
      <alignment horizontal="center" vertical="center"/>
      <protection locked="0"/>
    </xf>
    <xf numFmtId="0" fontId="26" fillId="11" borderId="0" xfId="5" applyFont="1" applyFill="1" applyAlignment="1" applyProtection="1">
      <alignment horizontal="center" vertical="center"/>
      <protection locked="0"/>
    </xf>
    <xf numFmtId="0" fontId="12" fillId="11" borderId="0" xfId="5" applyFont="1" applyFill="1" applyAlignment="1" applyProtection="1">
      <alignment horizontal="center"/>
      <protection locked="0"/>
    </xf>
    <xf numFmtId="0" fontId="13" fillId="11" borderId="0" xfId="5" applyFont="1" applyFill="1" applyAlignment="1" applyProtection="1">
      <alignment horizontal="center"/>
      <protection locked="0"/>
    </xf>
    <xf numFmtId="169" fontId="12" fillId="11" borderId="0" xfId="5" applyNumberFormat="1" applyFont="1" applyFill="1" applyAlignment="1" applyProtection="1">
      <alignment horizontal="center"/>
      <protection locked="0"/>
    </xf>
    <xf numFmtId="170" fontId="9" fillId="11" borderId="0" xfId="5" applyNumberFormat="1" applyFont="1" applyFill="1" applyAlignment="1" applyProtection="1">
      <alignment horizontal="center"/>
      <protection locked="0"/>
    </xf>
    <xf numFmtId="168" fontId="15" fillId="0" borderId="0" xfId="5" applyNumberFormat="1" applyFont="1" applyAlignment="1" applyProtection="1">
      <alignment horizontal="center" vertical="center"/>
      <protection locked="0"/>
    </xf>
    <xf numFmtId="169" fontId="10" fillId="11" borderId="0" xfId="5" applyNumberFormat="1" applyFont="1" applyFill="1" applyAlignment="1" applyProtection="1">
      <alignment horizontal="center"/>
      <protection locked="0"/>
    </xf>
    <xf numFmtId="0" fontId="40" fillId="0" borderId="0" xfId="5" applyFont="1" applyProtection="1">
      <protection locked="0"/>
    </xf>
    <xf numFmtId="0" fontId="41" fillId="0" borderId="0" xfId="5" applyFont="1" applyAlignment="1" applyProtection="1">
      <alignment horizontal="left"/>
      <protection locked="0"/>
    </xf>
    <xf numFmtId="0" fontId="41" fillId="0" borderId="0" xfId="5" applyFont="1" applyAlignment="1" applyProtection="1">
      <alignment horizontal="center" vertical="center"/>
      <protection locked="0"/>
    </xf>
    <xf numFmtId="0" fontId="10" fillId="18" borderId="0" xfId="5" applyFont="1" applyFill="1" applyAlignment="1" applyProtection="1">
      <alignment horizontal="center"/>
      <protection locked="0"/>
    </xf>
    <xf numFmtId="0" fontId="9" fillId="18" borderId="0" xfId="5" applyFont="1" applyFill="1" applyProtection="1">
      <protection locked="0"/>
    </xf>
    <xf numFmtId="0" fontId="9" fillId="18" borderId="0" xfId="5" applyFont="1" applyFill="1" applyAlignment="1" applyProtection="1">
      <alignment horizontal="left"/>
      <protection locked="0"/>
    </xf>
    <xf numFmtId="167" fontId="9" fillId="18" borderId="0" xfId="5" applyNumberFormat="1" applyFont="1" applyFill="1" applyAlignment="1" applyProtection="1">
      <alignment horizontal="center"/>
      <protection locked="0"/>
    </xf>
    <xf numFmtId="0" fontId="9" fillId="18" borderId="0" xfId="5" applyFont="1" applyFill="1" applyAlignment="1" applyProtection="1">
      <alignment horizontal="center" vertical="center"/>
      <protection locked="0"/>
    </xf>
    <xf numFmtId="168" fontId="9" fillId="18" borderId="0" xfId="5" applyNumberFormat="1" applyFont="1" applyFill="1" applyAlignment="1" applyProtection="1">
      <alignment horizontal="center" vertical="center"/>
      <protection locked="0"/>
    </xf>
    <xf numFmtId="0" fontId="20" fillId="0" borderId="0" xfId="5" applyFont="1" applyProtection="1">
      <protection locked="0"/>
    </xf>
    <xf numFmtId="16" fontId="9" fillId="0" borderId="0" xfId="5" applyNumberFormat="1" applyFont="1" applyAlignment="1" applyProtection="1">
      <alignment horizontal="center" vertical="center"/>
      <protection locked="0"/>
    </xf>
    <xf numFmtId="0" fontId="16" fillId="0" borderId="0" xfId="5" applyFont="1" applyAlignment="1" applyProtection="1">
      <alignment horizontal="center"/>
      <protection locked="0"/>
    </xf>
    <xf numFmtId="0" fontId="9" fillId="0" borderId="0" xfId="5" applyFont="1"/>
    <xf numFmtId="166" fontId="4" fillId="0" borderId="2" xfId="0" applyNumberFormat="1" applyFont="1" applyBorder="1" applyAlignment="1">
      <alignment horizontal="center" vertical="center"/>
    </xf>
    <xf numFmtId="0" fontId="56" fillId="0" borderId="2" xfId="0" applyFont="1" applyBorder="1"/>
    <xf numFmtId="0" fontId="5" fillId="0" borderId="11" xfId="0" applyFont="1" applyBorder="1"/>
    <xf numFmtId="0" fontId="7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1" xfId="0" applyFont="1" applyBorder="1" applyAlignment="1">
      <alignment horizontal="left"/>
    </xf>
    <xf numFmtId="166" fontId="4" fillId="0" borderId="12" xfId="0" applyNumberFormat="1" applyFont="1" applyBorder="1" applyAlignment="1">
      <alignment horizontal="center" vertical="center"/>
    </xf>
    <xf numFmtId="0" fontId="7" fillId="24" borderId="1" xfId="0" applyFont="1" applyFill="1" applyBorder="1" applyAlignment="1">
      <alignment horizontal="center"/>
    </xf>
    <xf numFmtId="0" fontId="59" fillId="0" borderId="0" xfId="0" applyFont="1"/>
    <xf numFmtId="0" fontId="59" fillId="0" borderId="0" xfId="0" applyFont="1" applyAlignment="1">
      <alignment vertical="center" wrapText="1"/>
    </xf>
    <xf numFmtId="0" fontId="59" fillId="0" borderId="13" xfId="0" applyFont="1" applyBorder="1"/>
    <xf numFmtId="0" fontId="59" fillId="0" borderId="0" xfId="0" applyFont="1" applyAlignment="1">
      <alignment wrapText="1"/>
    </xf>
    <xf numFmtId="0" fontId="59" fillId="0" borderId="13" xfId="0" applyFont="1" applyBorder="1" applyAlignment="1">
      <alignment wrapText="1"/>
    </xf>
    <xf numFmtId="0" fontId="59" fillId="0" borderId="0" xfId="0" applyFont="1" applyAlignment="1">
      <alignment horizontal="center"/>
    </xf>
    <xf numFmtId="166" fontId="60" fillId="0" borderId="0" xfId="0" applyNumberFormat="1" applyFont="1" applyAlignment="1">
      <alignment horizontal="center" vertical="center"/>
    </xf>
    <xf numFmtId="0" fontId="61" fillId="0" borderId="0" xfId="0" applyFont="1"/>
    <xf numFmtId="49" fontId="62" fillId="0" borderId="0" xfId="1" applyNumberFormat="1" applyFont="1"/>
    <xf numFmtId="49" fontId="63" fillId="0" borderId="0" xfId="2" applyNumberFormat="1" applyFont="1" applyFill="1" applyBorder="1" applyAlignment="1" applyProtection="1"/>
    <xf numFmtId="49" fontId="64" fillId="0" borderId="0" xfId="2" applyNumberFormat="1" applyFont="1" applyFill="1" applyBorder="1" applyAlignment="1" applyProtection="1"/>
    <xf numFmtId="49" fontId="63" fillId="0" borderId="0" xfId="2" applyNumberFormat="1" applyFont="1" applyFill="1" applyBorder="1" applyAlignment="1" applyProtection="1">
      <alignment wrapText="1"/>
    </xf>
    <xf numFmtId="165" fontId="63" fillId="0" borderId="0" xfId="2" applyFont="1" applyFill="1" applyBorder="1" applyAlignment="1" applyProtection="1"/>
    <xf numFmtId="166" fontId="65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13" xfId="0" applyFont="1" applyBorder="1"/>
    <xf numFmtId="169" fontId="66" fillId="0" borderId="1" xfId="0" applyNumberFormat="1" applyFont="1" applyBorder="1" applyAlignment="1" applyProtection="1">
      <alignment horizontal="center" vertical="center"/>
      <protection locked="0"/>
    </xf>
    <xf numFmtId="0" fontId="57" fillId="2" borderId="1" xfId="0" applyFont="1" applyFill="1" applyBorder="1" applyAlignment="1">
      <alignment horizontal="center"/>
    </xf>
    <xf numFmtId="0" fontId="57" fillId="2" borderId="1" xfId="0" applyFont="1" applyFill="1" applyBorder="1"/>
    <xf numFmtId="165" fontId="67" fillId="2" borderId="1" xfId="1" applyFont="1" applyFill="1" applyBorder="1" applyAlignment="1">
      <alignment horizontal="center"/>
    </xf>
    <xf numFmtId="0" fontId="57" fillId="0" borderId="1" xfId="0" applyFont="1" applyBorder="1"/>
    <xf numFmtId="165" fontId="67" fillId="0" borderId="1" xfId="1" applyFont="1" applyBorder="1" applyAlignment="1">
      <alignment horizontal="center"/>
    </xf>
    <xf numFmtId="0" fontId="57" fillId="20" borderId="10" xfId="0" applyFont="1" applyFill="1" applyBorder="1" applyAlignment="1">
      <alignment horizontal="center"/>
    </xf>
    <xf numFmtId="0" fontId="57" fillId="20" borderId="10" xfId="0" applyFont="1" applyFill="1" applyBorder="1"/>
    <xf numFmtId="165" fontId="67" fillId="20" borderId="10" xfId="1" applyFont="1" applyFill="1" applyBorder="1" applyAlignment="1">
      <alignment horizontal="center"/>
    </xf>
    <xf numFmtId="0" fontId="57" fillId="0" borderId="10" xfId="0" applyFont="1" applyBorder="1"/>
    <xf numFmtId="0" fontId="57" fillId="2" borderId="10" xfId="0" applyFont="1" applyFill="1" applyBorder="1" applyAlignment="1">
      <alignment horizontal="center"/>
    </xf>
    <xf numFmtId="0" fontId="57" fillId="2" borderId="10" xfId="0" applyFont="1" applyFill="1" applyBorder="1"/>
    <xf numFmtId="165" fontId="67" fillId="2" borderId="10" xfId="1" applyFont="1" applyFill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57" fillId="21" borderId="10" xfId="0" applyFont="1" applyFill="1" applyBorder="1"/>
    <xf numFmtId="0" fontId="57" fillId="21" borderId="10" xfId="0" applyFont="1" applyFill="1" applyBorder="1" applyAlignment="1">
      <alignment horizontal="center"/>
    </xf>
    <xf numFmtId="165" fontId="67" fillId="21" borderId="10" xfId="1" applyFont="1" applyFill="1" applyBorder="1" applyAlignment="1">
      <alignment horizontal="center"/>
    </xf>
    <xf numFmtId="0" fontId="57" fillId="9" borderId="10" xfId="0" applyFont="1" applyFill="1" applyBorder="1"/>
    <xf numFmtId="0" fontId="57" fillId="9" borderId="10" xfId="0" applyFont="1" applyFill="1" applyBorder="1" applyAlignment="1">
      <alignment horizontal="center"/>
    </xf>
    <xf numFmtId="165" fontId="67" fillId="9" borderId="10" xfId="1" applyFont="1" applyFill="1" applyBorder="1" applyAlignment="1">
      <alignment horizontal="center"/>
    </xf>
    <xf numFmtId="0" fontId="57" fillId="20" borderId="1" xfId="0" applyFont="1" applyFill="1" applyBorder="1" applyAlignment="1">
      <alignment horizontal="center"/>
    </xf>
    <xf numFmtId="0" fontId="57" fillId="20" borderId="1" xfId="0" applyFont="1" applyFill="1" applyBorder="1"/>
    <xf numFmtId="165" fontId="67" fillId="20" borderId="1" xfId="1" applyFont="1" applyFill="1" applyBorder="1" applyAlignment="1">
      <alignment horizontal="center"/>
    </xf>
    <xf numFmtId="0" fontId="57" fillId="0" borderId="1" xfId="0" applyFont="1" applyBorder="1" applyAlignment="1">
      <alignment wrapText="1"/>
    </xf>
    <xf numFmtId="0" fontId="57" fillId="21" borderId="1" xfId="0" applyFont="1" applyFill="1" applyBorder="1"/>
    <xf numFmtId="0" fontId="57" fillId="21" borderId="1" xfId="0" applyFont="1" applyFill="1" applyBorder="1" applyAlignment="1">
      <alignment horizontal="center"/>
    </xf>
    <xf numFmtId="165" fontId="67" fillId="21" borderId="1" xfId="1" applyFont="1" applyFill="1" applyBorder="1" applyAlignment="1">
      <alignment horizontal="center"/>
    </xf>
    <xf numFmtId="0" fontId="57" fillId="21" borderId="1" xfId="0" applyFont="1" applyFill="1" applyBorder="1" applyAlignment="1">
      <alignment wrapText="1"/>
    </xf>
    <xf numFmtId="0" fontId="57" fillId="2" borderId="1" xfId="0" applyFont="1" applyFill="1" applyBorder="1" applyAlignment="1">
      <alignment wrapText="1"/>
    </xf>
    <xf numFmtId="0" fontId="57" fillId="22" borderId="1" xfId="0" applyFont="1" applyFill="1" applyBorder="1" applyAlignment="1">
      <alignment wrapText="1"/>
    </xf>
    <xf numFmtId="0" fontId="57" fillId="22" borderId="1" xfId="0" applyFont="1" applyFill="1" applyBorder="1"/>
    <xf numFmtId="0" fontId="57" fillId="22" borderId="1" xfId="0" applyFont="1" applyFill="1" applyBorder="1" applyAlignment="1">
      <alignment horizontal="center"/>
    </xf>
    <xf numFmtId="165" fontId="67" fillId="22" borderId="1" xfId="1" applyFont="1" applyFill="1" applyBorder="1" applyAlignment="1">
      <alignment horizontal="center"/>
    </xf>
    <xf numFmtId="165" fontId="57" fillId="20" borderId="1" xfId="0" applyNumberFormat="1" applyFont="1" applyFill="1" applyBorder="1" applyAlignment="1">
      <alignment horizontal="center"/>
    </xf>
    <xf numFmtId="0" fontId="57" fillId="0" borderId="0" xfId="0" applyFont="1"/>
    <xf numFmtId="0" fontId="57" fillId="23" borderId="1" xfId="0" applyFont="1" applyFill="1" applyBorder="1"/>
    <xf numFmtId="0" fontId="57" fillId="23" borderId="1" xfId="0" applyFont="1" applyFill="1" applyBorder="1" applyAlignment="1">
      <alignment horizontal="center"/>
    </xf>
    <xf numFmtId="165" fontId="67" fillId="23" borderId="1" xfId="1" applyFont="1" applyFill="1" applyBorder="1" applyAlignment="1">
      <alignment horizontal="center"/>
    </xf>
    <xf numFmtId="0" fontId="57" fillId="9" borderId="1" xfId="0" applyFont="1" applyFill="1" applyBorder="1"/>
    <xf numFmtId="0" fontId="57" fillId="9" borderId="1" xfId="0" applyFont="1" applyFill="1" applyBorder="1" applyAlignment="1">
      <alignment horizontal="center"/>
    </xf>
    <xf numFmtId="165" fontId="67" fillId="9" borderId="1" xfId="1" applyFont="1" applyFill="1" applyBorder="1" applyAlignment="1">
      <alignment horizontal="center"/>
    </xf>
    <xf numFmtId="0" fontId="57" fillId="20" borderId="1" xfId="0" applyFont="1" applyFill="1" applyBorder="1" applyAlignment="1">
      <alignment horizontal="center" wrapText="1"/>
    </xf>
    <xf numFmtId="0" fontId="57" fillId="2" borderId="1" xfId="0" applyFont="1" applyFill="1" applyBorder="1" applyAlignment="1">
      <alignment horizontal="center" wrapText="1"/>
    </xf>
    <xf numFmtId="0" fontId="57" fillId="0" borderId="1" xfId="0" applyFont="1" applyBorder="1" applyAlignment="1">
      <alignment horizontal="center" wrapText="1"/>
    </xf>
    <xf numFmtId="0" fontId="57" fillId="9" borderId="1" xfId="0" applyFont="1" applyFill="1" applyBorder="1" applyAlignment="1">
      <alignment wrapText="1"/>
    </xf>
    <xf numFmtId="0" fontId="57" fillId="0" borderId="1" xfId="0" applyFont="1" applyBorder="1" applyAlignment="1">
      <alignment vertical="center" wrapText="1"/>
    </xf>
    <xf numFmtId="0" fontId="57" fillId="2" borderId="1" xfId="0" applyFont="1" applyFill="1" applyBorder="1" applyAlignment="1">
      <alignment horizontal="left" wrapText="1"/>
    </xf>
    <xf numFmtId="0" fontId="57" fillId="0" borderId="1" xfId="0" applyFont="1" applyBorder="1" applyAlignment="1">
      <alignment horizontal="left" vertical="center"/>
    </xf>
    <xf numFmtId="0" fontId="57" fillId="0" borderId="11" xfId="0" applyFont="1" applyBorder="1"/>
    <xf numFmtId="0" fontId="57" fillId="9" borderId="1" xfId="0" applyFont="1" applyFill="1" applyBorder="1" applyAlignment="1">
      <alignment horizontal="center" wrapText="1"/>
    </xf>
    <xf numFmtId="0" fontId="57" fillId="0" borderId="1" xfId="0" applyFont="1" applyBorder="1" applyAlignment="1">
      <alignment horizontal="left" vertical="top"/>
    </xf>
    <xf numFmtId="0" fontId="57" fillId="0" borderId="11" xfId="0" applyFont="1" applyBorder="1" applyAlignment="1">
      <alignment horizontal="left" vertical="center" wrapText="1"/>
    </xf>
    <xf numFmtId="0" fontId="57" fillId="20" borderId="11" xfId="0" applyFont="1" applyFill="1" applyBorder="1"/>
    <xf numFmtId="0" fontId="57" fillId="0" borderId="11" xfId="0" applyFont="1" applyBorder="1" applyAlignment="1">
      <alignment wrapText="1"/>
    </xf>
    <xf numFmtId="0" fontId="57" fillId="2" borderId="1" xfId="0" applyFont="1" applyFill="1" applyBorder="1" applyAlignment="1">
      <alignment horizontal="left"/>
    </xf>
    <xf numFmtId="0" fontId="57" fillId="0" borderId="11" xfId="0" applyFont="1" applyBorder="1" applyAlignment="1">
      <alignment vertical="center" wrapText="1"/>
    </xf>
    <xf numFmtId="0" fontId="57" fillId="0" borderId="1" xfId="0" applyFont="1" applyBorder="1" applyAlignment="1">
      <alignment vertical="center"/>
    </xf>
    <xf numFmtId="0" fontId="57" fillId="0" borderId="1" xfId="0" applyFont="1" applyBorder="1" applyAlignment="1">
      <alignment horizontal="center" vertical="center"/>
    </xf>
    <xf numFmtId="0" fontId="57" fillId="20" borderId="1" xfId="0" applyFont="1" applyFill="1" applyBorder="1" applyAlignment="1">
      <alignment vertical="center"/>
    </xf>
    <xf numFmtId="0" fontId="57" fillId="2" borderId="1" xfId="0" applyFont="1" applyFill="1" applyBorder="1" applyAlignment="1">
      <alignment horizontal="left" vertical="top"/>
    </xf>
    <xf numFmtId="0" fontId="57" fillId="2" borderId="1" xfId="0" applyFont="1" applyFill="1" applyBorder="1" applyAlignment="1">
      <alignment vertical="center"/>
    </xf>
    <xf numFmtId="16" fontId="68" fillId="20" borderId="1" xfId="0" applyNumberFormat="1" applyFont="1" applyFill="1" applyBorder="1" applyAlignment="1">
      <alignment horizontal="center"/>
    </xf>
    <xf numFmtId="16" fontId="68" fillId="2" borderId="1" xfId="0" applyNumberFormat="1" applyFont="1" applyFill="1" applyBorder="1" applyAlignment="1">
      <alignment horizontal="center"/>
    </xf>
    <xf numFmtId="0" fontId="57" fillId="2" borderId="1" xfId="0" applyFont="1" applyFill="1" applyBorder="1" applyAlignment="1">
      <alignment horizontal="left" vertical="center"/>
    </xf>
    <xf numFmtId="0" fontId="0" fillId="2" borderId="0" xfId="0" applyFill="1"/>
    <xf numFmtId="16" fontId="68" fillId="20" borderId="1" xfId="0" applyNumberFormat="1" applyFont="1" applyFill="1" applyBorder="1" applyAlignment="1">
      <alignment horizontal="center" wrapText="1"/>
    </xf>
    <xf numFmtId="165" fontId="67" fillId="0" borderId="1" xfId="1" applyFont="1" applyBorder="1" applyAlignment="1">
      <alignment horizontal="center" vertical="center"/>
    </xf>
    <xf numFmtId="0" fontId="57" fillId="0" borderId="11" xfId="0" applyFont="1" applyBorder="1" applyAlignment="1">
      <alignment vertical="center"/>
    </xf>
    <xf numFmtId="0" fontId="57" fillId="21" borderId="1" xfId="0" applyFont="1" applyFill="1" applyBorder="1" applyAlignment="1">
      <alignment horizontal="left" vertical="center"/>
    </xf>
    <xf numFmtId="0" fontId="57" fillId="21" borderId="1" xfId="0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left" vertical="center"/>
    </xf>
    <xf numFmtId="0" fontId="57" fillId="9" borderId="1" xfId="0" applyFont="1" applyFill="1" applyBorder="1" applyAlignment="1">
      <alignment horizontal="center" vertical="center"/>
    </xf>
    <xf numFmtId="0" fontId="57" fillId="20" borderId="1" xfId="0" applyFont="1" applyFill="1" applyBorder="1" applyAlignment="1">
      <alignment horizontal="left" vertical="center"/>
    </xf>
    <xf numFmtId="0" fontId="57" fillId="20" borderId="1" xfId="0" applyFont="1" applyFill="1" applyBorder="1" applyAlignment="1">
      <alignment horizontal="center" vertical="center"/>
    </xf>
    <xf numFmtId="0" fontId="57" fillId="25" borderId="11" xfId="0" applyFont="1" applyFill="1" applyBorder="1" applyAlignment="1">
      <alignment wrapText="1"/>
    </xf>
    <xf numFmtId="165" fontId="68" fillId="2" borderId="1" xfId="1" applyFont="1" applyFill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0" xfId="0" applyFont="1" applyFill="1"/>
    <xf numFmtId="0" fontId="57" fillId="25" borderId="11" xfId="0" applyFont="1" applyFill="1" applyBorder="1"/>
    <xf numFmtId="0" fontId="57" fillId="0" borderId="1" xfId="0" quotePrefix="1" applyFont="1" applyBorder="1"/>
    <xf numFmtId="11" fontId="57" fillId="0" borderId="1" xfId="0" applyNumberFormat="1" applyFont="1" applyBorder="1" applyAlignment="1">
      <alignment vertical="center"/>
    </xf>
    <xf numFmtId="11" fontId="57" fillId="0" borderId="1" xfId="0" applyNumberFormat="1" applyFont="1" applyBorder="1" applyAlignment="1">
      <alignment horizontal="center" vertical="center"/>
    </xf>
    <xf numFmtId="0" fontId="57" fillId="21" borderId="1" xfId="0" applyFont="1" applyFill="1" applyBorder="1" applyAlignment="1">
      <alignment vertical="center"/>
    </xf>
    <xf numFmtId="0" fontId="69" fillId="0" borderId="1" xfId="0" applyFont="1" applyBorder="1" applyAlignment="1">
      <alignment horizontal="center" vertical="center"/>
    </xf>
    <xf numFmtId="0" fontId="57" fillId="0" borderId="11" xfId="0" applyFont="1" applyBorder="1" applyAlignment="1">
      <alignment horizontal="left" vertical="center"/>
    </xf>
    <xf numFmtId="0" fontId="57" fillId="21" borderId="11" xfId="0" applyFont="1" applyFill="1" applyBorder="1"/>
    <xf numFmtId="0" fontId="70" fillId="0" borderId="0" xfId="6"/>
    <xf numFmtId="0" fontId="57" fillId="9" borderId="11" xfId="0" applyFont="1" applyFill="1" applyBorder="1"/>
    <xf numFmtId="0" fontId="57" fillId="23" borderId="11" xfId="0" applyFont="1" applyFill="1" applyBorder="1"/>
    <xf numFmtId="0" fontId="57" fillId="23" borderId="1" xfId="0" applyFont="1" applyFill="1" applyBorder="1" applyAlignment="1">
      <alignment wrapText="1"/>
    </xf>
    <xf numFmtId="0" fontId="57" fillId="23" borderId="1" xfId="0" applyFont="1" applyFill="1" applyBorder="1" applyAlignment="1">
      <alignment horizontal="center" wrapText="1"/>
    </xf>
    <xf numFmtId="165" fontId="67" fillId="21" borderId="1" xfId="1" applyFont="1" applyFill="1" applyBorder="1" applyAlignment="1">
      <alignment horizontal="center" vertical="center"/>
    </xf>
    <xf numFmtId="165" fontId="67" fillId="20" borderId="1" xfId="1" applyFont="1" applyFill="1" applyBorder="1" applyAlignment="1">
      <alignment horizontal="center" vertical="center"/>
    </xf>
    <xf numFmtId="0" fontId="71" fillId="20" borderId="1" xfId="6" applyFont="1" applyFill="1" applyBorder="1" applyAlignment="1">
      <alignment horizontal="left" vertical="center"/>
    </xf>
    <xf numFmtId="0" fontId="71" fillId="21" borderId="1" xfId="6" applyFont="1" applyFill="1" applyBorder="1" applyAlignment="1">
      <alignment horizontal="left" vertical="center"/>
    </xf>
    <xf numFmtId="0" fontId="71" fillId="0" borderId="1" xfId="6" applyFont="1" applyBorder="1" applyAlignment="1">
      <alignment horizontal="left" vertical="center"/>
    </xf>
    <xf numFmtId="0" fontId="71" fillId="0" borderId="1" xfId="6" applyFont="1" applyBorder="1"/>
    <xf numFmtId="16" fontId="57" fillId="0" borderId="1" xfId="0" applyNumberFormat="1" applyFont="1" applyBorder="1" applyAlignment="1">
      <alignment horizontal="center"/>
    </xf>
    <xf numFmtId="16" fontId="57" fillId="0" borderId="1" xfId="0" applyNumberFormat="1" applyFont="1" applyBorder="1"/>
    <xf numFmtId="0" fontId="66" fillId="0" borderId="1" xfId="0" applyFont="1" applyBorder="1" applyProtection="1">
      <protection locked="0"/>
    </xf>
    <xf numFmtId="16" fontId="57" fillId="0" borderId="1" xfId="0" applyNumberFormat="1" applyFont="1" applyBorder="1" applyAlignment="1">
      <alignment horizontal="right" vertical="center" wrapText="1"/>
    </xf>
    <xf numFmtId="0" fontId="72" fillId="0" borderId="1" xfId="0" applyFont="1" applyBorder="1" applyAlignment="1">
      <alignment horizontal="center"/>
    </xf>
    <xf numFmtId="0" fontId="69" fillId="0" borderId="1" xfId="0" applyFont="1" applyBorder="1"/>
    <xf numFmtId="0" fontId="66" fillId="0" borderId="0" xfId="0" applyFont="1" applyProtection="1">
      <protection locked="0"/>
    </xf>
    <xf numFmtId="0" fontId="71" fillId="0" borderId="1" xfId="6" applyFont="1" applyFill="1" applyBorder="1" applyAlignment="1">
      <alignment horizontal="left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vertical="center"/>
    </xf>
    <xf numFmtId="0" fontId="66" fillId="0" borderId="1" xfId="0" applyFont="1" applyBorder="1" applyAlignment="1">
      <alignment horizontal="left" vertical="center"/>
    </xf>
    <xf numFmtId="0" fontId="73" fillId="0" borderId="1" xfId="6" applyFont="1" applyFill="1" applyBorder="1" applyAlignment="1">
      <alignment horizontal="left" vertical="center"/>
    </xf>
    <xf numFmtId="0" fontId="71" fillId="0" borderId="0" xfId="6" applyFont="1"/>
  </cellXfs>
  <cellStyles count="7">
    <cellStyle name="Hyperlink" xfId="6" builtinId="8"/>
    <cellStyle name="Hyperlink 2" xfId="2" xr:uid="{7AF0DCDB-0934-440B-9971-5AFED7B08506}"/>
    <cellStyle name="Normal" xfId="0" builtinId="0"/>
    <cellStyle name="Normal 2" xfId="1" xr:uid="{26D54A80-6AEF-4AFA-91FA-3B9E6E25AD6A}"/>
    <cellStyle name="Normal 3" xfId="5" xr:uid="{64F11DC3-5242-4594-B414-BBA4A5003C6F}"/>
    <cellStyle name="Normal 6" xfId="3" xr:uid="{6A2E0981-1DD9-4F2C-AA43-4C3A1B64FD75}"/>
    <cellStyle name="Normal 7" xfId="4" xr:uid="{DE57424D-2E2A-4977-9827-6E3B6E69BF52}"/>
  </cellStyles>
  <dxfs count="2"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file:///\\rtdnas2\oe\Parts%20Shipped.xls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5344</xdr:colOff>
      <xdr:row>1</xdr:row>
      <xdr:rowOff>118406</xdr:rowOff>
    </xdr:from>
    <xdr:to>
      <xdr:col>12</xdr:col>
      <xdr:colOff>607920</xdr:colOff>
      <xdr:row>1</xdr:row>
      <xdr:rowOff>575606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462EB7-1E93-4DAF-B762-51A8743189B9}"/>
            </a:ext>
          </a:extLst>
        </xdr:cNvPr>
        <xdr:cNvSpPr/>
      </xdr:nvSpPr>
      <xdr:spPr bwMode="auto">
        <a:xfrm>
          <a:off x="11930644" y="756581"/>
          <a:ext cx="2212301" cy="457200"/>
        </a:xfrm>
        <a:prstGeom prst="rect">
          <a:avLst/>
        </a:prstGeom>
        <a:solidFill>
          <a:schemeClr val="bg1">
            <a:lumMod val="9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200">
              <a:latin typeface="Arial Black" pitchFamily="34" charset="0"/>
            </a:rPr>
            <a:t>Link To Parts Shipped1 </a:t>
          </a:r>
        </a:p>
      </xdr:txBody>
    </xdr:sp>
    <xdr:clientData/>
  </xdr:twoCellAnchor>
  <xdr:twoCellAnchor editAs="absolute">
    <xdr:from>
      <xdr:col>12</xdr:col>
      <xdr:colOff>689808</xdr:colOff>
      <xdr:row>1</xdr:row>
      <xdr:rowOff>125392</xdr:rowOff>
    </xdr:from>
    <xdr:to>
      <xdr:col>15</xdr:col>
      <xdr:colOff>946996</xdr:colOff>
      <xdr:row>1</xdr:row>
      <xdr:rowOff>582592</xdr:rowOff>
    </xdr:to>
    <xdr:sp macro="[1]!stamp.Stamp" textlink="">
      <xdr:nvSpPr>
        <xdr:cNvPr id="3" name="Rectangle 2">
          <a:extLst>
            <a:ext uri="{FF2B5EF4-FFF2-40B4-BE49-F238E27FC236}">
              <a16:creationId xmlns:a16="http://schemas.microsoft.com/office/drawing/2014/main" id="{97BC9BAC-CCE9-4434-9613-3038CA1B2C8B}"/>
            </a:ext>
          </a:extLst>
        </xdr:cNvPr>
        <xdr:cNvSpPr/>
      </xdr:nvSpPr>
      <xdr:spPr bwMode="auto">
        <a:xfrm>
          <a:off x="14224833" y="763567"/>
          <a:ext cx="2219338" cy="457200"/>
        </a:xfrm>
        <a:prstGeom prst="rect">
          <a:avLst/>
        </a:prstGeom>
        <a:solidFill>
          <a:schemeClr val="bg1">
            <a:lumMod val="9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200" baseline="0">
              <a:latin typeface="Arial Black" pitchFamily="34" charset="0"/>
            </a:rPr>
            <a:t>Print Stamps</a:t>
          </a:r>
          <a:endParaRPr lang="en-US" sz="1200">
            <a:latin typeface="Arial Black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200025</xdr:colOff>
          <xdr:row>0</xdr:row>
          <xdr:rowOff>257175</xdr:rowOff>
        </xdr:from>
        <xdr:to>
          <xdr:col>5</xdr:col>
          <xdr:colOff>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MP On 11"x17"</a:t>
              </a:r>
            </a:p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Highlight P# to 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695325</xdr:colOff>
          <xdr:row>0</xdr:row>
          <xdr:rowOff>257175</xdr:rowOff>
        </xdr:from>
        <xdr:to>
          <xdr:col>9</xdr:col>
          <xdr:colOff>1990725</xdr:colOff>
          <xdr:row>2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Create A New JOB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0</xdr:colOff>
          <xdr:row>0</xdr:row>
          <xdr:rowOff>257175</xdr:rowOff>
        </xdr:from>
        <xdr:to>
          <xdr:col>7</xdr:col>
          <xdr:colOff>600075</xdr:colOff>
          <xdr:row>2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MP On 8.5"x11"</a:t>
              </a:r>
            </a:p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Highlight P# to 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95250</xdr:colOff>
          <xdr:row>0</xdr:row>
          <xdr:rowOff>276225</xdr:rowOff>
        </xdr:from>
        <xdr:to>
          <xdr:col>3</xdr:col>
          <xdr:colOff>0</xdr:colOff>
          <xdr:row>1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Check Existing MP with</a:t>
              </a:r>
            </a:p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Part Number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2257425</xdr:colOff>
          <xdr:row>0</xdr:row>
          <xdr:rowOff>257175</xdr:rowOff>
        </xdr:from>
        <xdr:to>
          <xdr:col>11</xdr:col>
          <xdr:colOff>0</xdr:colOff>
          <xdr:row>2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Add Comments </a:t>
              </a:r>
            </a:p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 Active Cell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200025</xdr:colOff>
          <xdr:row>1</xdr:row>
          <xdr:rowOff>200025</xdr:rowOff>
        </xdr:from>
        <xdr:to>
          <xdr:col>5</xdr:col>
          <xdr:colOff>0</xdr:colOff>
          <xdr:row>2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MHI</a:t>
              </a:r>
            </a:p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BUSHINGS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0</xdr:colOff>
          <xdr:row>1</xdr:row>
          <xdr:rowOff>200025</xdr:rowOff>
        </xdr:from>
        <xdr:to>
          <xdr:col>7</xdr:col>
          <xdr:colOff>600075</xdr:colOff>
          <xdr:row>2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Past DUE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95250</xdr:colOff>
          <xdr:row>1</xdr:row>
          <xdr:rowOff>200025</xdr:rowOff>
        </xdr:from>
        <xdr:to>
          <xdr:col>3</xdr:col>
          <xdr:colOff>0</xdr:colOff>
          <xdr:row>2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 Labels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695325</xdr:colOff>
          <xdr:row>1</xdr:row>
          <xdr:rowOff>180975</xdr:rowOff>
        </xdr:from>
        <xdr:to>
          <xdr:col>9</xdr:col>
          <xdr:colOff>1990725</xdr:colOff>
          <xdr:row>2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Kinectrics</a:t>
              </a:r>
            </a:p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Order Entry Export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0</xdr:colOff>
          <xdr:row>0</xdr:row>
          <xdr:rowOff>247650</xdr:rowOff>
        </xdr:from>
        <xdr:to>
          <xdr:col>12</xdr:col>
          <xdr:colOff>628650</xdr:colOff>
          <xdr:row>2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Fix Listed Problems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2276475</xdr:colOff>
          <xdr:row>1</xdr:row>
          <xdr:rowOff>180975</xdr:rowOff>
        </xdr:from>
        <xdr:to>
          <xdr:col>11</xdr:col>
          <xdr:colOff>0</xdr:colOff>
          <xdr:row>2</xdr:row>
          <xdr:rowOff>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CA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Remove Shipped Parts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tdnas2\OE\Order%20Entry%20Log.xlsm" TargetMode="External"/><Relationship Id="rId1" Type="http://schemas.openxmlformats.org/officeDocument/2006/relationships/externalLinkPath" Target="Order%20Entry%20Lo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LIVERY SCHEDULE"/>
      <sheetName val="Input Form"/>
      <sheetName val="Report"/>
      <sheetName val="Report Old"/>
      <sheetName val="Customers"/>
      <sheetName val="BUSHINGS"/>
      <sheetName val="PastDUE"/>
      <sheetName val="Kinectrics"/>
      <sheetName val="Cal"/>
      <sheetName val="Temp"/>
      <sheetName val="CustomersBK"/>
      <sheetName val="Sheet1"/>
      <sheetName val="Sheet2"/>
      <sheetName val="Order Entry Log"/>
    </sheetNames>
    <definedNames>
      <definedName name="AddComment"/>
      <definedName name="cmdPrint_Click"/>
      <definedName name="Delete_Crossed_Out_Shipping"/>
      <definedName name="FixButton.FixButton"/>
      <definedName name="KinectrisData"/>
      <definedName name="LookForFile"/>
      <definedName name="MPDataXfer"/>
      <definedName name="MPDataXferL"/>
      <definedName name="MPDataXferLMHI"/>
      <definedName name="OpenInputForm"/>
      <definedName name="PastDUE"/>
      <definedName name="stamp.Stamp"/>
    </definedNames>
    <sheetDataSet>
      <sheetData sheetId="0"/>
      <sheetData sheetId="1"/>
      <sheetData sheetId="2"/>
      <sheetData sheetId="3"/>
      <sheetData sheetId="4">
        <row r="1">
          <cell r="A1" t="str">
            <v>AB Sciex</v>
          </cell>
        </row>
        <row r="2">
          <cell r="A2" t="str">
            <v>ABI Ltd</v>
          </cell>
        </row>
        <row r="3">
          <cell r="A3" t="str">
            <v>Aecon Ind</v>
          </cell>
        </row>
        <row r="4">
          <cell r="A4" t="str">
            <v>Aecon Utilities</v>
          </cell>
        </row>
        <row r="5">
          <cell r="A5" t="str">
            <v>Ampson</v>
          </cell>
        </row>
        <row r="6">
          <cell r="A6" t="str">
            <v>Aero-Structural</v>
          </cell>
        </row>
        <row r="7">
          <cell r="A7" t="str">
            <v>Atkins Realis</v>
          </cell>
        </row>
        <row r="8">
          <cell r="A8" t="str">
            <v>ATS-Corp</v>
          </cell>
        </row>
        <row r="9">
          <cell r="A9" t="str">
            <v>ATS Life Science</v>
          </cell>
        </row>
        <row r="10">
          <cell r="A10" t="str">
            <v>ATS Test</v>
          </cell>
        </row>
        <row r="11">
          <cell r="A11" t="str">
            <v>BC Hydro</v>
          </cell>
        </row>
        <row r="12">
          <cell r="A12" t="str">
            <v>Blenheim</v>
          </cell>
        </row>
        <row r="13">
          <cell r="A13" t="str">
            <v>Bombardier</v>
          </cell>
        </row>
        <row r="14">
          <cell r="A14" t="str">
            <v>Buffalo</v>
          </cell>
        </row>
        <row r="15">
          <cell r="A15" t="str">
            <v>BWXT(GE)</v>
          </cell>
        </row>
        <row r="16">
          <cell r="A16" t="str">
            <v>BWXT Med</v>
          </cell>
        </row>
        <row r="17">
          <cell r="A17" t="str">
            <v>BWXT Prec (Laker)</v>
          </cell>
        </row>
        <row r="18">
          <cell r="A18" t="str">
            <v>CAC 3000</v>
          </cell>
        </row>
        <row r="19">
          <cell r="A19" t="str">
            <v>Candu</v>
          </cell>
        </row>
        <row r="20">
          <cell r="A20" t="str">
            <v>CH2M</v>
          </cell>
        </row>
        <row r="21">
          <cell r="A21" t="str">
            <v>ComEnCo</v>
          </cell>
        </row>
        <row r="22">
          <cell r="A22" t="str">
            <v>Creation T.</v>
          </cell>
        </row>
        <row r="23">
          <cell r="A23" t="str">
            <v>DieMax</v>
          </cell>
        </row>
        <row r="24">
          <cell r="A24" t="str">
            <v>DJ Ind.</v>
          </cell>
        </row>
        <row r="25">
          <cell r="A25" t="str">
            <v>DTE</v>
          </cell>
        </row>
        <row r="26">
          <cell r="A26" t="str">
            <v>Eaton</v>
          </cell>
        </row>
        <row r="27">
          <cell r="A27" t="str">
            <v xml:space="preserve">Eclipse </v>
          </cell>
        </row>
        <row r="28">
          <cell r="A28" t="str">
            <v>EHV Power</v>
          </cell>
        </row>
        <row r="29">
          <cell r="A29" t="str">
            <v>Gosco</v>
          </cell>
        </row>
        <row r="30">
          <cell r="A30" t="str">
            <v>Gullco</v>
          </cell>
        </row>
        <row r="31">
          <cell r="A31" t="str">
            <v>Haliburton</v>
          </cell>
        </row>
        <row r="32">
          <cell r="A32" t="str">
            <v>Hercules SLR</v>
          </cell>
        </row>
        <row r="33">
          <cell r="A33" t="str">
            <v>Hess M/C</v>
          </cell>
        </row>
        <row r="34">
          <cell r="A34" t="str">
            <v>HIFE Systems</v>
          </cell>
        </row>
        <row r="35">
          <cell r="A35" t="str">
            <v>Husky</v>
          </cell>
        </row>
        <row r="36">
          <cell r="A36" t="str">
            <v>Husky-Mold</v>
          </cell>
        </row>
        <row r="37">
          <cell r="A37" t="str">
            <v>Hunstville</v>
          </cell>
        </row>
        <row r="38">
          <cell r="A38" t="str">
            <v>HV Grid</v>
          </cell>
        </row>
        <row r="39">
          <cell r="A39" t="str">
            <v>Hybrid</v>
          </cell>
        </row>
        <row r="40">
          <cell r="A40" t="str">
            <v>Hydac</v>
          </cell>
        </row>
        <row r="41">
          <cell r="A41" t="str">
            <v>Hydro One</v>
          </cell>
        </row>
        <row r="42">
          <cell r="A42" t="str">
            <v>Inmotive</v>
          </cell>
        </row>
        <row r="43">
          <cell r="A43" t="str">
            <v>Kinectrics</v>
          </cell>
        </row>
        <row r="44">
          <cell r="A44" t="str">
            <v>Kipling</v>
          </cell>
        </row>
        <row r="45">
          <cell r="A45" t="str">
            <v>Liburdi</v>
          </cell>
        </row>
        <row r="46">
          <cell r="A46" t="str">
            <v>Lumicision</v>
          </cell>
        </row>
        <row r="47">
          <cell r="A47" t="str">
            <v>Lux</v>
          </cell>
        </row>
        <row r="48">
          <cell r="A48" t="str">
            <v>M.D.A</v>
          </cell>
        </row>
        <row r="49">
          <cell r="A49" t="str">
            <v>MHI-Canada</v>
          </cell>
        </row>
        <row r="50">
          <cell r="A50" t="str">
            <v>MHI-Nagoya</v>
          </cell>
        </row>
        <row r="51">
          <cell r="A51" t="str">
            <v>Motion Ind</v>
          </cell>
        </row>
        <row r="52">
          <cell r="A52" t="str">
            <v>Nuclear Waste Mgnt</v>
          </cell>
        </row>
        <row r="53">
          <cell r="A53" t="str">
            <v>Pet All Mfg</v>
          </cell>
        </row>
        <row r="54">
          <cell r="A54" t="str">
            <v>Piramal</v>
          </cell>
        </row>
        <row r="55">
          <cell r="A55" t="str">
            <v>Polyson</v>
          </cell>
        </row>
        <row r="56">
          <cell r="A56" t="str">
            <v>Promation</v>
          </cell>
        </row>
        <row r="57">
          <cell r="A57" t="str">
            <v>Protenergy</v>
          </cell>
        </row>
        <row r="58">
          <cell r="A58" t="str">
            <v>Protomek</v>
          </cell>
        </row>
        <row r="59">
          <cell r="A59" t="str">
            <v>Qvella</v>
          </cell>
        </row>
        <row r="60">
          <cell r="A60" t="str">
            <v>Rexroth</v>
          </cell>
        </row>
        <row r="61">
          <cell r="A61" t="str">
            <v>Safran (Messier)</v>
          </cell>
        </row>
        <row r="62">
          <cell r="A62" t="str">
            <v>Safran (US)</v>
          </cell>
        </row>
        <row r="63">
          <cell r="A63" t="str">
            <v>Shanghai</v>
          </cell>
        </row>
        <row r="64">
          <cell r="A64" t="str">
            <v>SICK</v>
          </cell>
        </row>
        <row r="65">
          <cell r="A65" t="str">
            <v>SNC-Lavalin</v>
          </cell>
        </row>
        <row r="66">
          <cell r="A66" t="str">
            <v>Superwake</v>
          </cell>
        </row>
        <row r="67">
          <cell r="A67" t="str">
            <v>The M/C-Centre</v>
          </cell>
        </row>
        <row r="68">
          <cell r="A68" t="str">
            <v>Tesla (Hibar)</v>
          </cell>
        </row>
        <row r="69">
          <cell r="A69" t="str">
            <v>Tremco</v>
          </cell>
        </row>
        <row r="70">
          <cell r="A70" t="str">
            <v>Truck Wash</v>
          </cell>
        </row>
        <row r="71">
          <cell r="A71" t="str">
            <v>TTC</v>
          </cell>
        </row>
        <row r="72">
          <cell r="A72" t="str">
            <v>TSC Inc</v>
          </cell>
        </row>
        <row r="73">
          <cell r="A73" t="str">
            <v>Twin River</v>
          </cell>
        </row>
        <row r="74">
          <cell r="A74" t="str">
            <v>Van Rob</v>
          </cell>
        </row>
        <row r="75">
          <cell r="A75" t="str">
            <v>VNS-Federal</v>
          </cell>
        </row>
        <row r="76">
          <cell r="A76" t="str">
            <v>Westinghouse</v>
          </cell>
        </row>
        <row r="77">
          <cell r="A77" t="str">
            <v>Whitby</v>
          </cell>
        </row>
        <row r="78">
          <cell r="A78" t="str">
            <v>Woodbridge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\\rtdnas2\Drawings\A.E.C.L%20(CANDU)\RT79-87630-PN-R011%20%20VRS%20PT%20LUNCHBOX%20FOR%20C1R\RT-CEPC-25-0271T\rt-87630-71622-1000-1-ga-e.pdf" TargetMode="External"/><Relationship Id="rId18" Type="http://schemas.openxmlformats.org/officeDocument/2006/relationships/hyperlink" Target="file:///\\rtdnas2\Drawings\A.E.C.L%20(CANDU)\RT79-87630-PN-R011%20%20VRS%20PT%20LUNCHBOX%20FOR%20C1R\RT-CEPC-25-0271T\rt-87630-71622-1005-1-dd-b.pdf" TargetMode="External"/><Relationship Id="rId26" Type="http://schemas.openxmlformats.org/officeDocument/2006/relationships/hyperlink" Target="file:///\\rtdnas2\Drawings\A.E.C.L%20(CANDU)\RT79-87630-PN-R011%20%20VRS%20PT%20LUNCHBOX%20FOR%20C1R\RT-CEPC-25-0271T\rt-87630-71622-1013-1-dd-d.pdf" TargetMode="External"/><Relationship Id="rId39" Type="http://schemas.openxmlformats.org/officeDocument/2006/relationships/hyperlink" Target="file:///\\rtdnas2\Drawings\A.E.C.L%20(CANDU)\RT79-87630-PN-R011%20%20VRS%20PT%20LUNCHBOX%20FOR%20C1R\RT-CEPC-25-0271T\rt-87630-71522-1011-1-dd-b.pdf" TargetMode="External"/><Relationship Id="rId21" Type="http://schemas.openxmlformats.org/officeDocument/2006/relationships/hyperlink" Target="file:///\\rtdnas2\Drawings\A.E.C.L%20(CANDU)\RT79-87630-PN-R011%20%20VRS%20PT%20LUNCHBOX%20FOR%20C1R\RT-CEPC-25-0271T\rt-87630-71622-1008-1-dd-b.pdf" TargetMode="External"/><Relationship Id="rId34" Type="http://schemas.openxmlformats.org/officeDocument/2006/relationships/hyperlink" Target="file:///\\rtdnas2\Drawings\A.E.C.L%20(CANDU)\RT79-87630-PN-R011%20%20VRS%20PT%20LUNCHBOX%20FOR%20C1R\RT-CEPC-25-0271T\rt-87630-71522-1006-1-dd-b.pdf" TargetMode="External"/><Relationship Id="rId42" Type="http://schemas.openxmlformats.org/officeDocument/2006/relationships/hyperlink" Target="file:///\\rtdnas2\Drawings\A.E.C.L%20(CANDU)\RT79-87630-PN-R011%20%20VRS%20PT%20LUNCHBOX%20FOR%20C1R\RT-CEPC-25-0271T\rt-87630-71521-1011-1-dd-d.pdf" TargetMode="External"/><Relationship Id="rId47" Type="http://schemas.openxmlformats.org/officeDocument/2006/relationships/hyperlink" Target="file:///\\rtdnas2\Drawings\A.E.C.L%20(CANDU)\RT79-87630-PN-R011%20%20VRS%20PT%20LUNCHBOX%20FOR%20C1R\RT-CEPC-25-0271T\rt-87630-71521-1016-1-dd-d.pdf" TargetMode="External"/><Relationship Id="rId50" Type="http://schemas.openxmlformats.org/officeDocument/2006/relationships/hyperlink" Target="file:///\\rtdnas2\Drawings\A.E.C.L%20(CANDU)\RT79-87630-PN-R011%20%20VRS%20PT%20LUNCHBOX%20FOR%20C1R\RT-CEPC-25-0271T\rt-87630-71521-1019-1-dd-d.pdf" TargetMode="External"/><Relationship Id="rId55" Type="http://schemas.openxmlformats.org/officeDocument/2006/relationships/hyperlink" Target="file:///\\rtdnas2\Drawings\A.E.C.L%20(CANDU)\RT79-87630-PN-R011%20%20VRS%20PT%20LUNCHBOX%20FOR%20C1R\RT-CEPC-25-0271T\rt-87630-71521-1025-1-dd-b.pdf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file:///\\rtdnas2\Drawings\ATS%20(Automation%20Tooling%20Systems)\RFQ%202474\ESF_NK38-DRAW-31935-10536-0001_NK38-DRAW-31935-10536-0000-000-003.pdf" TargetMode="External"/><Relationship Id="rId2" Type="http://schemas.openxmlformats.org/officeDocument/2006/relationships/hyperlink" Target="file:///\\rtdnas2\Drawings\A.E.C.L%20(CANDU)\RT79-87630-PN-R011%20%20VRS%20PT%20LUNCHBOX%20FOR%20C1R\RT-CEPC-25-0271T\rt-87630-71521-1000-1-ga-e.pdf" TargetMode="External"/><Relationship Id="rId16" Type="http://schemas.openxmlformats.org/officeDocument/2006/relationships/hyperlink" Target="file:///\\rtdnas2\Drawings\A.E.C.L%20(CANDU)\RT79-87630-PN-R011%20%20VRS%20PT%20LUNCHBOX%20FOR%20C1R\RT-CEPC-25-0271T\rt-87630-71622-1003-1-dd-d.pdf" TargetMode="External"/><Relationship Id="rId29" Type="http://schemas.openxmlformats.org/officeDocument/2006/relationships/hyperlink" Target="file:///\\rtdnas2\Drawings\A.E.C.L%20(CANDU)\RT79-87630-PN-R011%20%20VRS%20PT%20LUNCHBOX%20FOR%20C1R\RT-CEPC-25-0271T\rt-87630-71522-1000-1-ga-e.pdf" TargetMode="External"/><Relationship Id="rId11" Type="http://schemas.openxmlformats.org/officeDocument/2006/relationships/hyperlink" Target="file:///\\rtdnas2\Drawings\A.E.C.L%20(CANDU)\RT98-87290-RFP-R004%20-%20MATERIAL%20HANDLING%20CARTS%20-10,000LBS%20FOR%20QINSHAN\rt-87290-7002-1-ga-d.pdf" TargetMode="External"/><Relationship Id="rId24" Type="http://schemas.openxmlformats.org/officeDocument/2006/relationships/hyperlink" Target="file:///\\rtdnas2\Drawings\A.E.C.L%20(CANDU)\RT79-87630-PN-R011%20%20VRS%20PT%20LUNCHBOX%20FOR%20C1R\RT-CEPC-25-0271T\rt-87630-71622-1011-1-dd-b.pdf" TargetMode="External"/><Relationship Id="rId32" Type="http://schemas.openxmlformats.org/officeDocument/2006/relationships/hyperlink" Target="file:///\\rtdnas2\Drawings\A.E.C.L%20(CANDU)\RT79-87630-PN-R011%20%20VRS%20PT%20LUNCHBOX%20FOR%20C1R\RT-CEPC-25-0271T\rt-87630-71522-1004-1-dd-b.pdf" TargetMode="External"/><Relationship Id="rId37" Type="http://schemas.openxmlformats.org/officeDocument/2006/relationships/hyperlink" Target="file:///\\rtdnas2\Drawings\A.E.C.L%20(CANDU)\RT79-87630-PN-R011%20%20VRS%20PT%20LUNCHBOX%20FOR%20C1R\RT-CEPC-25-0271T\rt-87630-71522-1009-1-dd-b.pdf" TargetMode="External"/><Relationship Id="rId40" Type="http://schemas.openxmlformats.org/officeDocument/2006/relationships/hyperlink" Target="file:///\\rtdnas2\Drawings\A.E.C.L%20(CANDU)\RT79-87630-PN-R011%20%20VRS%20PT%20LUNCHBOX%20FOR%20C1R\RT-CEPC-25-0271T\rt-87630-71522-1012-1-dd-b.pdf" TargetMode="External"/><Relationship Id="rId45" Type="http://schemas.openxmlformats.org/officeDocument/2006/relationships/hyperlink" Target="file:///\\rtdnas2\Drawings\A.E.C.L%20(CANDU)\RT79-87630-PN-R011%20%20VRS%20PT%20LUNCHBOX%20FOR%20C1R\RT-CEPC-25-0271T\rt-87630-71521-1014-1-dd-b.pdf" TargetMode="External"/><Relationship Id="rId53" Type="http://schemas.openxmlformats.org/officeDocument/2006/relationships/hyperlink" Target="file:///\\rtdnas2\Drawings\A.E.C.L%20(CANDU)\RT79-87630-PN-R011%20%20VRS%20PT%20LUNCHBOX%20FOR%20C1R\RT-CEPC-25-0271T\rt-87630-71521-1023-1-dd-b.pdf" TargetMode="External"/><Relationship Id="rId58" Type="http://schemas.openxmlformats.org/officeDocument/2006/relationships/hyperlink" Target="file:///\\rtdnas2\Drawings\A.E.C.L%20(CANDU)\RT79-87630-PN-R011%20%20VRS%20PT%20LUNCHBOX%20FOR%20C1R\RT-CEPC-25-0271T\rt-87630-71521-1031-1-dd-d.pdf" TargetMode="External"/><Relationship Id="rId5" Type="http://schemas.openxmlformats.org/officeDocument/2006/relationships/hyperlink" Target="file:///\\rtdnas2\Drawings\A.E.C.L%20(CANDU)\RT79-87630-PN-R011%20%20VRS%20PT%20LUNCHBOX%20FOR%20C1R\RT-CEPC-25-0271T\rt-87630-71521-1003-1-dd-d.pdf" TargetMode="External"/><Relationship Id="rId61" Type="http://schemas.openxmlformats.org/officeDocument/2006/relationships/hyperlink" Target="file:///\\rtdnas2\Drawings\A.E.C.L%20(CANDU)\RT79-87630-PN-R011%20%20VRS%20PT%20LUNCHBOX%20FOR%20C1R\RT-CEPC-25-0271T\rt-87630-71521-1037-1-dd-b.pdf" TargetMode="External"/><Relationship Id="rId19" Type="http://schemas.openxmlformats.org/officeDocument/2006/relationships/hyperlink" Target="file:///\\rtdnas2\Drawings\A.E.C.L%20(CANDU)\RT79-87630-PN-R011%20%20VRS%20PT%20LUNCHBOX%20FOR%20C1R\RT-CEPC-25-0271T\rt-87630-71622-1006-1-dd-b.pdf" TargetMode="External"/><Relationship Id="rId14" Type="http://schemas.openxmlformats.org/officeDocument/2006/relationships/hyperlink" Target="file:///\\rtdnas2\Drawings\A.E.C.L%20(CANDU)\RT79-87630-PN-R011%20%20VRS%20PT%20LUNCHBOX%20FOR%20C1R\RT-CEPC-25-0271T\rt-87630-71622-1001-1-dd-d.pdf" TargetMode="External"/><Relationship Id="rId22" Type="http://schemas.openxmlformats.org/officeDocument/2006/relationships/hyperlink" Target="file:///\\rtdnas2\Drawings\A.E.C.L%20(CANDU)\RT79-87630-PN-R011%20%20VRS%20PT%20LUNCHBOX%20FOR%20C1R\RT-CEPC-25-0271T\rt-87630-71622-1009-1-dd-b%20.pdf" TargetMode="External"/><Relationship Id="rId27" Type="http://schemas.openxmlformats.org/officeDocument/2006/relationships/hyperlink" Target="file:///\\rtdnas2\Drawings\A.E.C.L%20(CANDU)\RT79-87630-PN-R011%20%20VRS%20PT%20LUNCHBOX%20FOR%20C1R\RT-CEPC-25-0271T\rt-87630-71622-1014-1-dd-d.pdf" TargetMode="External"/><Relationship Id="rId30" Type="http://schemas.openxmlformats.org/officeDocument/2006/relationships/hyperlink" Target="file:///\\rtdnas2\Drawings\A.E.C.L%20(CANDU)\RT79-87630-PN-R011%20%20VRS%20PT%20LUNCHBOX%20FOR%20C1R\RT-CEPC-25-0271T\rt-87630-71522-1001-1-dd-d.pdf" TargetMode="External"/><Relationship Id="rId35" Type="http://schemas.openxmlformats.org/officeDocument/2006/relationships/hyperlink" Target="file:///\\rtdnas2\Drawings\A.E.C.L%20(CANDU)\RT79-87630-PN-R011%20%20VRS%20PT%20LUNCHBOX%20FOR%20C1R\RT-CEPC-25-0271T\rt-87630-71522-1007-1-dd-b.pdf" TargetMode="External"/><Relationship Id="rId43" Type="http://schemas.openxmlformats.org/officeDocument/2006/relationships/hyperlink" Target="file:///\\rtdnas2\Drawings\A.E.C.L%20(CANDU)\RT79-87630-PN-R011%20%20VRS%20PT%20LUNCHBOX%20FOR%20C1R\RT-CEPC-25-0271T\rt-87630-71521-1012-1-dd-b.pdf" TargetMode="External"/><Relationship Id="rId48" Type="http://schemas.openxmlformats.org/officeDocument/2006/relationships/hyperlink" Target="file:///\\rtdnas2\Drawings\A.E.C.L%20(CANDU)\RT79-87630-PN-R011%20%20VRS%20PT%20LUNCHBOX%20FOR%20C1R\RT-CEPC-25-0271T\rt-87630-71521-1017-1-dd-b.pdf" TargetMode="External"/><Relationship Id="rId56" Type="http://schemas.openxmlformats.org/officeDocument/2006/relationships/hyperlink" Target="file:///\\rtdnas2\Drawings\A.E.C.L%20(CANDU)\RT79-87630-PN-R011%20%20VRS%20PT%20LUNCHBOX%20FOR%20C1R\RT-CEPC-25-0271T\rt-87630-71521-1026-1-dd-b.pdf" TargetMode="External"/><Relationship Id="rId8" Type="http://schemas.openxmlformats.org/officeDocument/2006/relationships/hyperlink" Target="file:///\\rtdnas2\Drawings\ATS%20(Automation%20Tooling%20Systems)\RFQ%202474\ESF_NK38-DRAW-31935-10538-0001_NK38-DRAW-31935-10538-0000-000-002.pdf" TargetMode="External"/><Relationship Id="rId51" Type="http://schemas.openxmlformats.org/officeDocument/2006/relationships/hyperlink" Target="file:///\\rtdnas2\Drawings\A.E.C.L%20(CANDU)\RT79-87630-PN-R011%20%20VRS%20PT%20LUNCHBOX%20FOR%20C1R\RT-CEPC-25-0271T\rt-87630-71521-1020-1-dd-d.pdf" TargetMode="External"/><Relationship Id="rId3" Type="http://schemas.openxmlformats.org/officeDocument/2006/relationships/hyperlink" Target="file:///\\rtdnas2\Drawings\A.E.C.L%20(CANDU)\RT79-87630-PN-R011%20%20VRS%20PT%20LUNCHBOX%20FOR%20C1R\RT-CEPC-25-0271T\rt-87630-71521-1001-2-dd-d.pdf" TargetMode="External"/><Relationship Id="rId12" Type="http://schemas.openxmlformats.org/officeDocument/2006/relationships/hyperlink" Target="file:///\\rtdnas2\Drawings\A.E.C.L%20(CANDU)\RT98-87290-RFP-R004%20-%20MATERIAL%20HANDLING%20CARTS%20-10,000LBS%20FOR%20QINSHAN\rt-87290-7000-1-ga-d.pdf" TargetMode="External"/><Relationship Id="rId17" Type="http://schemas.openxmlformats.org/officeDocument/2006/relationships/hyperlink" Target="file:///\\rtdnas2\Drawings\A.E.C.L%20(CANDU)\RT79-87630-PN-R011%20%20VRS%20PT%20LUNCHBOX%20FOR%20C1R\RT-CEPC-25-0271T\rt-87630-71622-1004-1-dd-b.pdf" TargetMode="External"/><Relationship Id="rId25" Type="http://schemas.openxmlformats.org/officeDocument/2006/relationships/hyperlink" Target="file:///\\rtdnas2\Drawings\A.E.C.L%20(CANDU)\RT79-87630-PN-R011%20%20VRS%20PT%20LUNCHBOX%20FOR%20C1R\RT-CEPC-25-0271T\rt-87630-71622-1012-1-dd-b.pdf" TargetMode="External"/><Relationship Id="rId33" Type="http://schemas.openxmlformats.org/officeDocument/2006/relationships/hyperlink" Target="file:///\\rtdnas2\Drawings\A.E.C.L%20(CANDU)\RT79-87630-PN-R011%20%20VRS%20PT%20LUNCHBOX%20FOR%20C1R\RT-CEPC-25-0271T\rt-87630-71522-1005-1-dd-d.pdf" TargetMode="External"/><Relationship Id="rId38" Type="http://schemas.openxmlformats.org/officeDocument/2006/relationships/hyperlink" Target="file:///\\rtdnas2\Drawings\A.E.C.L%20(CANDU)\RT79-87630-PN-R011%20%20VRS%20PT%20LUNCHBOX%20FOR%20C1R\RT-CEPC-25-0271T\rt-87630-71522-1010-1-dd-d.pdf" TargetMode="External"/><Relationship Id="rId46" Type="http://schemas.openxmlformats.org/officeDocument/2006/relationships/hyperlink" Target="file:///\\rtdnas2\Drawings\A.E.C.L%20(CANDU)\RT79-87630-PN-R011%20%20VRS%20PT%20LUNCHBOX%20FOR%20C1R\RT-CEPC-25-0271T\rt-87630-71521-1015-1-dd-d.pdf" TargetMode="External"/><Relationship Id="rId59" Type="http://schemas.openxmlformats.org/officeDocument/2006/relationships/hyperlink" Target="file:///\\rtdnas2\Drawings\A.E.C.L%20(CANDU)\RT79-87630-PN-R011%20%20VRS%20PT%20LUNCHBOX%20FOR%20C1R\RT-CEPC-25-0271T\rt-87630-71521-1035-1-dd-d.pdf" TargetMode="External"/><Relationship Id="rId20" Type="http://schemas.openxmlformats.org/officeDocument/2006/relationships/hyperlink" Target="file:///\\rtdnas2\Drawings\A.E.C.L%20(CANDU)\RT79-87630-PN-R011%20%20VRS%20PT%20LUNCHBOX%20FOR%20C1R\RT-CEPC-25-0271T\rt-87630-71622-1007-1-dd-b.pdf" TargetMode="External"/><Relationship Id="rId41" Type="http://schemas.openxmlformats.org/officeDocument/2006/relationships/hyperlink" Target="file:///\\rtdnas2\Drawings\A.E.C.L%20(CANDU)\RT79-87630-PN-R011%20%20VRS%20PT%20LUNCHBOX%20FOR%20C1R\RT-CEPC-25-0271T\rt-87630-71521-1009-1-dd-d.pdf" TargetMode="External"/><Relationship Id="rId54" Type="http://schemas.openxmlformats.org/officeDocument/2006/relationships/hyperlink" Target="file:///\\rtdnas2\Drawings\A.E.C.L%20(CANDU)\RT79-87630-PN-R011%20%20VRS%20PT%20LUNCHBOX%20FOR%20C1R\RT-CEPC-25-0271T\rt-87630-71521-1024-1-dd-b.pdf" TargetMode="External"/><Relationship Id="rId62" Type="http://schemas.openxmlformats.org/officeDocument/2006/relationships/hyperlink" Target="file:///\\rtdnas2\Drawings\A.E.C.L%20(CANDU)\RT79-87630-PN-R011%20%20VRS%20PT%20LUNCHBOX%20FOR%20C1R\RT-CEPC-25-0271T\rt-87630-71521-1038-1-dd-b.pdf" TargetMode="External"/><Relationship Id="rId1" Type="http://schemas.openxmlformats.org/officeDocument/2006/relationships/hyperlink" Target="mailto:Gearcut@truegear" TargetMode="External"/><Relationship Id="rId6" Type="http://schemas.openxmlformats.org/officeDocument/2006/relationships/hyperlink" Target="file:///\\rtdnas2\Drawings\A.E.C.L%20(CANDU)\RT79-87630-PN-R011%20%20VRS%20PT%20LUNCHBOX%20FOR%20C1R\RT-CEPC-25-0271T\rt-87630-71521-1004-1-dd-d.pdf" TargetMode="External"/><Relationship Id="rId15" Type="http://schemas.openxmlformats.org/officeDocument/2006/relationships/hyperlink" Target="file:///\\rtdnas2\Drawings\A.E.C.L%20(CANDU)\RT79-87630-PN-R011%20%20VRS%20PT%20LUNCHBOX%20FOR%20C1R\RT-CEPC-25-0271T\rt-87630-71622-1002-1-dd-d.pdf" TargetMode="External"/><Relationship Id="rId23" Type="http://schemas.openxmlformats.org/officeDocument/2006/relationships/hyperlink" Target="file:///\\rtdnas2\Drawings\A.E.C.L%20(CANDU)\RT79-87630-PN-R011%20%20VRS%20PT%20LUNCHBOX%20FOR%20C1R\RT-CEPC-25-0271T\rt-87630-71622-1010-1-dd-b.pdf" TargetMode="External"/><Relationship Id="rId28" Type="http://schemas.openxmlformats.org/officeDocument/2006/relationships/hyperlink" Target="file:///\\rtdnas2\Drawings\A.E.C.L%20(CANDU)\RT79-87630-PN-R011%20%20VRS%20PT%20LUNCHBOX%20FOR%20C1R\RT-CEPC-25-0271T\rt-87630-71622-1015-1-dd-b.pdf" TargetMode="External"/><Relationship Id="rId36" Type="http://schemas.openxmlformats.org/officeDocument/2006/relationships/hyperlink" Target="file:///\\rtdnas2\Drawings\A.E.C.L%20(CANDU)\RT79-87630-PN-R011%20%20VRS%20PT%20LUNCHBOX%20FOR%20C1R\RT-CEPC-25-0271T\rt-87630-71522-1008-1-dd-e.pdf" TargetMode="External"/><Relationship Id="rId49" Type="http://schemas.openxmlformats.org/officeDocument/2006/relationships/hyperlink" Target="file:///\\rtdnas2\Drawings\A.E.C.L%20(CANDU)\RT79-87630-PN-R011%20%20VRS%20PT%20LUNCHBOX%20FOR%20C1R\RT-CEPC-25-0271T\rt-87630-71521-1018-1-dd-d.pdf" TargetMode="External"/><Relationship Id="rId57" Type="http://schemas.openxmlformats.org/officeDocument/2006/relationships/hyperlink" Target="file:///\\rtdnas2\Drawings\A.E.C.L%20(CANDU)\RT79-87630-PN-R011%20%20VRS%20PT%20LUNCHBOX%20FOR%20C1R\RT-CEPC-25-0271T\rt-87630-71521-1026-1-dd-b.pdf" TargetMode="External"/><Relationship Id="rId10" Type="http://schemas.openxmlformats.org/officeDocument/2006/relationships/hyperlink" Target="file:///\\rtdnas2\Drawings\A.E.C.L%20(CANDU)\RT98-87290-RFP-R004%20-%20MATERIAL%20HANDLING%20CARTS%20-10,000LBS%20FOR%20QINSHAN\rt-87290-7003-1-ga-d.pdf" TargetMode="External"/><Relationship Id="rId31" Type="http://schemas.openxmlformats.org/officeDocument/2006/relationships/hyperlink" Target="file:///\\rtdnas2\Drawings\A.E.C.L%20(CANDU)\RT79-87630-PN-R011%20%20VRS%20PT%20LUNCHBOX%20FOR%20C1R\RT-CEPC-25-0271T\rt-87630-71522-1002-1-dd-b.pdf" TargetMode="External"/><Relationship Id="rId44" Type="http://schemas.openxmlformats.org/officeDocument/2006/relationships/hyperlink" Target="file:///\\rtdnas2\Drawings\A.E.C.L%20(CANDU)\RT79-87630-PN-R011%20%20VRS%20PT%20LUNCHBOX%20FOR%20C1R\RT-CEPC-25-0271T\rt-87630-71521-1013-1-dd-d.pdf" TargetMode="External"/><Relationship Id="rId52" Type="http://schemas.openxmlformats.org/officeDocument/2006/relationships/hyperlink" Target="file:///\\rtdnas2\Drawings\A.E.C.L%20(CANDU)\RT79-87630-PN-R011%20%20VRS%20PT%20LUNCHBOX%20FOR%20C1R\RT-CEPC-25-0271T\rt-87630-71521-1021-1-dd-b.pdf" TargetMode="External"/><Relationship Id="rId60" Type="http://schemas.openxmlformats.org/officeDocument/2006/relationships/hyperlink" Target="file:///\\rtdnas2\Drawings\A.E.C.L%20(CANDU)\RT79-87630-PN-R011%20%20VRS%20PT%20LUNCHBOX%20FOR%20C1R\RT-CEPC-25-0271T\rt-87630-71521-1036-1-dd-b.pdf" TargetMode="External"/><Relationship Id="rId4" Type="http://schemas.openxmlformats.org/officeDocument/2006/relationships/hyperlink" Target="file:///\\rtdnas2\Drawings\A.E.C.L%20(CANDU)\RT79-87630-PN-R011%20%20VRS%20PT%20LUNCHBOX%20FOR%20C1R\RT-CEPC-25-0271T\rt-87630-71521-1002-1-dd-d.pdf" TargetMode="External"/><Relationship Id="rId9" Type="http://schemas.openxmlformats.org/officeDocument/2006/relationships/hyperlink" Target="file:///\\rtdnas2\Drawings\ATS%20(Automation%20Tooling%20Systems)\RFQ%20No%2016%20Record%20Tech\700465157-AA-00.000-ATS1247319-004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CDBE-7EAA-4992-B679-D1137D9705E5}">
  <sheetPr>
    <pageSetUpPr fitToPage="1"/>
  </sheetPr>
  <dimension ref="A1:FC2317"/>
  <sheetViews>
    <sheetView tabSelected="1" zoomScale="60" zoomScaleNormal="60" workbookViewId="0">
      <pane xSplit="9" ySplit="1" topLeftCell="CW2279" activePane="bottomRight" state="frozen"/>
      <selection pane="topRight" activeCell="M1" sqref="M1"/>
      <selection pane="bottomLeft" activeCell="A3" sqref="A3"/>
      <selection pane="bottomRight" activeCell="CX2314" sqref="CX2314"/>
    </sheetView>
  </sheetViews>
  <sheetFormatPr defaultRowHeight="30"/>
  <cols>
    <col min="1" max="1" width="24.5703125" bestFit="1" customWidth="1"/>
    <col min="2" max="2" width="45.5703125" bestFit="1" customWidth="1"/>
    <col min="3" max="3" width="15.5703125" bestFit="1" customWidth="1"/>
    <col min="4" max="4" width="93.28515625" bestFit="1" customWidth="1"/>
    <col min="5" max="5" width="61" customWidth="1"/>
    <col min="6" max="6" width="15.7109375" bestFit="1" customWidth="1"/>
    <col min="7" max="7" width="20.140625" bestFit="1" customWidth="1"/>
    <col min="8" max="8" width="20.5703125" customWidth="1"/>
    <col min="9" max="9" width="28.7109375" bestFit="1" customWidth="1"/>
    <col min="10" max="10" width="28" style="243" hidden="1" customWidth="1"/>
    <col min="11" max="100" width="21.85546875" style="243" hidden="1" customWidth="1"/>
    <col min="101" max="154" width="21.85546875" style="243" customWidth="1"/>
    <col min="155" max="16384" width="9.140625" style="243"/>
  </cols>
  <sheetData>
    <row r="1" spans="1:159" customFormat="1" ht="20.25">
      <c r="A1" s="242" t="s">
        <v>597</v>
      </c>
      <c r="B1" s="242" t="s">
        <v>605</v>
      </c>
      <c r="C1" s="242" t="s">
        <v>600</v>
      </c>
      <c r="D1" s="242" t="s">
        <v>601</v>
      </c>
      <c r="E1" s="242" t="s">
        <v>604</v>
      </c>
      <c r="F1" s="242" t="s">
        <v>599</v>
      </c>
      <c r="G1" s="242" t="s">
        <v>2823</v>
      </c>
      <c r="H1" s="242" t="s">
        <v>2207</v>
      </c>
      <c r="I1" s="242" t="s">
        <v>2174</v>
      </c>
      <c r="J1" s="241" t="s">
        <v>3089</v>
      </c>
      <c r="K1" s="235">
        <v>45825</v>
      </c>
      <c r="L1" s="235">
        <v>45826</v>
      </c>
      <c r="M1" s="235">
        <v>45827</v>
      </c>
      <c r="N1" s="235">
        <v>45828</v>
      </c>
      <c r="O1" s="235">
        <v>45831</v>
      </c>
      <c r="P1" s="235">
        <v>45832</v>
      </c>
      <c r="Q1" s="235">
        <v>45833</v>
      </c>
      <c r="R1" s="235">
        <v>45834</v>
      </c>
      <c r="S1" s="235">
        <v>45835</v>
      </c>
      <c r="T1" s="235">
        <v>45838</v>
      </c>
      <c r="U1" s="235">
        <v>45839</v>
      </c>
      <c r="V1" s="235">
        <v>45840</v>
      </c>
      <c r="W1" s="235">
        <v>45841</v>
      </c>
      <c r="X1" s="235">
        <v>45842</v>
      </c>
      <c r="Y1" s="235">
        <v>45845</v>
      </c>
      <c r="Z1" s="235">
        <v>45846</v>
      </c>
      <c r="AA1" s="235">
        <v>45847</v>
      </c>
      <c r="AB1" s="241">
        <v>45848</v>
      </c>
      <c r="AC1" s="235">
        <v>45849</v>
      </c>
      <c r="AD1" s="235">
        <v>45852</v>
      </c>
      <c r="AE1" s="235">
        <v>45853</v>
      </c>
      <c r="AF1" s="235">
        <v>45854</v>
      </c>
      <c r="AG1" s="235">
        <v>45855</v>
      </c>
      <c r="AH1" s="235">
        <v>45856</v>
      </c>
      <c r="AI1" s="235">
        <v>45859</v>
      </c>
      <c r="AJ1" s="235">
        <v>45860</v>
      </c>
      <c r="AK1" s="235">
        <v>45861</v>
      </c>
      <c r="AL1" s="235">
        <v>45862</v>
      </c>
      <c r="AM1" s="235">
        <v>45863</v>
      </c>
      <c r="AN1" s="235">
        <v>45866</v>
      </c>
      <c r="AO1" s="235">
        <v>45867</v>
      </c>
      <c r="AP1" s="235">
        <v>45868</v>
      </c>
      <c r="AQ1" s="235">
        <v>45869</v>
      </c>
      <c r="AR1" s="235">
        <v>45870</v>
      </c>
      <c r="AS1" s="235">
        <v>45873</v>
      </c>
      <c r="AT1" s="235">
        <v>45874</v>
      </c>
      <c r="AU1" s="235">
        <v>45875</v>
      </c>
      <c r="AV1" s="235">
        <v>45876</v>
      </c>
      <c r="AW1" s="235">
        <v>45877</v>
      </c>
      <c r="AX1" s="235">
        <v>45880</v>
      </c>
      <c r="AY1" s="235">
        <v>45881</v>
      </c>
      <c r="AZ1" s="235">
        <v>45882</v>
      </c>
      <c r="BA1" s="235">
        <v>45883</v>
      </c>
      <c r="BB1" s="235">
        <v>45884</v>
      </c>
      <c r="BC1" s="235">
        <v>45887</v>
      </c>
      <c r="BD1" s="235">
        <v>45888</v>
      </c>
      <c r="BE1" s="235">
        <v>45889</v>
      </c>
      <c r="BF1" s="235">
        <v>45890</v>
      </c>
      <c r="BG1" s="235">
        <v>45891</v>
      </c>
      <c r="BH1" s="235">
        <v>45894</v>
      </c>
      <c r="BI1" s="235">
        <v>45895</v>
      </c>
      <c r="BJ1" s="235">
        <v>45896</v>
      </c>
      <c r="BK1" s="235">
        <v>45897</v>
      </c>
      <c r="BL1" s="235">
        <v>45898</v>
      </c>
      <c r="BM1" s="235">
        <v>45901</v>
      </c>
      <c r="BN1" s="235">
        <v>45902</v>
      </c>
      <c r="BO1" s="235">
        <v>45903</v>
      </c>
      <c r="BP1" s="235">
        <v>45904</v>
      </c>
      <c r="BQ1" s="235">
        <v>45905</v>
      </c>
      <c r="BR1" s="235">
        <v>45908</v>
      </c>
      <c r="BS1" s="235">
        <v>45909</v>
      </c>
      <c r="BT1" s="235">
        <v>45910</v>
      </c>
      <c r="BU1" s="235">
        <v>45911</v>
      </c>
      <c r="BV1" s="235">
        <v>45912</v>
      </c>
      <c r="BW1" s="235">
        <v>45913</v>
      </c>
      <c r="BX1" s="235">
        <v>45916</v>
      </c>
      <c r="BY1" s="235">
        <v>45917</v>
      </c>
      <c r="BZ1" s="235">
        <v>45918</v>
      </c>
      <c r="CA1" s="235">
        <v>45919</v>
      </c>
      <c r="CB1" s="235">
        <v>45922</v>
      </c>
      <c r="CC1" s="235">
        <v>45923</v>
      </c>
      <c r="CD1" s="235">
        <v>45924</v>
      </c>
      <c r="CE1" s="235">
        <v>45925</v>
      </c>
      <c r="CF1" s="235">
        <v>45926</v>
      </c>
      <c r="CG1" s="235">
        <v>45929</v>
      </c>
      <c r="CH1" s="235">
        <v>45930</v>
      </c>
      <c r="CI1" s="235">
        <v>45931</v>
      </c>
      <c r="CJ1" s="235">
        <v>45932</v>
      </c>
      <c r="CK1" s="235">
        <v>45933</v>
      </c>
      <c r="CL1" s="235">
        <v>45936</v>
      </c>
      <c r="CM1" s="235">
        <v>45937</v>
      </c>
      <c r="CN1" s="235">
        <v>45938</v>
      </c>
      <c r="CO1" s="235">
        <v>45939</v>
      </c>
      <c r="CP1" s="235">
        <v>45940</v>
      </c>
      <c r="CQ1" s="235">
        <v>45943</v>
      </c>
      <c r="CR1" s="235">
        <v>45944</v>
      </c>
      <c r="CS1" s="235">
        <v>45945</v>
      </c>
      <c r="CT1" s="235">
        <v>45946</v>
      </c>
      <c r="CU1" s="235">
        <v>45947</v>
      </c>
      <c r="CV1" s="235">
        <v>45950</v>
      </c>
      <c r="CW1" s="235">
        <v>45951</v>
      </c>
      <c r="CX1" s="235">
        <v>45952</v>
      </c>
      <c r="CY1" s="235">
        <v>45953</v>
      </c>
      <c r="CZ1" s="235">
        <v>45954</v>
      </c>
      <c r="DA1" s="235">
        <v>45957</v>
      </c>
      <c r="DB1" s="235">
        <v>45958</v>
      </c>
      <c r="DC1" s="235">
        <v>45959</v>
      </c>
      <c r="DD1" s="235">
        <v>45960</v>
      </c>
      <c r="DE1" s="235">
        <v>45961</v>
      </c>
      <c r="DF1" s="235">
        <v>45964</v>
      </c>
      <c r="DG1" s="235">
        <v>45965</v>
      </c>
      <c r="DH1" s="235">
        <v>45966</v>
      </c>
      <c r="DI1" s="235">
        <v>45967</v>
      </c>
      <c r="DJ1" s="235">
        <v>45968</v>
      </c>
      <c r="DK1" s="235">
        <v>45971</v>
      </c>
      <c r="DL1" s="235">
        <v>45972</v>
      </c>
      <c r="DM1" s="235">
        <v>45973</v>
      </c>
      <c r="DN1" s="235">
        <v>45974</v>
      </c>
      <c r="DO1" s="235">
        <v>45975</v>
      </c>
      <c r="DP1" s="235">
        <v>45978</v>
      </c>
      <c r="DQ1" s="235">
        <v>45979</v>
      </c>
      <c r="DR1" s="235">
        <v>45980</v>
      </c>
      <c r="DS1" s="235">
        <v>45981</v>
      </c>
      <c r="DT1" s="235">
        <v>45982</v>
      </c>
      <c r="DU1" s="235">
        <v>45985</v>
      </c>
      <c r="DV1" s="235">
        <v>45986</v>
      </c>
      <c r="DW1" s="235">
        <v>45987</v>
      </c>
      <c r="DX1" s="235">
        <v>45988</v>
      </c>
      <c r="DY1" s="235">
        <v>45989</v>
      </c>
      <c r="DZ1" s="235">
        <v>45992</v>
      </c>
      <c r="EA1" s="235">
        <v>45993</v>
      </c>
      <c r="EB1" s="235">
        <v>45994</v>
      </c>
      <c r="EC1" s="235">
        <v>45995</v>
      </c>
      <c r="ED1" s="235">
        <v>45996</v>
      </c>
      <c r="EE1" s="235">
        <v>45999</v>
      </c>
      <c r="EF1" s="235">
        <v>46000</v>
      </c>
      <c r="EG1" s="235">
        <v>46001</v>
      </c>
      <c r="EH1" s="235">
        <v>46002</v>
      </c>
      <c r="EI1" s="235">
        <v>46003</v>
      </c>
      <c r="EJ1" s="235">
        <v>46006</v>
      </c>
      <c r="EK1" s="235">
        <v>46007</v>
      </c>
      <c r="EL1" s="235">
        <v>46008</v>
      </c>
      <c r="EM1" s="235">
        <v>46009</v>
      </c>
      <c r="EN1" s="235">
        <v>46010</v>
      </c>
      <c r="EO1" s="235">
        <v>46013</v>
      </c>
      <c r="EP1" s="235">
        <v>46014</v>
      </c>
      <c r="EQ1" s="235">
        <v>46015</v>
      </c>
      <c r="ER1" s="235">
        <v>46016</v>
      </c>
      <c r="ES1" s="235">
        <v>46017</v>
      </c>
      <c r="ET1" s="235">
        <v>46019</v>
      </c>
      <c r="EU1" s="235">
        <v>46020</v>
      </c>
      <c r="EV1" s="235">
        <v>46021</v>
      </c>
      <c r="EW1" s="235">
        <v>46022</v>
      </c>
      <c r="EX1" s="235">
        <v>46023</v>
      </c>
      <c r="EY1" s="236"/>
      <c r="EZ1" s="236"/>
      <c r="FA1" s="236"/>
      <c r="FB1" s="236"/>
      <c r="FC1" s="236"/>
    </row>
    <row r="2" spans="1:159">
      <c r="A2" s="239">
        <v>69605</v>
      </c>
      <c r="B2" s="239">
        <v>1109596</v>
      </c>
      <c r="C2" s="239" t="s">
        <v>453</v>
      </c>
      <c r="D2" s="240" t="s">
        <v>789</v>
      </c>
      <c r="E2" s="240" t="s">
        <v>786</v>
      </c>
      <c r="F2" s="238">
        <v>2850</v>
      </c>
      <c r="G2" s="260">
        <v>45135</v>
      </c>
      <c r="H2" s="239" t="s">
        <v>2508</v>
      </c>
      <c r="I2" s="239" t="s">
        <v>2196</v>
      </c>
      <c r="J2" s="248" t="s">
        <v>2181</v>
      </c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56" t="s">
        <v>2196</v>
      </c>
      <c r="AA2" s="256" t="s">
        <v>2196</v>
      </c>
      <c r="AB2" s="256" t="s">
        <v>2196</v>
      </c>
      <c r="AC2" s="249"/>
      <c r="AD2" s="249"/>
      <c r="AE2" s="249"/>
      <c r="AF2" s="249"/>
      <c r="AG2" s="249"/>
      <c r="AH2" s="249"/>
      <c r="AI2" s="249"/>
      <c r="AJ2" s="249"/>
      <c r="AK2" s="249"/>
      <c r="AL2" s="256" t="s">
        <v>2426</v>
      </c>
      <c r="AM2" s="256" t="s">
        <v>2426</v>
      </c>
      <c r="AN2" s="256" t="s">
        <v>2507</v>
      </c>
      <c r="AO2" s="249"/>
      <c r="AP2" s="249"/>
      <c r="AQ2" s="249"/>
      <c r="AR2" s="249"/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249"/>
      <c r="BE2" s="249"/>
      <c r="BF2" s="249"/>
      <c r="BG2" s="249"/>
      <c r="BH2" s="249"/>
      <c r="BI2" s="249"/>
      <c r="BJ2" s="249"/>
      <c r="BK2" s="249"/>
      <c r="BL2" s="249"/>
      <c r="BM2" s="249"/>
      <c r="BN2" s="249"/>
      <c r="BO2" s="249"/>
      <c r="BP2" s="249"/>
      <c r="BQ2" s="249"/>
      <c r="BR2" s="249"/>
      <c r="BS2" s="249"/>
      <c r="BT2" s="249"/>
      <c r="BU2" s="249"/>
      <c r="BV2" s="249"/>
      <c r="BW2" s="249"/>
      <c r="BX2" s="249"/>
      <c r="BY2" s="249"/>
      <c r="BZ2" s="249"/>
      <c r="CA2" s="249"/>
      <c r="CB2" s="249"/>
      <c r="CC2" s="249"/>
      <c r="CD2" s="249"/>
      <c r="CE2" s="249"/>
      <c r="CF2" s="249"/>
      <c r="CG2" s="249"/>
      <c r="CH2" s="249"/>
      <c r="CI2" s="249"/>
      <c r="CJ2" s="249"/>
      <c r="CK2" s="249"/>
      <c r="CL2" s="249"/>
      <c r="CM2" s="249"/>
      <c r="CN2" s="249"/>
      <c r="CO2" s="249"/>
      <c r="CP2" s="249"/>
      <c r="CQ2" s="249"/>
      <c r="CR2" s="249"/>
      <c r="CS2" s="249"/>
      <c r="CT2" s="249"/>
      <c r="CU2" s="249"/>
      <c r="CV2" s="249"/>
      <c r="CW2" s="249"/>
      <c r="CX2" s="249"/>
      <c r="CY2" s="249"/>
      <c r="CZ2" s="249"/>
      <c r="DA2" s="249"/>
      <c r="DB2" s="249"/>
      <c r="DC2" s="249"/>
      <c r="DD2" s="249"/>
      <c r="DE2" s="249"/>
      <c r="DF2" s="249"/>
      <c r="DG2" s="249"/>
      <c r="DH2" s="249"/>
      <c r="DI2" s="249"/>
      <c r="DJ2" s="249"/>
      <c r="DK2" s="249"/>
      <c r="DL2" s="249"/>
      <c r="DM2" s="249"/>
      <c r="DN2" s="249"/>
      <c r="DO2" s="249"/>
      <c r="DP2" s="249"/>
      <c r="DQ2" s="249"/>
      <c r="DR2" s="249"/>
      <c r="DS2" s="249"/>
      <c r="DT2" s="249"/>
      <c r="DU2" s="249"/>
      <c r="DV2" s="249"/>
      <c r="DW2" s="249"/>
      <c r="DX2" s="249"/>
      <c r="DY2" s="249"/>
      <c r="DZ2" s="249"/>
      <c r="EA2" s="249"/>
      <c r="EB2" s="249"/>
      <c r="EC2" s="249"/>
      <c r="ED2" s="249"/>
      <c r="EE2" s="249"/>
      <c r="EF2" s="249"/>
      <c r="EG2" s="249"/>
      <c r="EH2" s="249"/>
      <c r="EI2" s="249"/>
      <c r="EJ2" s="249"/>
      <c r="EK2" s="249"/>
      <c r="EL2" s="249"/>
      <c r="EM2" s="249"/>
      <c r="EN2" s="249"/>
      <c r="EO2" s="249"/>
      <c r="EP2" s="249"/>
      <c r="EQ2" s="249"/>
      <c r="ER2" s="249"/>
      <c r="ES2" s="249"/>
      <c r="ET2" s="249"/>
      <c r="EU2" s="249"/>
      <c r="EV2" s="249"/>
      <c r="EW2" s="249"/>
      <c r="EX2" s="249"/>
      <c r="EY2" s="250"/>
      <c r="EZ2" s="250"/>
      <c r="FA2" s="250"/>
      <c r="FB2" s="250"/>
      <c r="FC2" s="250"/>
    </row>
    <row r="3" spans="1:159">
      <c r="A3" s="239"/>
      <c r="B3" s="239"/>
      <c r="C3" s="239"/>
      <c r="D3" s="240" t="s">
        <v>789</v>
      </c>
      <c r="E3" s="240" t="s">
        <v>786</v>
      </c>
      <c r="F3" s="238">
        <v>2850</v>
      </c>
      <c r="G3" s="260">
        <v>37498</v>
      </c>
      <c r="H3" s="239"/>
      <c r="I3" s="239" t="s">
        <v>2181</v>
      </c>
      <c r="J3" s="248" t="s">
        <v>2181</v>
      </c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8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49"/>
      <c r="BP3" s="249"/>
      <c r="BQ3" s="249"/>
      <c r="BR3" s="249"/>
      <c r="BS3" s="249"/>
      <c r="BT3" s="249"/>
      <c r="BU3" s="249"/>
      <c r="BV3" s="249"/>
      <c r="BW3" s="249"/>
      <c r="BX3" s="249"/>
      <c r="BY3" s="249"/>
      <c r="BZ3" s="249"/>
      <c r="CA3" s="249"/>
      <c r="CB3" s="249"/>
      <c r="CC3" s="249"/>
      <c r="CD3" s="249"/>
      <c r="CE3" s="249"/>
      <c r="CF3" s="249"/>
      <c r="CG3" s="249"/>
      <c r="CH3" s="249"/>
      <c r="CI3" s="249"/>
      <c r="CJ3" s="249"/>
      <c r="CK3" s="249"/>
      <c r="CL3" s="249"/>
      <c r="CM3" s="249"/>
      <c r="CN3" s="249"/>
      <c r="CO3" s="249"/>
      <c r="CP3" s="249"/>
      <c r="CQ3" s="249"/>
      <c r="CR3" s="249"/>
      <c r="CS3" s="249"/>
      <c r="CT3" s="249"/>
      <c r="CU3" s="249"/>
      <c r="CV3" s="249"/>
      <c r="CW3" s="249"/>
      <c r="CX3" s="249"/>
      <c r="CY3" s="249"/>
      <c r="CZ3" s="249"/>
      <c r="DA3" s="249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  <c r="DP3" s="249"/>
      <c r="DQ3" s="249"/>
      <c r="DR3" s="249"/>
      <c r="DS3" s="249"/>
      <c r="DT3" s="249"/>
      <c r="DU3" s="249"/>
      <c r="DV3" s="249"/>
      <c r="DW3" s="249"/>
      <c r="DX3" s="249"/>
      <c r="DY3" s="249"/>
      <c r="DZ3" s="249"/>
      <c r="EA3" s="249"/>
      <c r="EB3" s="249"/>
      <c r="EC3" s="249"/>
      <c r="ED3" s="249"/>
      <c r="EE3" s="249"/>
      <c r="EF3" s="249"/>
      <c r="EG3" s="249"/>
      <c r="EH3" s="249"/>
      <c r="EI3" s="249"/>
      <c r="EJ3" s="249"/>
      <c r="EK3" s="249"/>
      <c r="EL3" s="249"/>
      <c r="EM3" s="249"/>
      <c r="EN3" s="249"/>
      <c r="EO3" s="249"/>
      <c r="EP3" s="249"/>
      <c r="EQ3" s="249"/>
      <c r="ER3" s="249"/>
      <c r="ES3" s="249"/>
      <c r="ET3" s="249"/>
      <c r="EU3" s="249"/>
      <c r="EV3" s="249"/>
      <c r="EW3" s="249"/>
      <c r="EX3" s="249"/>
      <c r="EY3" s="250"/>
      <c r="EZ3" s="250"/>
      <c r="FA3" s="250"/>
      <c r="FB3" s="250"/>
      <c r="FC3" s="250"/>
    </row>
    <row r="4" spans="1:159">
      <c r="A4" s="239"/>
      <c r="B4" s="239"/>
      <c r="C4" s="239"/>
      <c r="D4" s="240" t="s">
        <v>789</v>
      </c>
      <c r="E4" s="240" t="s">
        <v>786</v>
      </c>
      <c r="F4" s="238">
        <v>2850</v>
      </c>
      <c r="G4" s="260">
        <v>45198</v>
      </c>
      <c r="H4" s="239"/>
      <c r="I4" s="239" t="s">
        <v>2181</v>
      </c>
      <c r="J4" s="248" t="s">
        <v>2181</v>
      </c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8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49"/>
      <c r="BP4" s="249"/>
      <c r="BQ4" s="249"/>
      <c r="BR4" s="249"/>
      <c r="BS4" s="249"/>
      <c r="BT4" s="249"/>
      <c r="BU4" s="249"/>
      <c r="BV4" s="249"/>
      <c r="BW4" s="249"/>
      <c r="BX4" s="249"/>
      <c r="BY4" s="249"/>
      <c r="BZ4" s="249"/>
      <c r="CA4" s="249"/>
      <c r="CB4" s="249"/>
      <c r="CC4" s="249"/>
      <c r="CD4" s="249"/>
      <c r="CE4" s="249"/>
      <c r="CF4" s="249"/>
      <c r="CG4" s="249"/>
      <c r="CH4" s="249"/>
      <c r="CI4" s="249"/>
      <c r="CJ4" s="249"/>
      <c r="CK4" s="249"/>
      <c r="CL4" s="249"/>
      <c r="CM4" s="249"/>
      <c r="CN4" s="249"/>
      <c r="CO4" s="249"/>
      <c r="CP4" s="249"/>
      <c r="CQ4" s="249"/>
      <c r="CR4" s="249"/>
      <c r="CS4" s="249"/>
      <c r="CT4" s="249"/>
      <c r="CU4" s="249"/>
      <c r="CV4" s="249"/>
      <c r="CW4" s="249"/>
      <c r="CX4" s="249"/>
      <c r="CY4" s="249"/>
      <c r="CZ4" s="249"/>
      <c r="DA4" s="249"/>
      <c r="DB4" s="249"/>
      <c r="DC4" s="249"/>
      <c r="DD4" s="249"/>
      <c r="DE4" s="249"/>
      <c r="DF4" s="249"/>
      <c r="DG4" s="249"/>
      <c r="DH4" s="249"/>
      <c r="DI4" s="249"/>
      <c r="DJ4" s="249"/>
      <c r="DK4" s="249"/>
      <c r="DL4" s="249"/>
      <c r="DM4" s="249"/>
      <c r="DN4" s="249"/>
      <c r="DO4" s="249"/>
      <c r="DP4" s="249"/>
      <c r="DQ4" s="249"/>
      <c r="DR4" s="249"/>
      <c r="DS4" s="249"/>
      <c r="DT4" s="249"/>
      <c r="DU4" s="249"/>
      <c r="DV4" s="249"/>
      <c r="DW4" s="249"/>
      <c r="DX4" s="249"/>
      <c r="DY4" s="249"/>
      <c r="DZ4" s="249"/>
      <c r="EA4" s="249"/>
      <c r="EB4" s="249"/>
      <c r="EC4" s="249"/>
      <c r="ED4" s="249"/>
      <c r="EE4" s="249"/>
      <c r="EF4" s="249"/>
      <c r="EG4" s="249"/>
      <c r="EH4" s="249"/>
      <c r="EI4" s="249"/>
      <c r="EJ4" s="249"/>
      <c r="EK4" s="249"/>
      <c r="EL4" s="249"/>
      <c r="EM4" s="249"/>
      <c r="EN4" s="249"/>
      <c r="EO4" s="249"/>
      <c r="EP4" s="249"/>
      <c r="EQ4" s="249"/>
      <c r="ER4" s="249"/>
      <c r="ES4" s="249"/>
      <c r="ET4" s="249"/>
      <c r="EU4" s="249"/>
      <c r="EV4" s="249"/>
      <c r="EW4" s="249"/>
      <c r="EX4" s="249"/>
      <c r="EY4" s="250"/>
      <c r="EZ4" s="250"/>
      <c r="FA4" s="250"/>
      <c r="FB4" s="250"/>
      <c r="FC4" s="250"/>
    </row>
    <row r="5" spans="1:159">
      <c r="A5" s="239"/>
      <c r="B5" s="239"/>
      <c r="C5" s="239"/>
      <c r="D5" s="240" t="s">
        <v>789</v>
      </c>
      <c r="E5" s="240" t="s">
        <v>786</v>
      </c>
      <c r="F5" s="238">
        <v>2850</v>
      </c>
      <c r="G5" s="260">
        <v>45229</v>
      </c>
      <c r="H5" s="239"/>
      <c r="I5" s="239" t="s">
        <v>2181</v>
      </c>
      <c r="J5" s="248" t="s">
        <v>2181</v>
      </c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8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49"/>
      <c r="BK5" s="249"/>
      <c r="BL5" s="249"/>
      <c r="BM5" s="249"/>
      <c r="BN5" s="249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49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49"/>
      <c r="DD5" s="249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49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49"/>
      <c r="EQ5" s="249"/>
      <c r="ER5" s="249"/>
      <c r="ES5" s="249"/>
      <c r="ET5" s="249"/>
      <c r="EU5" s="249"/>
      <c r="EV5" s="249"/>
      <c r="EW5" s="249"/>
      <c r="EX5" s="249"/>
      <c r="EY5" s="250"/>
      <c r="EZ5" s="250"/>
      <c r="FA5" s="250"/>
      <c r="FB5" s="250"/>
      <c r="FC5" s="250"/>
    </row>
    <row r="6" spans="1:159">
      <c r="A6" s="239"/>
      <c r="B6" s="239"/>
      <c r="C6" s="239"/>
      <c r="D6" s="240" t="s">
        <v>789</v>
      </c>
      <c r="E6" s="240" t="s">
        <v>786</v>
      </c>
      <c r="F6" s="238">
        <v>2850</v>
      </c>
      <c r="G6" s="260">
        <v>45260</v>
      </c>
      <c r="H6" s="239"/>
      <c r="I6" s="239" t="s">
        <v>2181</v>
      </c>
      <c r="J6" s="248" t="s">
        <v>2181</v>
      </c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8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49"/>
      <c r="BK6" s="249"/>
      <c r="BL6" s="249"/>
      <c r="BM6" s="249"/>
      <c r="BN6" s="249"/>
      <c r="BO6" s="249"/>
      <c r="BP6" s="249"/>
      <c r="BQ6" s="249"/>
      <c r="BR6" s="249"/>
      <c r="BS6" s="249"/>
      <c r="BT6" s="249"/>
      <c r="BU6" s="249"/>
      <c r="BV6" s="249"/>
      <c r="BW6" s="249"/>
      <c r="BX6" s="249"/>
      <c r="BY6" s="249"/>
      <c r="BZ6" s="249"/>
      <c r="CA6" s="249"/>
      <c r="CB6" s="249"/>
      <c r="CC6" s="249"/>
      <c r="CD6" s="249"/>
      <c r="CE6" s="249"/>
      <c r="CF6" s="249"/>
      <c r="CG6" s="249"/>
      <c r="CH6" s="249"/>
      <c r="CI6" s="249"/>
      <c r="CJ6" s="249"/>
      <c r="CK6" s="249"/>
      <c r="CL6" s="249"/>
      <c r="CM6" s="249"/>
      <c r="CN6" s="249"/>
      <c r="CO6" s="249"/>
      <c r="CP6" s="249"/>
      <c r="CQ6" s="249"/>
      <c r="CR6" s="249"/>
      <c r="CS6" s="249"/>
      <c r="CT6" s="249"/>
      <c r="CU6" s="249"/>
      <c r="CV6" s="249"/>
      <c r="CW6" s="249"/>
      <c r="CX6" s="249"/>
      <c r="CY6" s="249"/>
      <c r="CZ6" s="249"/>
      <c r="DA6" s="249"/>
      <c r="DB6" s="249"/>
      <c r="DC6" s="249"/>
      <c r="DD6" s="249"/>
      <c r="DE6" s="249"/>
      <c r="DF6" s="249"/>
      <c r="DG6" s="249"/>
      <c r="DH6" s="249"/>
      <c r="DI6" s="249"/>
      <c r="DJ6" s="249"/>
      <c r="DK6" s="249"/>
      <c r="DL6" s="249"/>
      <c r="DM6" s="249"/>
      <c r="DN6" s="249"/>
      <c r="DO6" s="249"/>
      <c r="DP6" s="249"/>
      <c r="DQ6" s="249"/>
      <c r="DR6" s="249"/>
      <c r="DS6" s="249"/>
      <c r="DT6" s="249"/>
      <c r="DU6" s="249"/>
      <c r="DV6" s="249"/>
      <c r="DW6" s="249"/>
      <c r="DX6" s="249"/>
      <c r="DY6" s="249"/>
      <c r="DZ6" s="249"/>
      <c r="EA6" s="249"/>
      <c r="EB6" s="249"/>
      <c r="EC6" s="249"/>
      <c r="ED6" s="249"/>
      <c r="EE6" s="249"/>
      <c r="EF6" s="249"/>
      <c r="EG6" s="249"/>
      <c r="EH6" s="249"/>
      <c r="EI6" s="249"/>
      <c r="EJ6" s="249"/>
      <c r="EK6" s="249"/>
      <c r="EL6" s="249"/>
      <c r="EM6" s="249"/>
      <c r="EN6" s="249"/>
      <c r="EO6" s="249"/>
      <c r="EP6" s="249"/>
      <c r="EQ6" s="249"/>
      <c r="ER6" s="249"/>
      <c r="ES6" s="249"/>
      <c r="ET6" s="249"/>
      <c r="EU6" s="249"/>
      <c r="EV6" s="249"/>
      <c r="EW6" s="249"/>
      <c r="EX6" s="249"/>
      <c r="EY6" s="250"/>
      <c r="EZ6" s="250"/>
      <c r="FA6" s="250"/>
      <c r="FB6" s="250"/>
      <c r="FC6" s="250"/>
    </row>
    <row r="7" spans="1:159">
      <c r="A7" s="239"/>
      <c r="B7" s="239"/>
      <c r="C7" s="239"/>
      <c r="D7" s="240" t="s">
        <v>789</v>
      </c>
      <c r="E7" s="240" t="s">
        <v>786</v>
      </c>
      <c r="F7" s="238">
        <v>2850</v>
      </c>
      <c r="G7" s="260">
        <v>45282</v>
      </c>
      <c r="H7" s="239"/>
      <c r="I7" s="239" t="s">
        <v>2181</v>
      </c>
      <c r="J7" s="248" t="s">
        <v>2181</v>
      </c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8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49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49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50"/>
      <c r="EZ7" s="250"/>
      <c r="FA7" s="250"/>
      <c r="FB7" s="250"/>
      <c r="FC7" s="250"/>
    </row>
    <row r="8" spans="1:159">
      <c r="A8" s="261">
        <v>70131</v>
      </c>
      <c r="B8" s="261" t="s">
        <v>35</v>
      </c>
      <c r="C8" s="262" t="s">
        <v>38</v>
      </c>
      <c r="D8" s="262" t="s">
        <v>37</v>
      </c>
      <c r="E8" s="262" t="s">
        <v>36</v>
      </c>
      <c r="F8" s="261">
        <v>1</v>
      </c>
      <c r="G8" s="263">
        <v>45204</v>
      </c>
      <c r="H8" s="261"/>
      <c r="I8" s="264"/>
      <c r="L8" s="251"/>
    </row>
    <row r="9" spans="1:159" ht="33" customHeight="1">
      <c r="A9" s="261">
        <v>70586</v>
      </c>
      <c r="B9" s="261" t="s">
        <v>39</v>
      </c>
      <c r="C9" s="262" t="s">
        <v>42</v>
      </c>
      <c r="D9" s="262" t="s">
        <v>41</v>
      </c>
      <c r="E9" s="262" t="s">
        <v>40</v>
      </c>
      <c r="F9" s="261">
        <v>1</v>
      </c>
      <c r="G9" s="263">
        <v>45328</v>
      </c>
      <c r="H9" s="261"/>
      <c r="I9" s="264"/>
      <c r="L9" s="251"/>
    </row>
    <row r="10" spans="1:159">
      <c r="A10" s="239">
        <v>71276</v>
      </c>
      <c r="B10" s="239" t="s">
        <v>0</v>
      </c>
      <c r="C10" s="264" t="s">
        <v>20</v>
      </c>
      <c r="D10" s="264" t="s">
        <v>1</v>
      </c>
      <c r="E10" s="264" t="s">
        <v>2</v>
      </c>
      <c r="F10" s="239">
        <v>3</v>
      </c>
      <c r="G10" s="265">
        <v>45555</v>
      </c>
      <c r="H10" s="239" t="s">
        <v>2498</v>
      </c>
      <c r="I10" s="264" t="s">
        <v>2402</v>
      </c>
      <c r="L10" s="252"/>
      <c r="AE10" s="243" t="s">
        <v>2248</v>
      </c>
      <c r="AM10" s="243" t="s">
        <v>2402</v>
      </c>
      <c r="AN10" s="243" t="s">
        <v>2402</v>
      </c>
      <c r="AO10" s="243" t="s">
        <v>2402</v>
      </c>
      <c r="AP10" s="243" t="s">
        <v>2402</v>
      </c>
      <c r="AQ10" s="243" t="s">
        <v>2402</v>
      </c>
      <c r="AR10" s="243" t="s">
        <v>2402</v>
      </c>
      <c r="AS10" s="243" t="s">
        <v>2402</v>
      </c>
      <c r="AT10" s="243" t="s">
        <v>2389</v>
      </c>
      <c r="AU10" s="243" t="s">
        <v>2225</v>
      </c>
      <c r="AV10" s="243" t="s">
        <v>2225</v>
      </c>
      <c r="AW10" s="243" t="s">
        <v>2496</v>
      </c>
      <c r="AX10" s="243" t="s">
        <v>2496</v>
      </c>
      <c r="AY10" s="243" t="s">
        <v>2497</v>
      </c>
      <c r="AZ10" s="243" t="s">
        <v>2497</v>
      </c>
      <c r="BA10" s="243" t="s">
        <v>2497</v>
      </c>
      <c r="BB10" s="243" t="s">
        <v>2497</v>
      </c>
      <c r="BC10" s="243" t="s">
        <v>2497</v>
      </c>
      <c r="BD10" s="243" t="s">
        <v>2426</v>
      </c>
      <c r="BE10" s="243" t="s">
        <v>2426</v>
      </c>
      <c r="BF10" s="243" t="s">
        <v>2208</v>
      </c>
    </row>
    <row r="11" spans="1:159">
      <c r="A11" s="239">
        <v>71374</v>
      </c>
      <c r="B11" s="239">
        <v>20030822</v>
      </c>
      <c r="C11" s="264" t="s">
        <v>45</v>
      </c>
      <c r="D11" s="264" t="s">
        <v>44</v>
      </c>
      <c r="E11" s="264" t="s">
        <v>43</v>
      </c>
      <c r="F11" s="239">
        <v>3</v>
      </c>
      <c r="G11" s="265">
        <v>45590</v>
      </c>
      <c r="H11" s="239"/>
      <c r="I11" s="264"/>
      <c r="L11" s="252"/>
    </row>
    <row r="12" spans="1:159">
      <c r="A12" s="239">
        <v>71512</v>
      </c>
      <c r="B12" s="239" t="s">
        <v>46</v>
      </c>
      <c r="C12" s="264" t="s">
        <v>49</v>
      </c>
      <c r="D12" s="264" t="s">
        <v>48</v>
      </c>
      <c r="E12" s="264" t="s">
        <v>47</v>
      </c>
      <c r="F12" s="239">
        <v>2</v>
      </c>
      <c r="G12" s="265">
        <v>45604</v>
      </c>
      <c r="H12" s="239"/>
      <c r="I12" s="264"/>
      <c r="L12" s="253"/>
    </row>
    <row r="13" spans="1:159">
      <c r="A13" s="261">
        <v>71609</v>
      </c>
      <c r="B13" s="261" t="s">
        <v>3</v>
      </c>
      <c r="C13" s="262" t="s">
        <v>20</v>
      </c>
      <c r="D13" s="262" t="s">
        <v>4</v>
      </c>
      <c r="E13" s="262" t="s">
        <v>5</v>
      </c>
      <c r="F13" s="261">
        <v>46</v>
      </c>
      <c r="G13" s="263">
        <v>45761</v>
      </c>
      <c r="H13" s="261"/>
      <c r="I13" s="264" t="s">
        <v>2151</v>
      </c>
      <c r="L13" s="251"/>
    </row>
    <row r="14" spans="1:159">
      <c r="A14" s="261">
        <v>71610</v>
      </c>
      <c r="B14" s="261" t="s">
        <v>3</v>
      </c>
      <c r="C14" s="262" t="s">
        <v>20</v>
      </c>
      <c r="D14" s="262" t="s">
        <v>6</v>
      </c>
      <c r="E14" s="262" t="s">
        <v>2242</v>
      </c>
      <c r="F14" s="261">
        <v>65</v>
      </c>
      <c r="G14" s="263">
        <v>45761</v>
      </c>
      <c r="H14" s="261"/>
      <c r="I14" s="264" t="s">
        <v>2151</v>
      </c>
      <c r="L14" s="252"/>
    </row>
    <row r="15" spans="1:159">
      <c r="A15" s="261">
        <v>71611</v>
      </c>
      <c r="B15" s="261" t="s">
        <v>3</v>
      </c>
      <c r="C15" s="262" t="s">
        <v>20</v>
      </c>
      <c r="D15" s="262" t="s">
        <v>7</v>
      </c>
      <c r="E15" s="262" t="s">
        <v>10</v>
      </c>
      <c r="F15" s="261">
        <v>1100</v>
      </c>
      <c r="G15" s="263">
        <v>45761</v>
      </c>
      <c r="H15" s="261"/>
      <c r="I15" s="264" t="s">
        <v>2151</v>
      </c>
      <c r="L15" s="252"/>
    </row>
    <row r="16" spans="1:159">
      <c r="A16" s="261">
        <v>71612</v>
      </c>
      <c r="B16" s="261" t="s">
        <v>3</v>
      </c>
      <c r="C16" s="262" t="s">
        <v>20</v>
      </c>
      <c r="D16" s="262" t="s">
        <v>8</v>
      </c>
      <c r="E16" s="262" t="s">
        <v>11</v>
      </c>
      <c r="F16" s="261">
        <v>1600</v>
      </c>
      <c r="G16" s="263">
        <v>45761</v>
      </c>
      <c r="H16" s="261"/>
      <c r="I16" s="264" t="s">
        <v>2151</v>
      </c>
      <c r="L16" s="252"/>
    </row>
    <row r="17" spans="1:12">
      <c r="A17" s="239">
        <v>71613</v>
      </c>
      <c r="B17" s="239" t="s">
        <v>3</v>
      </c>
      <c r="C17" s="264" t="s">
        <v>20</v>
      </c>
      <c r="D17" s="264" t="s">
        <v>9</v>
      </c>
      <c r="E17" s="264" t="s">
        <v>12</v>
      </c>
      <c r="F17" s="239">
        <v>3500</v>
      </c>
      <c r="G17" s="265">
        <v>45761</v>
      </c>
      <c r="H17" s="239" t="s">
        <v>2408</v>
      </c>
      <c r="I17" s="264" t="s">
        <v>2300</v>
      </c>
      <c r="L17" s="252"/>
    </row>
    <row r="18" spans="1:12">
      <c r="A18" s="266">
        <v>71635</v>
      </c>
      <c r="B18" s="266" t="s">
        <v>13</v>
      </c>
      <c r="C18" s="267" t="s">
        <v>20</v>
      </c>
      <c r="D18" s="267" t="s">
        <v>14</v>
      </c>
      <c r="E18" s="267" t="s">
        <v>15</v>
      </c>
      <c r="F18" s="266">
        <v>1</v>
      </c>
      <c r="G18" s="268">
        <v>45854</v>
      </c>
      <c r="H18" s="280" t="s">
        <v>2639</v>
      </c>
      <c r="I18" s="269" t="s">
        <v>2151</v>
      </c>
      <c r="L18" s="252"/>
    </row>
    <row r="19" spans="1:12">
      <c r="A19" s="270"/>
      <c r="B19" s="270"/>
      <c r="C19" s="271"/>
      <c r="D19" s="271" t="s">
        <v>1097</v>
      </c>
      <c r="E19" s="271" t="s">
        <v>1768</v>
      </c>
      <c r="F19" s="270">
        <v>1</v>
      </c>
      <c r="G19" s="272"/>
      <c r="H19" s="270"/>
      <c r="I19" s="269" t="s">
        <v>2151</v>
      </c>
      <c r="L19" s="252"/>
    </row>
    <row r="20" spans="1:12">
      <c r="A20" s="270"/>
      <c r="B20" s="270"/>
      <c r="C20" s="271"/>
      <c r="D20" s="271" t="s">
        <v>1098</v>
      </c>
      <c r="E20" s="271" t="s">
        <v>1769</v>
      </c>
      <c r="F20" s="270">
        <v>3</v>
      </c>
      <c r="G20" s="272"/>
      <c r="H20" s="270"/>
      <c r="I20" s="269" t="s">
        <v>2151</v>
      </c>
      <c r="L20" s="252"/>
    </row>
    <row r="21" spans="1:12">
      <c r="A21" s="270"/>
      <c r="B21" s="270"/>
      <c r="C21" s="271"/>
      <c r="D21" s="271" t="s">
        <v>1099</v>
      </c>
      <c r="E21" s="271" t="s">
        <v>1770</v>
      </c>
      <c r="F21" s="270">
        <v>1</v>
      </c>
      <c r="G21" s="272"/>
      <c r="H21" s="270"/>
      <c r="I21" s="269" t="s">
        <v>2151</v>
      </c>
      <c r="L21" s="252"/>
    </row>
    <row r="22" spans="1:12">
      <c r="A22" s="270"/>
      <c r="B22" s="270"/>
      <c r="C22" s="271"/>
      <c r="D22" s="271" t="s">
        <v>1101</v>
      </c>
      <c r="E22" s="271" t="s">
        <v>1771</v>
      </c>
      <c r="F22" s="270">
        <v>1</v>
      </c>
      <c r="G22" s="272"/>
      <c r="H22" s="270"/>
      <c r="I22" s="269" t="s">
        <v>2151</v>
      </c>
      <c r="L22" s="252"/>
    </row>
    <row r="23" spans="1:12">
      <c r="A23" s="270"/>
      <c r="B23" s="270"/>
      <c r="C23" s="271"/>
      <c r="D23" s="271" t="s">
        <v>1100</v>
      </c>
      <c r="E23" s="271" t="s">
        <v>1743</v>
      </c>
      <c r="F23" s="270">
        <v>1</v>
      </c>
      <c r="G23" s="272"/>
      <c r="H23" s="270"/>
      <c r="I23" s="269" t="s">
        <v>2151</v>
      </c>
      <c r="L23" s="252"/>
    </row>
    <row r="24" spans="1:12">
      <c r="A24" s="270"/>
      <c r="B24" s="270"/>
      <c r="C24" s="271"/>
      <c r="D24" s="271" t="s">
        <v>1093</v>
      </c>
      <c r="E24" s="271" t="s">
        <v>1741</v>
      </c>
      <c r="F24" s="270">
        <v>2</v>
      </c>
      <c r="G24" s="272"/>
      <c r="H24" s="270"/>
      <c r="I24" s="269" t="s">
        <v>2151</v>
      </c>
      <c r="L24" s="252"/>
    </row>
    <row r="25" spans="1:12">
      <c r="A25" s="273"/>
      <c r="B25" s="273"/>
      <c r="C25" s="269"/>
      <c r="D25" s="274" t="s">
        <v>1094</v>
      </c>
      <c r="E25" s="274" t="s">
        <v>1740</v>
      </c>
      <c r="F25" s="275">
        <v>1</v>
      </c>
      <c r="G25" s="276"/>
      <c r="H25" s="275"/>
      <c r="I25" s="269" t="s">
        <v>2151</v>
      </c>
      <c r="L25" s="252"/>
    </row>
    <row r="26" spans="1:12">
      <c r="A26" s="270"/>
      <c r="B26" s="270"/>
      <c r="C26" s="271"/>
      <c r="D26" s="271" t="s">
        <v>1101</v>
      </c>
      <c r="E26" s="271" t="s">
        <v>1771</v>
      </c>
      <c r="F26" s="270">
        <v>1</v>
      </c>
      <c r="G26" s="272"/>
      <c r="H26" s="270"/>
      <c r="I26" s="269" t="s">
        <v>2151</v>
      </c>
      <c r="L26" s="252"/>
    </row>
    <row r="27" spans="1:12">
      <c r="A27" s="270"/>
      <c r="B27" s="270"/>
      <c r="C27" s="271"/>
      <c r="D27" s="271" t="s">
        <v>1100</v>
      </c>
      <c r="E27" s="271" t="s">
        <v>1743</v>
      </c>
      <c r="F27" s="270">
        <v>1</v>
      </c>
      <c r="G27" s="272"/>
      <c r="H27" s="270"/>
      <c r="I27" s="269" t="s">
        <v>2151</v>
      </c>
      <c r="L27" s="252"/>
    </row>
    <row r="28" spans="1:12">
      <c r="A28" s="273"/>
      <c r="B28" s="273"/>
      <c r="C28" s="269"/>
      <c r="D28" s="274" t="s">
        <v>1095</v>
      </c>
      <c r="E28" s="274" t="s">
        <v>1749</v>
      </c>
      <c r="F28" s="275">
        <v>1</v>
      </c>
      <c r="G28" s="276"/>
      <c r="H28" s="275"/>
      <c r="I28" s="269" t="s">
        <v>2151</v>
      </c>
      <c r="L28" s="252"/>
    </row>
    <row r="29" spans="1:12">
      <c r="A29" s="270"/>
      <c r="B29" s="270"/>
      <c r="C29" s="271"/>
      <c r="D29" s="271" t="s">
        <v>1744</v>
      </c>
      <c r="E29" s="271" t="s">
        <v>1750</v>
      </c>
      <c r="F29" s="270">
        <v>1</v>
      </c>
      <c r="G29" s="272"/>
      <c r="H29" s="270"/>
      <c r="I29" s="269" t="s">
        <v>2151</v>
      </c>
      <c r="L29" s="252"/>
    </row>
    <row r="30" spans="1:12">
      <c r="A30" s="270"/>
      <c r="B30" s="270"/>
      <c r="C30" s="271"/>
      <c r="D30" s="271" t="s">
        <v>1745</v>
      </c>
      <c r="E30" s="271" t="s">
        <v>1751</v>
      </c>
      <c r="F30" s="270">
        <v>1</v>
      </c>
      <c r="G30" s="272"/>
      <c r="H30" s="270"/>
      <c r="I30" s="269" t="s">
        <v>2151</v>
      </c>
      <c r="L30" s="252"/>
    </row>
    <row r="31" spans="1:12">
      <c r="A31" s="270"/>
      <c r="B31" s="270"/>
      <c r="C31" s="271"/>
      <c r="D31" s="271" t="s">
        <v>2149</v>
      </c>
      <c r="E31" s="271" t="s">
        <v>1752</v>
      </c>
      <c r="F31" s="270">
        <v>1</v>
      </c>
      <c r="G31" s="272"/>
      <c r="H31" s="270"/>
      <c r="I31" s="269" t="s">
        <v>2151</v>
      </c>
      <c r="L31" s="252"/>
    </row>
    <row r="32" spans="1:12">
      <c r="A32" s="270"/>
      <c r="B32" s="270"/>
      <c r="C32" s="271"/>
      <c r="D32" s="271" t="s">
        <v>1747</v>
      </c>
      <c r="E32" s="271" t="s">
        <v>1753</v>
      </c>
      <c r="F32" s="270">
        <v>1</v>
      </c>
      <c r="G32" s="272"/>
      <c r="H32" s="270"/>
      <c r="I32" s="269" t="s">
        <v>2151</v>
      </c>
      <c r="L32" s="252"/>
    </row>
    <row r="33" spans="1:12">
      <c r="A33" s="273"/>
      <c r="B33" s="273"/>
      <c r="C33" s="269"/>
      <c r="D33" s="277" t="s">
        <v>1748</v>
      </c>
      <c r="E33" s="277" t="s">
        <v>1754</v>
      </c>
      <c r="F33" s="278">
        <v>1</v>
      </c>
      <c r="G33" s="279"/>
      <c r="H33" s="278"/>
      <c r="I33" s="269" t="s">
        <v>2151</v>
      </c>
      <c r="L33" s="252"/>
    </row>
    <row r="34" spans="1:12">
      <c r="A34" s="273"/>
      <c r="B34" s="273"/>
      <c r="C34" s="269"/>
      <c r="D34" s="277" t="s">
        <v>1745</v>
      </c>
      <c r="E34" s="277" t="s">
        <v>1751</v>
      </c>
      <c r="F34" s="278">
        <v>1</v>
      </c>
      <c r="G34" s="279"/>
      <c r="H34" s="278"/>
      <c r="I34" s="269" t="s">
        <v>2151</v>
      </c>
      <c r="L34" s="252"/>
    </row>
    <row r="35" spans="1:12">
      <c r="A35" s="273"/>
      <c r="B35" s="273"/>
      <c r="C35" s="269"/>
      <c r="D35" s="277" t="s">
        <v>2149</v>
      </c>
      <c r="E35" s="277" t="s">
        <v>1752</v>
      </c>
      <c r="F35" s="278">
        <v>1</v>
      </c>
      <c r="G35" s="279"/>
      <c r="H35" s="278"/>
      <c r="I35" s="269" t="s">
        <v>2151</v>
      </c>
      <c r="L35" s="252"/>
    </row>
    <row r="36" spans="1:12">
      <c r="A36" s="273"/>
      <c r="B36" s="273"/>
      <c r="C36" s="269"/>
      <c r="D36" s="274" t="s">
        <v>1096</v>
      </c>
      <c r="E36" s="274" t="s">
        <v>1755</v>
      </c>
      <c r="F36" s="275">
        <v>1</v>
      </c>
      <c r="G36" s="276"/>
      <c r="H36" s="275"/>
      <c r="I36" s="269" t="s">
        <v>2151</v>
      </c>
      <c r="L36" s="252"/>
    </row>
    <row r="37" spans="1:12">
      <c r="A37" s="270"/>
      <c r="B37" s="270"/>
      <c r="C37" s="271"/>
      <c r="D37" s="271" t="s">
        <v>1756</v>
      </c>
      <c r="E37" s="271" t="s">
        <v>1761</v>
      </c>
      <c r="F37" s="270">
        <v>1</v>
      </c>
      <c r="G37" s="272"/>
      <c r="H37" s="270"/>
      <c r="I37" s="269" t="s">
        <v>2151</v>
      </c>
      <c r="L37" s="252"/>
    </row>
    <row r="38" spans="1:12">
      <c r="A38" s="270"/>
      <c r="B38" s="270"/>
      <c r="C38" s="271"/>
      <c r="D38" s="271" t="s">
        <v>1744</v>
      </c>
      <c r="E38" s="271" t="s">
        <v>1762</v>
      </c>
      <c r="F38" s="270">
        <v>1</v>
      </c>
      <c r="G38" s="272"/>
      <c r="H38" s="270"/>
      <c r="I38" s="269" t="s">
        <v>2151</v>
      </c>
      <c r="L38" s="252"/>
    </row>
    <row r="39" spans="1:12">
      <c r="A39" s="270"/>
      <c r="B39" s="270"/>
      <c r="C39" s="271"/>
      <c r="D39" s="271" t="s">
        <v>1757</v>
      </c>
      <c r="E39" s="271" t="s">
        <v>1763</v>
      </c>
      <c r="F39" s="270">
        <v>1</v>
      </c>
      <c r="G39" s="272"/>
      <c r="H39" s="270"/>
      <c r="I39" s="269" t="s">
        <v>2151</v>
      </c>
      <c r="L39" s="252"/>
    </row>
    <row r="40" spans="1:12">
      <c r="A40" s="270"/>
      <c r="B40" s="270"/>
      <c r="C40" s="271"/>
      <c r="D40" s="271" t="s">
        <v>1758</v>
      </c>
      <c r="E40" s="271" t="s">
        <v>1764</v>
      </c>
      <c r="F40" s="270">
        <v>1</v>
      </c>
      <c r="G40" s="272"/>
      <c r="H40" s="270"/>
      <c r="I40" s="269" t="s">
        <v>2151</v>
      </c>
      <c r="L40" s="252"/>
    </row>
    <row r="41" spans="1:12">
      <c r="A41" s="270"/>
      <c r="B41" s="270"/>
      <c r="C41" s="271"/>
      <c r="D41" s="271" t="s">
        <v>1759</v>
      </c>
      <c r="E41" s="271" t="s">
        <v>1765</v>
      </c>
      <c r="F41" s="270">
        <v>1</v>
      </c>
      <c r="G41" s="272"/>
      <c r="H41" s="270"/>
      <c r="I41" s="269" t="s">
        <v>2151</v>
      </c>
      <c r="L41" s="252"/>
    </row>
    <row r="42" spans="1:12">
      <c r="A42" s="270"/>
      <c r="B42" s="270"/>
      <c r="C42" s="271"/>
      <c r="D42" s="271" t="s">
        <v>1760</v>
      </c>
      <c r="E42" s="271" t="s">
        <v>1766</v>
      </c>
      <c r="F42" s="270">
        <v>1</v>
      </c>
      <c r="G42" s="272"/>
      <c r="H42" s="270"/>
      <c r="I42" s="269" t="s">
        <v>2151</v>
      </c>
      <c r="L42" s="252"/>
    </row>
    <row r="43" spans="1:12">
      <c r="A43" s="273"/>
      <c r="B43" s="273"/>
      <c r="C43" s="269"/>
      <c r="D43" s="277" t="s">
        <v>1748</v>
      </c>
      <c r="E43" s="277" t="s">
        <v>2150</v>
      </c>
      <c r="F43" s="278">
        <v>1</v>
      </c>
      <c r="G43" s="279"/>
      <c r="H43" s="278"/>
      <c r="I43" s="269" t="s">
        <v>2151</v>
      </c>
      <c r="L43" s="252"/>
    </row>
    <row r="44" spans="1:12">
      <c r="A44" s="280">
        <v>71636</v>
      </c>
      <c r="B44" s="280" t="s">
        <v>13</v>
      </c>
      <c r="C44" s="281" t="s">
        <v>20</v>
      </c>
      <c r="D44" s="281" t="s">
        <v>52</v>
      </c>
      <c r="E44" s="281" t="s">
        <v>51</v>
      </c>
      <c r="F44" s="280">
        <v>7</v>
      </c>
      <c r="G44" s="282">
        <v>45854</v>
      </c>
      <c r="H44" s="280" t="s">
        <v>2639</v>
      </c>
      <c r="I44" s="264" t="s">
        <v>2151</v>
      </c>
      <c r="L44" s="252"/>
    </row>
    <row r="45" spans="1:12">
      <c r="A45" s="261"/>
      <c r="B45" s="261"/>
      <c r="C45" s="262"/>
      <c r="D45" s="262" t="s">
        <v>1174</v>
      </c>
      <c r="E45" s="262" t="s">
        <v>1175</v>
      </c>
      <c r="F45" s="261">
        <v>1</v>
      </c>
      <c r="G45" s="263"/>
      <c r="H45" s="261"/>
      <c r="I45" s="264" t="s">
        <v>2151</v>
      </c>
      <c r="L45" s="252"/>
    </row>
    <row r="46" spans="1:12">
      <c r="A46" s="280">
        <v>71637</v>
      </c>
      <c r="B46" s="280" t="s">
        <v>13</v>
      </c>
      <c r="C46" s="281" t="s">
        <v>20</v>
      </c>
      <c r="D46" s="281" t="s">
        <v>54</v>
      </c>
      <c r="E46" s="281" t="s">
        <v>53</v>
      </c>
      <c r="F46" s="280">
        <v>2</v>
      </c>
      <c r="G46" s="282">
        <v>45854</v>
      </c>
      <c r="H46" s="280" t="s">
        <v>2639</v>
      </c>
      <c r="I46" s="283" t="s">
        <v>2151</v>
      </c>
      <c r="L46" s="252"/>
    </row>
    <row r="47" spans="1:12">
      <c r="A47" s="280">
        <v>71638</v>
      </c>
      <c r="B47" s="280" t="s">
        <v>13</v>
      </c>
      <c r="C47" s="281" t="s">
        <v>20</v>
      </c>
      <c r="D47" s="281" t="s">
        <v>56</v>
      </c>
      <c r="E47" s="281" t="s">
        <v>55</v>
      </c>
      <c r="F47" s="280">
        <v>17</v>
      </c>
      <c r="G47" s="282">
        <v>45854</v>
      </c>
      <c r="H47" s="280" t="s">
        <v>2639</v>
      </c>
      <c r="I47" s="264" t="s">
        <v>2151</v>
      </c>
      <c r="L47" s="252"/>
    </row>
    <row r="48" spans="1:12">
      <c r="A48" s="261"/>
      <c r="B48" s="261"/>
      <c r="C48" s="262"/>
      <c r="D48" s="262" t="s">
        <v>1102</v>
      </c>
      <c r="E48" s="262" t="s">
        <v>1103</v>
      </c>
      <c r="F48" s="261">
        <v>1</v>
      </c>
      <c r="G48" s="263"/>
      <c r="H48" s="261"/>
      <c r="I48" s="264" t="s">
        <v>2151</v>
      </c>
      <c r="L48" s="252"/>
    </row>
    <row r="49" spans="1:48">
      <c r="A49" s="261"/>
      <c r="B49" s="261"/>
      <c r="C49" s="262"/>
      <c r="D49" s="262" t="s">
        <v>1104</v>
      </c>
      <c r="E49" s="262" t="s">
        <v>1105</v>
      </c>
      <c r="F49" s="261">
        <v>1</v>
      </c>
      <c r="G49" s="263"/>
      <c r="H49" s="261"/>
      <c r="I49" s="264" t="s">
        <v>2151</v>
      </c>
      <c r="L49" s="252"/>
    </row>
    <row r="50" spans="1:48">
      <c r="A50" s="261"/>
      <c r="B50" s="261"/>
      <c r="C50" s="262"/>
      <c r="D50" s="262" t="s">
        <v>1104</v>
      </c>
      <c r="E50" s="262" t="s">
        <v>1106</v>
      </c>
      <c r="F50" s="261">
        <v>1</v>
      </c>
      <c r="G50" s="263"/>
      <c r="H50" s="261"/>
      <c r="I50" s="264" t="s">
        <v>2151</v>
      </c>
      <c r="L50" s="252"/>
    </row>
    <row r="51" spans="1:48">
      <c r="A51" s="261"/>
      <c r="B51" s="261"/>
      <c r="C51" s="262"/>
      <c r="D51" s="262" t="s">
        <v>1107</v>
      </c>
      <c r="E51" s="262" t="s">
        <v>1108</v>
      </c>
      <c r="F51" s="261">
        <v>1</v>
      </c>
      <c r="G51" s="263"/>
      <c r="H51" s="261"/>
      <c r="I51" s="264" t="s">
        <v>2151</v>
      </c>
      <c r="L51" s="252"/>
    </row>
    <row r="52" spans="1:48">
      <c r="A52" s="261"/>
      <c r="B52" s="261"/>
      <c r="C52" s="262"/>
      <c r="D52" s="262" t="s">
        <v>1109</v>
      </c>
      <c r="E52" s="262" t="s">
        <v>1110</v>
      </c>
      <c r="F52" s="261">
        <v>1</v>
      </c>
      <c r="G52" s="263"/>
      <c r="H52" s="261"/>
      <c r="I52" s="264" t="s">
        <v>2151</v>
      </c>
      <c r="L52" s="252"/>
    </row>
    <row r="53" spans="1:48">
      <c r="A53" s="261"/>
      <c r="B53" s="261"/>
      <c r="C53" s="262"/>
      <c r="D53" s="262" t="s">
        <v>1111</v>
      </c>
      <c r="E53" s="262" t="s">
        <v>1112</v>
      </c>
      <c r="F53" s="261">
        <v>1</v>
      </c>
      <c r="G53" s="263"/>
      <c r="H53" s="261"/>
      <c r="I53" s="264" t="s">
        <v>2151</v>
      </c>
      <c r="L53" s="252"/>
    </row>
    <row r="54" spans="1:48">
      <c r="A54" s="261">
        <v>71639</v>
      </c>
      <c r="B54" s="261" t="s">
        <v>13</v>
      </c>
      <c r="C54" s="262" t="s">
        <v>20</v>
      </c>
      <c r="D54" s="262" t="s">
        <v>58</v>
      </c>
      <c r="E54" s="262" t="s">
        <v>57</v>
      </c>
      <c r="F54" s="261">
        <v>4</v>
      </c>
      <c r="G54" s="263">
        <v>45854</v>
      </c>
      <c r="H54" s="261" t="s">
        <v>2639</v>
      </c>
      <c r="I54" s="264" t="s">
        <v>2151</v>
      </c>
      <c r="L54" s="252"/>
    </row>
    <row r="55" spans="1:48">
      <c r="A55" s="280">
        <v>71640</v>
      </c>
      <c r="B55" s="280" t="s">
        <v>13</v>
      </c>
      <c r="C55" s="281" t="s">
        <v>20</v>
      </c>
      <c r="D55" s="281" t="s">
        <v>60</v>
      </c>
      <c r="E55" s="281" t="s">
        <v>59</v>
      </c>
      <c r="F55" s="280">
        <v>2</v>
      </c>
      <c r="G55" s="282">
        <v>45854</v>
      </c>
      <c r="H55" s="280" t="s">
        <v>2639</v>
      </c>
      <c r="I55" s="264" t="s">
        <v>2151</v>
      </c>
      <c r="L55" s="252"/>
    </row>
    <row r="56" spans="1:48">
      <c r="A56" s="261"/>
      <c r="B56" s="261"/>
      <c r="C56" s="262"/>
      <c r="D56" s="262" t="s">
        <v>1113</v>
      </c>
      <c r="E56" s="262" t="s">
        <v>1114</v>
      </c>
      <c r="F56" s="261">
        <v>1</v>
      </c>
      <c r="G56" s="263"/>
      <c r="H56" s="261"/>
      <c r="I56" s="264" t="s">
        <v>2151</v>
      </c>
      <c r="L56" s="252"/>
    </row>
    <row r="57" spans="1:48">
      <c r="A57" s="261"/>
      <c r="B57" s="261"/>
      <c r="C57" s="262"/>
      <c r="D57" s="262" t="s">
        <v>1115</v>
      </c>
      <c r="E57" s="262" t="s">
        <v>1116</v>
      </c>
      <c r="F57" s="261">
        <v>1</v>
      </c>
      <c r="G57" s="263"/>
      <c r="H57" s="261"/>
      <c r="I57" s="264" t="s">
        <v>2151</v>
      </c>
      <c r="L57" s="252"/>
    </row>
    <row r="58" spans="1:48">
      <c r="A58" s="261">
        <v>71641</v>
      </c>
      <c r="B58" s="261" t="s">
        <v>13</v>
      </c>
      <c r="C58" s="262" t="s">
        <v>20</v>
      </c>
      <c r="D58" s="262" t="s">
        <v>16</v>
      </c>
      <c r="E58" s="262" t="s">
        <v>17</v>
      </c>
      <c r="F58" s="261">
        <v>5</v>
      </c>
      <c r="G58" s="263">
        <v>45854</v>
      </c>
      <c r="H58" s="261" t="s">
        <v>2639</v>
      </c>
      <c r="I58" s="264" t="s">
        <v>2151</v>
      </c>
      <c r="L58" s="252"/>
    </row>
    <row r="59" spans="1:48">
      <c r="A59" s="280">
        <v>71642</v>
      </c>
      <c r="B59" s="280" t="s">
        <v>13</v>
      </c>
      <c r="C59" s="281" t="s">
        <v>20</v>
      </c>
      <c r="D59" s="281" t="s">
        <v>62</v>
      </c>
      <c r="E59" s="281" t="s">
        <v>61</v>
      </c>
      <c r="F59" s="280">
        <v>2</v>
      </c>
      <c r="G59" s="282">
        <v>45877</v>
      </c>
      <c r="H59" s="280" t="s">
        <v>2639</v>
      </c>
      <c r="I59" s="264" t="s">
        <v>2151</v>
      </c>
      <c r="L59" s="251"/>
      <c r="AN59" s="243" t="s">
        <v>2431</v>
      </c>
      <c r="AO59" s="243" t="s">
        <v>2431</v>
      </c>
      <c r="AP59" s="243" t="s">
        <v>2432</v>
      </c>
      <c r="AQ59" s="243" t="s">
        <v>2432</v>
      </c>
      <c r="AR59" s="243" t="s">
        <v>2253</v>
      </c>
      <c r="AS59" s="243" t="s">
        <v>2427</v>
      </c>
      <c r="AT59" s="243" t="s">
        <v>2427</v>
      </c>
      <c r="AU59" s="243" t="s">
        <v>2426</v>
      </c>
      <c r="AV59" s="243" t="s">
        <v>2426</v>
      </c>
    </row>
    <row r="60" spans="1:48">
      <c r="A60" s="261"/>
      <c r="B60" s="261"/>
      <c r="C60" s="262"/>
      <c r="D60" s="262" t="s">
        <v>1117</v>
      </c>
      <c r="E60" s="262" t="s">
        <v>1118</v>
      </c>
      <c r="F60" s="261">
        <v>2</v>
      </c>
      <c r="G60" s="263"/>
      <c r="H60" s="261"/>
      <c r="I60" s="264" t="s">
        <v>2151</v>
      </c>
      <c r="L60" s="251"/>
    </row>
    <row r="61" spans="1:48">
      <c r="A61" s="261"/>
      <c r="B61" s="261"/>
      <c r="C61" s="262"/>
      <c r="D61" s="262" t="s">
        <v>1119</v>
      </c>
      <c r="E61" s="262" t="s">
        <v>1120</v>
      </c>
      <c r="F61" s="261">
        <v>2</v>
      </c>
      <c r="G61" s="263"/>
      <c r="H61" s="261"/>
      <c r="I61" s="264" t="s">
        <v>2151</v>
      </c>
      <c r="L61" s="251"/>
    </row>
    <row r="62" spans="1:48">
      <c r="A62" s="261"/>
      <c r="B62" s="261"/>
      <c r="C62" s="262"/>
      <c r="D62" s="262" t="s">
        <v>1121</v>
      </c>
      <c r="E62" s="262" t="s">
        <v>1122</v>
      </c>
      <c r="F62" s="261">
        <v>4</v>
      </c>
      <c r="G62" s="263"/>
      <c r="H62" s="261"/>
      <c r="I62" s="264" t="s">
        <v>2151</v>
      </c>
      <c r="L62" s="251"/>
    </row>
    <row r="63" spans="1:48">
      <c r="A63" s="239"/>
      <c r="B63" s="239"/>
      <c r="C63" s="264"/>
      <c r="D63" s="284" t="s">
        <v>1123</v>
      </c>
      <c r="E63" s="284" t="s">
        <v>1124</v>
      </c>
      <c r="F63" s="285">
        <v>1</v>
      </c>
      <c r="G63" s="286"/>
      <c r="H63" s="285"/>
      <c r="I63" s="264" t="s">
        <v>2151</v>
      </c>
      <c r="L63" s="251"/>
    </row>
    <row r="64" spans="1:48">
      <c r="A64" s="239"/>
      <c r="B64" s="239"/>
      <c r="C64" s="264"/>
      <c r="D64" s="284" t="s">
        <v>1125</v>
      </c>
      <c r="E64" s="284" t="s">
        <v>1126</v>
      </c>
      <c r="F64" s="285">
        <v>1</v>
      </c>
      <c r="G64" s="286"/>
      <c r="H64" s="285"/>
      <c r="I64" s="264" t="s">
        <v>2151</v>
      </c>
      <c r="L64" s="251"/>
    </row>
    <row r="65" spans="1:16">
      <c r="A65" s="239"/>
      <c r="B65" s="239"/>
      <c r="C65" s="264"/>
      <c r="D65" s="284" t="s">
        <v>1125</v>
      </c>
      <c r="E65" s="284" t="s">
        <v>1127</v>
      </c>
      <c r="F65" s="285">
        <v>1</v>
      </c>
      <c r="G65" s="286"/>
      <c r="H65" s="285"/>
      <c r="I65" s="264" t="s">
        <v>2151</v>
      </c>
      <c r="L65" s="251"/>
    </row>
    <row r="66" spans="1:16">
      <c r="A66" s="239"/>
      <c r="B66" s="239"/>
      <c r="C66" s="264"/>
      <c r="D66" s="284" t="s">
        <v>1125</v>
      </c>
      <c r="E66" s="284" t="s">
        <v>1128</v>
      </c>
      <c r="F66" s="285">
        <v>1</v>
      </c>
      <c r="G66" s="286"/>
      <c r="H66" s="285"/>
      <c r="I66" s="264" t="s">
        <v>2151</v>
      </c>
      <c r="L66" s="251"/>
    </row>
    <row r="67" spans="1:16">
      <c r="A67" s="280">
        <v>71644</v>
      </c>
      <c r="B67" s="280" t="s">
        <v>13</v>
      </c>
      <c r="C67" s="281" t="s">
        <v>20</v>
      </c>
      <c r="D67" s="281" t="s">
        <v>19</v>
      </c>
      <c r="E67" s="281" t="s">
        <v>18</v>
      </c>
      <c r="F67" s="280">
        <v>6</v>
      </c>
      <c r="G67" s="282">
        <v>45854</v>
      </c>
      <c r="H67" s="280" t="s">
        <v>2639</v>
      </c>
      <c r="I67" s="264" t="s">
        <v>2151</v>
      </c>
      <c r="L67" s="252"/>
    </row>
    <row r="68" spans="1:16">
      <c r="A68" s="261"/>
      <c r="B68" s="261"/>
      <c r="C68" s="262"/>
      <c r="D68" s="262" t="s">
        <v>1129</v>
      </c>
      <c r="E68" s="262" t="s">
        <v>1130</v>
      </c>
      <c r="F68" s="261">
        <v>1</v>
      </c>
      <c r="G68" s="263"/>
      <c r="H68" s="261"/>
      <c r="I68" s="264" t="s">
        <v>2151</v>
      </c>
      <c r="L68" s="252"/>
    </row>
    <row r="69" spans="1:16">
      <c r="A69" s="261"/>
      <c r="B69" s="261"/>
      <c r="C69" s="262"/>
      <c r="D69" s="262" t="s">
        <v>1131</v>
      </c>
      <c r="E69" s="262" t="s">
        <v>1132</v>
      </c>
      <c r="F69" s="261">
        <v>1</v>
      </c>
      <c r="G69" s="263"/>
      <c r="H69" s="261"/>
      <c r="I69" s="264" t="s">
        <v>2151</v>
      </c>
      <c r="L69" s="252"/>
    </row>
    <row r="70" spans="1:16">
      <c r="A70" s="261"/>
      <c r="B70" s="261"/>
      <c r="C70" s="262"/>
      <c r="D70" s="262" t="s">
        <v>1133</v>
      </c>
      <c r="E70" s="262" t="s">
        <v>1134</v>
      </c>
      <c r="F70" s="261">
        <v>1</v>
      </c>
      <c r="G70" s="263"/>
      <c r="H70" s="261"/>
      <c r="I70" s="264" t="s">
        <v>2151</v>
      </c>
      <c r="L70" s="252"/>
    </row>
    <row r="71" spans="1:16">
      <c r="A71" s="261"/>
      <c r="B71" s="261"/>
      <c r="C71" s="262"/>
      <c r="D71" s="262" t="s">
        <v>1135</v>
      </c>
      <c r="E71" s="262" t="s">
        <v>1136</v>
      </c>
      <c r="F71" s="261">
        <v>1</v>
      </c>
      <c r="G71" s="263"/>
      <c r="H71" s="261"/>
      <c r="I71" s="264" t="s">
        <v>2151</v>
      </c>
      <c r="L71" s="252"/>
    </row>
    <row r="72" spans="1:16">
      <c r="A72" s="280">
        <v>71645</v>
      </c>
      <c r="B72" s="280" t="s">
        <v>21</v>
      </c>
      <c r="C72" s="281" t="s">
        <v>20</v>
      </c>
      <c r="D72" s="281" t="s">
        <v>23</v>
      </c>
      <c r="E72" s="281" t="s">
        <v>22</v>
      </c>
      <c r="F72" s="280">
        <v>2</v>
      </c>
      <c r="G72" s="282">
        <v>45854</v>
      </c>
      <c r="H72" s="321">
        <v>45894</v>
      </c>
      <c r="I72" s="264" t="s">
        <v>2151</v>
      </c>
      <c r="L72" s="252"/>
    </row>
    <row r="73" spans="1:16">
      <c r="A73" s="239"/>
      <c r="B73" s="239"/>
      <c r="C73" s="264"/>
      <c r="D73" s="284" t="s">
        <v>1137</v>
      </c>
      <c r="E73" s="284" t="s">
        <v>1138</v>
      </c>
      <c r="F73" s="285">
        <v>1</v>
      </c>
      <c r="G73" s="286"/>
      <c r="H73" s="285"/>
      <c r="I73" s="264" t="s">
        <v>2151</v>
      </c>
      <c r="L73" s="252"/>
      <c r="P73" s="243" t="s">
        <v>2248</v>
      </c>
    </row>
    <row r="74" spans="1:16">
      <c r="A74" s="261"/>
      <c r="B74" s="261"/>
      <c r="C74" s="262"/>
      <c r="D74" s="262" t="s">
        <v>2258</v>
      </c>
      <c r="E74" s="262" t="s">
        <v>2259</v>
      </c>
      <c r="F74" s="261">
        <v>11</v>
      </c>
      <c r="G74" s="263"/>
      <c r="H74" s="261"/>
      <c r="I74" s="264" t="s">
        <v>2151</v>
      </c>
      <c r="L74" s="252"/>
      <c r="N74" s="243" t="s">
        <v>2248</v>
      </c>
    </row>
    <row r="75" spans="1:16">
      <c r="A75" s="261"/>
      <c r="B75" s="261"/>
      <c r="C75" s="262"/>
      <c r="D75" s="262" t="s">
        <v>2255</v>
      </c>
      <c r="E75" s="262" t="s">
        <v>2256</v>
      </c>
      <c r="F75" s="261">
        <v>11</v>
      </c>
      <c r="G75" s="263"/>
      <c r="H75" s="261"/>
      <c r="I75" s="264" t="s">
        <v>2151</v>
      </c>
      <c r="J75" s="243" t="s">
        <v>2248</v>
      </c>
      <c r="L75" s="252"/>
    </row>
    <row r="76" spans="1:16">
      <c r="A76" s="261"/>
      <c r="B76" s="261"/>
      <c r="C76" s="262"/>
      <c r="D76" s="262" t="s">
        <v>2254</v>
      </c>
      <c r="E76" s="262" t="s">
        <v>2257</v>
      </c>
      <c r="F76" s="261">
        <v>11</v>
      </c>
      <c r="G76" s="263"/>
      <c r="H76" s="261"/>
      <c r="I76" s="264" t="s">
        <v>2151</v>
      </c>
      <c r="J76" s="243" t="s">
        <v>2248</v>
      </c>
      <c r="L76" s="252"/>
    </row>
    <row r="77" spans="1:16">
      <c r="A77" s="261"/>
      <c r="B77" s="261"/>
      <c r="C77" s="262"/>
      <c r="D77" s="262" t="s">
        <v>2296</v>
      </c>
      <c r="E77" s="262" t="s">
        <v>2297</v>
      </c>
      <c r="F77" s="261">
        <v>44</v>
      </c>
      <c r="G77" s="263"/>
      <c r="H77" s="261"/>
      <c r="I77" s="264" t="s">
        <v>2151</v>
      </c>
      <c r="L77" s="252"/>
    </row>
    <row r="78" spans="1:16">
      <c r="A78" s="280">
        <v>71646</v>
      </c>
      <c r="B78" s="280" t="s">
        <v>21</v>
      </c>
      <c r="C78" s="281" t="s">
        <v>20</v>
      </c>
      <c r="D78" s="281" t="s">
        <v>64</v>
      </c>
      <c r="E78" s="281" t="s">
        <v>63</v>
      </c>
      <c r="F78" s="280">
        <v>16</v>
      </c>
      <c r="G78" s="282">
        <v>45861</v>
      </c>
      <c r="H78" s="321">
        <v>45894</v>
      </c>
      <c r="I78" s="283" t="s">
        <v>2151</v>
      </c>
      <c r="L78" s="252"/>
    </row>
    <row r="79" spans="1:16">
      <c r="A79" s="261"/>
      <c r="B79" s="261"/>
      <c r="C79" s="262"/>
      <c r="D79" s="262" t="s">
        <v>1152</v>
      </c>
      <c r="E79" s="262" t="s">
        <v>1153</v>
      </c>
      <c r="F79" s="261">
        <v>1</v>
      </c>
      <c r="G79" s="263"/>
      <c r="H79" s="261"/>
      <c r="I79" s="283" t="s">
        <v>2151</v>
      </c>
      <c r="L79" s="252"/>
    </row>
    <row r="80" spans="1:16">
      <c r="A80" s="261"/>
      <c r="B80" s="261"/>
      <c r="C80" s="262"/>
      <c r="D80" s="262" t="s">
        <v>1154</v>
      </c>
      <c r="E80" s="262" t="s">
        <v>1155</v>
      </c>
      <c r="F80" s="261">
        <v>1</v>
      </c>
      <c r="G80" s="263"/>
      <c r="H80" s="261"/>
      <c r="I80" s="283" t="s">
        <v>2151</v>
      </c>
      <c r="L80" s="252"/>
    </row>
    <row r="81" spans="1:12">
      <c r="A81" s="261"/>
      <c r="B81" s="261"/>
      <c r="C81" s="262"/>
      <c r="D81" s="262" t="s">
        <v>1156</v>
      </c>
      <c r="E81" s="262" t="s">
        <v>1157</v>
      </c>
      <c r="F81" s="261">
        <v>1</v>
      </c>
      <c r="G81" s="263"/>
      <c r="H81" s="261"/>
      <c r="I81" s="283" t="s">
        <v>2151</v>
      </c>
      <c r="L81" s="252"/>
    </row>
    <row r="82" spans="1:12">
      <c r="A82" s="261"/>
      <c r="B82" s="261"/>
      <c r="C82" s="262"/>
      <c r="D82" s="262" t="s">
        <v>1158</v>
      </c>
      <c r="E82" s="262" t="s">
        <v>1159</v>
      </c>
      <c r="F82" s="261">
        <v>1</v>
      </c>
      <c r="G82" s="263"/>
      <c r="H82" s="261"/>
      <c r="I82" s="283" t="s">
        <v>2151</v>
      </c>
      <c r="L82" s="252"/>
    </row>
    <row r="83" spans="1:12">
      <c r="A83" s="261"/>
      <c r="B83" s="261"/>
      <c r="C83" s="262"/>
      <c r="D83" s="262" t="s">
        <v>1160</v>
      </c>
      <c r="E83" s="262" t="s">
        <v>1162</v>
      </c>
      <c r="F83" s="261">
        <v>1</v>
      </c>
      <c r="G83" s="263"/>
      <c r="H83" s="261"/>
      <c r="I83" s="283" t="s">
        <v>2151</v>
      </c>
      <c r="J83" s="243" t="s">
        <v>2196</v>
      </c>
      <c r="L83" s="252"/>
    </row>
    <row r="84" spans="1:12">
      <c r="A84" s="261"/>
      <c r="B84" s="261"/>
      <c r="C84" s="262"/>
      <c r="D84" s="262" t="s">
        <v>1161</v>
      </c>
      <c r="E84" s="262" t="s">
        <v>1163</v>
      </c>
      <c r="F84" s="261">
        <v>1</v>
      </c>
      <c r="G84" s="263"/>
      <c r="H84" s="261"/>
      <c r="I84" s="283" t="s">
        <v>2151</v>
      </c>
      <c r="L84" s="252"/>
    </row>
    <row r="85" spans="1:12">
      <c r="A85" s="280">
        <v>71647</v>
      </c>
      <c r="B85" s="280" t="s">
        <v>21</v>
      </c>
      <c r="C85" s="281" t="s">
        <v>20</v>
      </c>
      <c r="D85" s="281" t="s">
        <v>24</v>
      </c>
      <c r="E85" s="281" t="s">
        <v>25</v>
      </c>
      <c r="F85" s="280">
        <v>8</v>
      </c>
      <c r="G85" s="282">
        <v>45861</v>
      </c>
      <c r="H85" s="321">
        <v>45894</v>
      </c>
      <c r="I85" s="264" t="s">
        <v>2151</v>
      </c>
      <c r="L85" s="252"/>
    </row>
    <row r="86" spans="1:12">
      <c r="A86" s="261"/>
      <c r="B86" s="261"/>
      <c r="C86" s="262"/>
      <c r="D86" s="262" t="s">
        <v>1718</v>
      </c>
      <c r="E86" s="262" t="s">
        <v>2295</v>
      </c>
      <c r="F86" s="261">
        <v>16</v>
      </c>
      <c r="G86" s="263"/>
      <c r="H86" s="261"/>
      <c r="I86" s="264" t="s">
        <v>2151</v>
      </c>
      <c r="L86" s="252"/>
    </row>
    <row r="87" spans="1:12">
      <c r="A87" s="261"/>
      <c r="B87" s="261"/>
      <c r="C87" s="262"/>
      <c r="D87" s="262" t="s">
        <v>1164</v>
      </c>
      <c r="E87" s="262" t="s">
        <v>1165</v>
      </c>
      <c r="F87" s="261">
        <v>1</v>
      </c>
      <c r="G87" s="263"/>
      <c r="H87" s="261"/>
      <c r="I87" s="264" t="s">
        <v>2151</v>
      </c>
      <c r="L87" s="252"/>
    </row>
    <row r="88" spans="1:12">
      <c r="A88" s="261"/>
      <c r="B88" s="261"/>
      <c r="C88" s="262"/>
      <c r="D88" s="262" t="s">
        <v>1166</v>
      </c>
      <c r="E88" s="262" t="s">
        <v>1167</v>
      </c>
      <c r="F88" s="261">
        <v>1</v>
      </c>
      <c r="G88" s="263"/>
      <c r="H88" s="261"/>
      <c r="I88" s="264" t="s">
        <v>2151</v>
      </c>
      <c r="L88" s="252"/>
    </row>
    <row r="89" spans="1:12">
      <c r="A89" s="261"/>
      <c r="B89" s="261"/>
      <c r="C89" s="262"/>
      <c r="D89" s="262" t="s">
        <v>1151</v>
      </c>
      <c r="E89" s="262" t="s">
        <v>65</v>
      </c>
      <c r="F89" s="261">
        <v>1</v>
      </c>
      <c r="G89" s="263"/>
      <c r="H89" s="261"/>
      <c r="I89" s="264" t="s">
        <v>2151</v>
      </c>
      <c r="L89" s="252"/>
    </row>
    <row r="90" spans="1:12">
      <c r="A90" s="261">
        <v>71648</v>
      </c>
      <c r="B90" s="261" t="s">
        <v>21</v>
      </c>
      <c r="C90" s="262" t="s">
        <v>20</v>
      </c>
      <c r="D90" s="262" t="s">
        <v>66</v>
      </c>
      <c r="E90" s="262" t="s">
        <v>65</v>
      </c>
      <c r="F90" s="261">
        <v>7</v>
      </c>
      <c r="G90" s="263">
        <v>45861</v>
      </c>
      <c r="H90" s="322">
        <v>45894</v>
      </c>
      <c r="I90" s="264" t="s">
        <v>2151</v>
      </c>
      <c r="L90" s="252"/>
    </row>
    <row r="91" spans="1:12">
      <c r="A91" s="261">
        <v>71649</v>
      </c>
      <c r="B91" s="261" t="s">
        <v>21</v>
      </c>
      <c r="C91" s="262" t="s">
        <v>20</v>
      </c>
      <c r="D91" s="262" t="s">
        <v>26</v>
      </c>
      <c r="E91" s="262" t="s">
        <v>27</v>
      </c>
      <c r="F91" s="261">
        <v>28</v>
      </c>
      <c r="G91" s="263">
        <v>45861</v>
      </c>
      <c r="H91" s="322">
        <v>45894</v>
      </c>
      <c r="I91" s="283" t="s">
        <v>2151</v>
      </c>
      <c r="L91" s="252"/>
    </row>
    <row r="92" spans="1:12">
      <c r="A92" s="280">
        <v>71650</v>
      </c>
      <c r="B92" s="280" t="s">
        <v>21</v>
      </c>
      <c r="C92" s="281" t="s">
        <v>20</v>
      </c>
      <c r="D92" s="281" t="s">
        <v>28</v>
      </c>
      <c r="E92" s="281" t="s">
        <v>29</v>
      </c>
      <c r="F92" s="280">
        <v>10</v>
      </c>
      <c r="G92" s="282">
        <v>45861</v>
      </c>
      <c r="H92" s="321">
        <v>45894</v>
      </c>
      <c r="I92" s="264" t="s">
        <v>2151</v>
      </c>
      <c r="L92" s="252"/>
    </row>
    <row r="93" spans="1:12">
      <c r="A93" s="261"/>
      <c r="B93" s="261"/>
      <c r="C93" s="262"/>
      <c r="D93" s="288" t="s">
        <v>1216</v>
      </c>
      <c r="E93" s="262" t="s">
        <v>1230</v>
      </c>
      <c r="F93" s="261">
        <v>1</v>
      </c>
      <c r="G93" s="263"/>
      <c r="H93" s="261"/>
      <c r="I93" s="264" t="s">
        <v>2151</v>
      </c>
      <c r="L93" s="252"/>
    </row>
    <row r="94" spans="1:12">
      <c r="A94" s="261"/>
      <c r="B94" s="261"/>
      <c r="C94" s="262"/>
      <c r="D94" s="288" t="s">
        <v>1209</v>
      </c>
      <c r="E94" s="262" t="s">
        <v>1212</v>
      </c>
      <c r="F94" s="261">
        <v>1</v>
      </c>
      <c r="G94" s="263"/>
      <c r="H94" s="261"/>
      <c r="I94" s="264" t="s">
        <v>2151</v>
      </c>
      <c r="L94" s="252"/>
    </row>
    <row r="95" spans="1:12">
      <c r="A95" s="261"/>
      <c r="B95" s="261"/>
      <c r="C95" s="262"/>
      <c r="D95" s="288" t="s">
        <v>1210</v>
      </c>
      <c r="E95" s="262" t="s">
        <v>33</v>
      </c>
      <c r="F95" s="261">
        <v>1</v>
      </c>
      <c r="G95" s="263"/>
      <c r="H95" s="261"/>
      <c r="I95" s="264" t="s">
        <v>2151</v>
      </c>
      <c r="L95" s="252"/>
    </row>
    <row r="96" spans="1:12">
      <c r="A96" s="280">
        <v>71651</v>
      </c>
      <c r="B96" s="280" t="s">
        <v>21</v>
      </c>
      <c r="C96" s="281" t="s">
        <v>20</v>
      </c>
      <c r="D96" s="281" t="s">
        <v>30</v>
      </c>
      <c r="E96" s="281" t="s">
        <v>31</v>
      </c>
      <c r="F96" s="280">
        <v>10</v>
      </c>
      <c r="G96" s="282">
        <v>45861</v>
      </c>
      <c r="H96" s="321">
        <v>45894</v>
      </c>
      <c r="I96" s="264" t="s">
        <v>2151</v>
      </c>
      <c r="L96" s="252"/>
    </row>
    <row r="97" spans="1:12">
      <c r="A97" s="261"/>
      <c r="B97" s="261"/>
      <c r="C97" s="262"/>
      <c r="D97" s="288" t="s">
        <v>1216</v>
      </c>
      <c r="E97" s="262" t="s">
        <v>1217</v>
      </c>
      <c r="F97" s="261">
        <v>1</v>
      </c>
      <c r="G97" s="263"/>
      <c r="H97" s="261"/>
      <c r="I97" s="264" t="s">
        <v>2151</v>
      </c>
      <c r="L97" s="252"/>
    </row>
    <row r="98" spans="1:12">
      <c r="A98" s="280">
        <v>71652</v>
      </c>
      <c r="B98" s="280" t="s">
        <v>21</v>
      </c>
      <c r="C98" s="281" t="s">
        <v>20</v>
      </c>
      <c r="D98" s="281" t="s">
        <v>32</v>
      </c>
      <c r="E98" s="281" t="s">
        <v>33</v>
      </c>
      <c r="F98" s="280">
        <v>14</v>
      </c>
      <c r="G98" s="282">
        <v>45861</v>
      </c>
      <c r="H98" s="321">
        <v>45894</v>
      </c>
      <c r="I98" s="264" t="s">
        <v>2151</v>
      </c>
      <c r="L98" s="252"/>
    </row>
    <row r="99" spans="1:12">
      <c r="A99" s="280">
        <v>71653</v>
      </c>
      <c r="B99" s="280" t="s">
        <v>21</v>
      </c>
      <c r="C99" s="281" t="s">
        <v>20</v>
      </c>
      <c r="D99" s="281" t="s">
        <v>34</v>
      </c>
      <c r="E99" s="281" t="s">
        <v>830</v>
      </c>
      <c r="F99" s="280">
        <v>8</v>
      </c>
      <c r="G99" s="282">
        <v>45861</v>
      </c>
      <c r="H99" s="321">
        <v>45894</v>
      </c>
      <c r="I99" s="264" t="s">
        <v>2151</v>
      </c>
      <c r="L99" s="252"/>
    </row>
    <row r="100" spans="1:12">
      <c r="A100" s="261">
        <v>71654</v>
      </c>
      <c r="B100" s="261" t="s">
        <v>21</v>
      </c>
      <c r="C100" s="262" t="s">
        <v>20</v>
      </c>
      <c r="D100" s="262" t="s">
        <v>68</v>
      </c>
      <c r="E100" s="262" t="s">
        <v>67</v>
      </c>
      <c r="F100" s="261">
        <v>8</v>
      </c>
      <c r="G100" s="263">
        <v>45861</v>
      </c>
      <c r="H100" s="322">
        <v>45894</v>
      </c>
      <c r="I100" s="264" t="s">
        <v>2151</v>
      </c>
      <c r="L100" s="254"/>
    </row>
    <row r="101" spans="1:12">
      <c r="A101" s="280">
        <v>71655</v>
      </c>
      <c r="B101" s="280" t="s">
        <v>21</v>
      </c>
      <c r="C101" s="281" t="s">
        <v>20</v>
      </c>
      <c r="D101" s="281" t="s">
        <v>585</v>
      </c>
      <c r="E101" s="281" t="s">
        <v>69</v>
      </c>
      <c r="F101" s="280">
        <v>8</v>
      </c>
      <c r="G101" s="282">
        <v>45861</v>
      </c>
      <c r="H101" s="321">
        <v>45894</v>
      </c>
      <c r="I101" s="264" t="s">
        <v>2151</v>
      </c>
      <c r="L101" s="252"/>
    </row>
    <row r="102" spans="1:12">
      <c r="A102" s="261"/>
      <c r="B102" s="261"/>
      <c r="C102" s="262"/>
      <c r="D102" s="262" t="s">
        <v>1202</v>
      </c>
      <c r="E102" s="262" t="s">
        <v>1205</v>
      </c>
      <c r="F102" s="261">
        <v>1</v>
      </c>
      <c r="G102" s="263"/>
      <c r="H102" s="261"/>
      <c r="I102" s="264" t="s">
        <v>2151</v>
      </c>
      <c r="L102" s="252"/>
    </row>
    <row r="103" spans="1:12">
      <c r="A103" s="261"/>
      <c r="B103" s="261"/>
      <c r="C103" s="262"/>
      <c r="D103" s="262" t="s">
        <v>1141</v>
      </c>
      <c r="E103" s="262" t="s">
        <v>27</v>
      </c>
      <c r="F103" s="261">
        <v>1</v>
      </c>
      <c r="G103" s="263"/>
      <c r="H103" s="261"/>
      <c r="I103" s="264" t="s">
        <v>2151</v>
      </c>
      <c r="L103" s="252"/>
    </row>
    <row r="104" spans="1:12">
      <c r="A104" s="261"/>
      <c r="B104" s="261"/>
      <c r="C104" s="262"/>
      <c r="D104" s="262" t="s">
        <v>1203</v>
      </c>
      <c r="E104" s="262" t="s">
        <v>1206</v>
      </c>
      <c r="F104" s="261">
        <v>1</v>
      </c>
      <c r="G104" s="263"/>
      <c r="H104" s="261"/>
      <c r="I104" s="264" t="s">
        <v>2151</v>
      </c>
      <c r="L104" s="252"/>
    </row>
    <row r="105" spans="1:12">
      <c r="A105" s="280">
        <v>71656</v>
      </c>
      <c r="B105" s="280" t="s">
        <v>21</v>
      </c>
      <c r="C105" s="281" t="s">
        <v>20</v>
      </c>
      <c r="D105" s="281" t="s">
        <v>71</v>
      </c>
      <c r="E105" s="281" t="s">
        <v>70</v>
      </c>
      <c r="F105" s="280">
        <v>8</v>
      </c>
      <c r="G105" s="282">
        <v>45861</v>
      </c>
      <c r="H105" s="321">
        <v>45894</v>
      </c>
      <c r="I105" s="264" t="s">
        <v>2151</v>
      </c>
      <c r="L105" s="252"/>
    </row>
    <row r="106" spans="1:12">
      <c r="A106" s="280">
        <v>71657</v>
      </c>
      <c r="B106" s="280" t="s">
        <v>21</v>
      </c>
      <c r="C106" s="281" t="s">
        <v>20</v>
      </c>
      <c r="D106" s="281" t="s">
        <v>73</v>
      </c>
      <c r="E106" s="281" t="s">
        <v>72</v>
      </c>
      <c r="F106" s="280">
        <v>8</v>
      </c>
      <c r="G106" s="282">
        <v>45861</v>
      </c>
      <c r="H106" s="321">
        <v>45894</v>
      </c>
      <c r="I106" s="264" t="s">
        <v>2151</v>
      </c>
      <c r="L106" s="252"/>
    </row>
    <row r="107" spans="1:12">
      <c r="A107" s="280">
        <v>71658</v>
      </c>
      <c r="B107" s="280" t="s">
        <v>21</v>
      </c>
      <c r="C107" s="281" t="s">
        <v>20</v>
      </c>
      <c r="D107" s="281" t="s">
        <v>75</v>
      </c>
      <c r="E107" s="281" t="s">
        <v>74</v>
      </c>
      <c r="F107" s="280">
        <v>8</v>
      </c>
      <c r="G107" s="282">
        <v>45861</v>
      </c>
      <c r="H107" s="321">
        <v>45894</v>
      </c>
      <c r="I107" s="264" t="s">
        <v>2151</v>
      </c>
      <c r="L107" s="252"/>
    </row>
    <row r="108" spans="1:12">
      <c r="A108" s="261"/>
      <c r="B108" s="261"/>
      <c r="C108" s="262"/>
      <c r="D108" s="262" t="s">
        <v>1181</v>
      </c>
      <c r="E108" s="262" t="s">
        <v>1190</v>
      </c>
      <c r="F108" s="261">
        <v>1</v>
      </c>
      <c r="G108" s="263"/>
      <c r="H108" s="261"/>
      <c r="I108" s="264" t="s">
        <v>2151</v>
      </c>
      <c r="L108" s="252"/>
    </row>
    <row r="109" spans="1:12">
      <c r="A109" s="261"/>
      <c r="B109" s="261"/>
      <c r="C109" s="262"/>
      <c r="D109" s="262" t="s">
        <v>1182</v>
      </c>
      <c r="E109" s="262" t="s">
        <v>1191</v>
      </c>
      <c r="F109" s="261">
        <v>1</v>
      </c>
      <c r="G109" s="263"/>
      <c r="H109" s="261"/>
      <c r="I109" s="264" t="s">
        <v>2151</v>
      </c>
      <c r="L109" s="252"/>
    </row>
    <row r="110" spans="1:12">
      <c r="A110" s="261"/>
      <c r="B110" s="261"/>
      <c r="C110" s="262"/>
      <c r="D110" s="262" t="s">
        <v>1183</v>
      </c>
      <c r="E110" s="262" t="s">
        <v>1192</v>
      </c>
      <c r="F110" s="261">
        <v>1</v>
      </c>
      <c r="G110" s="263"/>
      <c r="H110" s="261"/>
      <c r="I110" s="264" t="s">
        <v>2151</v>
      </c>
      <c r="L110" s="252"/>
    </row>
    <row r="111" spans="1:12">
      <c r="A111" s="261"/>
      <c r="B111" s="261"/>
      <c r="C111" s="262"/>
      <c r="D111" s="262" t="s">
        <v>1184</v>
      </c>
      <c r="E111" s="262" t="s">
        <v>1193</v>
      </c>
      <c r="F111" s="261">
        <v>1</v>
      </c>
      <c r="G111" s="263"/>
      <c r="H111" s="261"/>
      <c r="I111" s="264" t="s">
        <v>2151</v>
      </c>
      <c r="L111" s="252"/>
    </row>
    <row r="112" spans="1:12">
      <c r="A112" s="261"/>
      <c r="B112" s="261"/>
      <c r="C112" s="262"/>
      <c r="D112" s="262" t="s">
        <v>1185</v>
      </c>
      <c r="E112" s="262" t="s">
        <v>1194</v>
      </c>
      <c r="F112" s="261">
        <v>1</v>
      </c>
      <c r="G112" s="263"/>
      <c r="H112" s="261"/>
      <c r="I112" s="264" t="s">
        <v>2151</v>
      </c>
      <c r="L112" s="252"/>
    </row>
    <row r="113" spans="1:50">
      <c r="A113" s="261"/>
      <c r="B113" s="261"/>
      <c r="C113" s="262"/>
      <c r="D113" s="262" t="s">
        <v>1186</v>
      </c>
      <c r="E113" s="262" t="s">
        <v>1195</v>
      </c>
      <c r="F113" s="261">
        <v>1</v>
      </c>
      <c r="G113" s="263"/>
      <c r="H113" s="261"/>
      <c r="I113" s="264" t="s">
        <v>2151</v>
      </c>
      <c r="L113" s="252"/>
    </row>
    <row r="114" spans="1:50">
      <c r="A114" s="261"/>
      <c r="B114" s="261"/>
      <c r="C114" s="262"/>
      <c r="D114" s="262" t="s">
        <v>1187</v>
      </c>
      <c r="E114" s="262" t="s">
        <v>1198</v>
      </c>
      <c r="F114" s="261">
        <v>1</v>
      </c>
      <c r="G114" s="263"/>
      <c r="H114" s="261"/>
      <c r="I114" s="264" t="s">
        <v>2151</v>
      </c>
      <c r="L114" s="252"/>
    </row>
    <row r="115" spans="1:50">
      <c r="A115" s="261"/>
      <c r="B115" s="261"/>
      <c r="C115" s="262"/>
      <c r="D115" s="262" t="s">
        <v>1188</v>
      </c>
      <c r="E115" s="262" t="s">
        <v>1196</v>
      </c>
      <c r="F115" s="261">
        <v>1</v>
      </c>
      <c r="G115" s="263"/>
      <c r="H115" s="261"/>
      <c r="I115" s="264" t="s">
        <v>2151</v>
      </c>
      <c r="L115" s="252"/>
    </row>
    <row r="116" spans="1:50">
      <c r="A116" s="261"/>
      <c r="B116" s="261"/>
      <c r="C116" s="262"/>
      <c r="D116" s="262" t="s">
        <v>1189</v>
      </c>
      <c r="E116" s="262" t="s">
        <v>1197</v>
      </c>
      <c r="F116" s="261">
        <v>1</v>
      </c>
      <c r="G116" s="263"/>
      <c r="H116" s="261"/>
      <c r="I116" s="264" t="s">
        <v>2151</v>
      </c>
      <c r="L116" s="252"/>
    </row>
    <row r="117" spans="1:50">
      <c r="A117" s="261"/>
      <c r="B117" s="261"/>
      <c r="C117" s="262"/>
      <c r="D117" s="262" t="s">
        <v>1145</v>
      </c>
      <c r="E117" s="262" t="s">
        <v>1146</v>
      </c>
      <c r="F117" s="261">
        <v>1</v>
      </c>
      <c r="G117" s="263"/>
      <c r="H117" s="261"/>
      <c r="I117" s="264" t="s">
        <v>2151</v>
      </c>
      <c r="L117" s="252"/>
    </row>
    <row r="118" spans="1:50">
      <c r="A118" s="280">
        <v>71659</v>
      </c>
      <c r="B118" s="280" t="s">
        <v>21</v>
      </c>
      <c r="C118" s="281" t="s">
        <v>20</v>
      </c>
      <c r="D118" s="281" t="s">
        <v>77</v>
      </c>
      <c r="E118" s="281" t="s">
        <v>76</v>
      </c>
      <c r="F118" s="280">
        <v>8</v>
      </c>
      <c r="G118" s="282">
        <v>45861</v>
      </c>
      <c r="H118" s="321">
        <v>45894</v>
      </c>
      <c r="I118" s="264" t="s">
        <v>2151</v>
      </c>
      <c r="L118" s="252"/>
    </row>
    <row r="119" spans="1:50">
      <c r="A119" s="280">
        <v>71660</v>
      </c>
      <c r="B119" s="280" t="s">
        <v>21</v>
      </c>
      <c r="C119" s="281" t="s">
        <v>20</v>
      </c>
      <c r="D119" s="281" t="s">
        <v>79</v>
      </c>
      <c r="E119" s="281" t="s">
        <v>78</v>
      </c>
      <c r="F119" s="280">
        <v>8</v>
      </c>
      <c r="G119" s="282">
        <v>45861</v>
      </c>
      <c r="H119" s="321">
        <v>45894</v>
      </c>
      <c r="I119" s="264" t="s">
        <v>2151</v>
      </c>
      <c r="L119" s="252"/>
    </row>
    <row r="120" spans="1:50">
      <c r="A120" s="261"/>
      <c r="B120" s="261"/>
      <c r="C120" s="262"/>
      <c r="D120" s="288" t="s">
        <v>1143</v>
      </c>
      <c r="E120" s="262" t="s">
        <v>1144</v>
      </c>
      <c r="F120" s="261">
        <v>1</v>
      </c>
      <c r="G120" s="263"/>
      <c r="H120" s="261"/>
      <c r="I120" s="264" t="s">
        <v>2151</v>
      </c>
      <c r="L120" s="252"/>
    </row>
    <row r="121" spans="1:50">
      <c r="A121" s="261"/>
      <c r="B121" s="261"/>
      <c r="C121" s="262"/>
      <c r="D121" s="288" t="s">
        <v>1141</v>
      </c>
      <c r="E121" s="262" t="s">
        <v>1200</v>
      </c>
      <c r="F121" s="261">
        <v>1</v>
      </c>
      <c r="G121" s="263"/>
      <c r="H121" s="261"/>
      <c r="I121" s="264" t="s">
        <v>2151</v>
      </c>
      <c r="L121" s="252"/>
    </row>
    <row r="122" spans="1:50">
      <c r="A122" s="261"/>
      <c r="B122" s="261"/>
      <c r="C122" s="262"/>
      <c r="D122" s="288" t="s">
        <v>1199</v>
      </c>
      <c r="E122" s="262" t="s">
        <v>1201</v>
      </c>
      <c r="F122" s="261">
        <v>1</v>
      </c>
      <c r="G122" s="263"/>
      <c r="H122" s="261"/>
      <c r="I122" s="264" t="s">
        <v>2151</v>
      </c>
      <c r="L122" s="252"/>
    </row>
    <row r="123" spans="1:50">
      <c r="A123" s="280">
        <v>71669</v>
      </c>
      <c r="B123" s="280" t="s">
        <v>1074</v>
      </c>
      <c r="C123" s="281" t="s">
        <v>20</v>
      </c>
      <c r="D123" s="281" t="s">
        <v>81</v>
      </c>
      <c r="E123" s="281" t="s">
        <v>80</v>
      </c>
      <c r="F123" s="280">
        <v>5</v>
      </c>
      <c r="G123" s="282">
        <v>45877</v>
      </c>
      <c r="H123" s="321">
        <v>45894</v>
      </c>
      <c r="I123" s="264" t="s">
        <v>2151</v>
      </c>
      <c r="L123" s="252"/>
      <c r="AM123" s="243" t="s">
        <v>2339</v>
      </c>
      <c r="AS123" s="243" t="s">
        <v>2248</v>
      </c>
      <c r="AT123" s="243" t="s">
        <v>2248</v>
      </c>
      <c r="AU123" s="243" t="s">
        <v>2427</v>
      </c>
      <c r="AV123" s="243" t="s">
        <v>2427</v>
      </c>
      <c r="AW123" s="243" t="s">
        <v>2426</v>
      </c>
      <c r="AX123" s="243" t="s">
        <v>2426</v>
      </c>
    </row>
    <row r="124" spans="1:50">
      <c r="A124" s="261"/>
      <c r="B124" s="261"/>
      <c r="C124" s="262"/>
      <c r="D124" s="262" t="s">
        <v>1240</v>
      </c>
      <c r="E124" s="262" t="s">
        <v>1247</v>
      </c>
      <c r="F124" s="261">
        <v>1</v>
      </c>
      <c r="G124" s="263"/>
      <c r="H124" s="261"/>
      <c r="I124" s="264" t="s">
        <v>2151</v>
      </c>
      <c r="L124" s="252"/>
    </row>
    <row r="125" spans="1:50">
      <c r="A125" s="261"/>
      <c r="B125" s="261"/>
      <c r="C125" s="262"/>
      <c r="D125" s="262" t="s">
        <v>1241</v>
      </c>
      <c r="E125" s="262" t="s">
        <v>1248</v>
      </c>
      <c r="F125" s="261">
        <v>3</v>
      </c>
      <c r="G125" s="263"/>
      <c r="H125" s="261"/>
      <c r="I125" s="264" t="s">
        <v>2151</v>
      </c>
      <c r="L125" s="252"/>
    </row>
    <row r="126" spans="1:50">
      <c r="A126" s="261"/>
      <c r="B126" s="261"/>
      <c r="C126" s="262"/>
      <c r="D126" s="262" t="s">
        <v>1242</v>
      </c>
      <c r="E126" s="262" t="s">
        <v>1249</v>
      </c>
      <c r="F126" s="261">
        <v>3</v>
      </c>
      <c r="G126" s="263"/>
      <c r="H126" s="261"/>
      <c r="I126" s="264" t="s">
        <v>2151</v>
      </c>
      <c r="L126" s="252"/>
    </row>
    <row r="127" spans="1:50">
      <c r="A127" s="261"/>
      <c r="B127" s="261"/>
      <c r="C127" s="262"/>
      <c r="D127" s="262" t="s">
        <v>1243</v>
      </c>
      <c r="E127" s="262" t="s">
        <v>1250</v>
      </c>
      <c r="F127" s="261">
        <v>1</v>
      </c>
      <c r="G127" s="263"/>
      <c r="H127" s="261"/>
      <c r="I127" s="264" t="s">
        <v>2151</v>
      </c>
      <c r="L127" s="252"/>
    </row>
    <row r="128" spans="1:50">
      <c r="A128" s="261"/>
      <c r="B128" s="261"/>
      <c r="C128" s="262"/>
      <c r="D128" s="262" t="s">
        <v>1244</v>
      </c>
      <c r="E128" s="262" t="s">
        <v>1251</v>
      </c>
      <c r="F128" s="261">
        <v>1</v>
      </c>
      <c r="G128" s="263"/>
      <c r="H128" s="261"/>
      <c r="I128" s="264" t="s">
        <v>2151</v>
      </c>
      <c r="L128" s="252"/>
    </row>
    <row r="129" spans="1:12" ht="42">
      <c r="A129" s="239"/>
      <c r="B129" s="239"/>
      <c r="C129" s="264"/>
      <c r="D129" s="287" t="s">
        <v>1238</v>
      </c>
      <c r="E129" s="284" t="s">
        <v>1245</v>
      </c>
      <c r="F129" s="285">
        <v>1</v>
      </c>
      <c r="G129" s="286"/>
      <c r="H129" s="285"/>
      <c r="I129" s="264" t="s">
        <v>2151</v>
      </c>
      <c r="L129" s="252"/>
    </row>
    <row r="130" spans="1:12" ht="42">
      <c r="A130" s="261"/>
      <c r="B130" s="261"/>
      <c r="C130" s="262"/>
      <c r="D130" s="288" t="s">
        <v>1252</v>
      </c>
      <c r="E130" s="262" t="s">
        <v>1254</v>
      </c>
      <c r="F130" s="261">
        <v>1</v>
      </c>
      <c r="G130" s="263"/>
      <c r="H130" s="261"/>
      <c r="I130" s="264" t="s">
        <v>2151</v>
      </c>
      <c r="L130" s="252"/>
    </row>
    <row r="131" spans="1:12" ht="42">
      <c r="A131" s="261"/>
      <c r="B131" s="261"/>
      <c r="C131" s="262"/>
      <c r="D131" s="288" t="s">
        <v>1253</v>
      </c>
      <c r="E131" s="262" t="s">
        <v>1255</v>
      </c>
      <c r="F131" s="261">
        <v>1</v>
      </c>
      <c r="G131" s="263"/>
      <c r="H131" s="261"/>
      <c r="I131" s="264" t="s">
        <v>2151</v>
      </c>
      <c r="L131" s="252"/>
    </row>
    <row r="132" spans="1:12">
      <c r="A132" s="239"/>
      <c r="B132" s="239"/>
      <c r="C132" s="264"/>
      <c r="D132" s="284" t="s">
        <v>1239</v>
      </c>
      <c r="E132" s="284" t="s">
        <v>1246</v>
      </c>
      <c r="F132" s="285">
        <v>1</v>
      </c>
      <c r="G132" s="286"/>
      <c r="H132" s="285"/>
      <c r="I132" s="264" t="s">
        <v>2151</v>
      </c>
      <c r="L132" s="252"/>
    </row>
    <row r="133" spans="1:12">
      <c r="A133" s="280">
        <v>71699</v>
      </c>
      <c r="B133" s="293" t="s">
        <v>82</v>
      </c>
      <c r="C133" s="281" t="s">
        <v>20</v>
      </c>
      <c r="D133" s="281" t="s">
        <v>84</v>
      </c>
      <c r="E133" s="281" t="s">
        <v>83</v>
      </c>
      <c r="F133" s="280">
        <v>2</v>
      </c>
      <c r="G133" s="282">
        <v>46019</v>
      </c>
      <c r="H133" s="280"/>
      <c r="I133" s="264"/>
      <c r="L133" s="252"/>
    </row>
    <row r="134" spans="1:12">
      <c r="A134" s="239"/>
      <c r="B134" s="239"/>
      <c r="C134" s="264"/>
      <c r="D134" s="264" t="s">
        <v>1257</v>
      </c>
      <c r="E134" s="264" t="s">
        <v>1272</v>
      </c>
      <c r="F134" s="239">
        <v>7</v>
      </c>
      <c r="G134" s="265"/>
      <c r="H134" s="239"/>
      <c r="I134" s="264"/>
      <c r="L134" s="252"/>
    </row>
    <row r="135" spans="1:12">
      <c r="A135" s="239"/>
      <c r="B135" s="239"/>
      <c r="C135" s="264"/>
      <c r="D135" s="264" t="s">
        <v>1258</v>
      </c>
      <c r="E135" s="264" t="s">
        <v>1273</v>
      </c>
      <c r="F135" s="239">
        <v>11</v>
      </c>
      <c r="G135" s="265"/>
      <c r="H135" s="239"/>
      <c r="I135" s="264"/>
      <c r="L135" s="252"/>
    </row>
    <row r="136" spans="1:12">
      <c r="A136" s="239"/>
      <c r="B136" s="239"/>
      <c r="C136" s="264"/>
      <c r="D136" s="264" t="s">
        <v>1259</v>
      </c>
      <c r="E136" s="264" t="s">
        <v>1274</v>
      </c>
      <c r="F136" s="239">
        <v>4</v>
      </c>
      <c r="G136" s="265"/>
      <c r="H136" s="239"/>
      <c r="I136" s="264"/>
      <c r="L136" s="252"/>
    </row>
    <row r="137" spans="1:12">
      <c r="A137" s="239"/>
      <c r="B137" s="239"/>
      <c r="C137" s="264"/>
      <c r="D137" s="264" t="s">
        <v>1260</v>
      </c>
      <c r="E137" s="264" t="s">
        <v>1275</v>
      </c>
      <c r="F137" s="239">
        <v>2</v>
      </c>
      <c r="G137" s="265"/>
      <c r="H137" s="239"/>
      <c r="I137" s="264"/>
      <c r="L137" s="252"/>
    </row>
    <row r="138" spans="1:12">
      <c r="A138" s="239"/>
      <c r="B138" s="239"/>
      <c r="C138" s="264"/>
      <c r="D138" s="264" t="s">
        <v>1261</v>
      </c>
      <c r="E138" s="264" t="s">
        <v>1276</v>
      </c>
      <c r="F138" s="239">
        <v>8</v>
      </c>
      <c r="G138" s="265"/>
      <c r="H138" s="239"/>
      <c r="I138" s="264"/>
      <c r="L138" s="252"/>
    </row>
    <row r="139" spans="1:12">
      <c r="A139" s="239"/>
      <c r="B139" s="239"/>
      <c r="C139" s="264"/>
      <c r="D139" s="264" t="s">
        <v>1262</v>
      </c>
      <c r="E139" s="264" t="s">
        <v>1277</v>
      </c>
      <c r="F139" s="239">
        <v>1</v>
      </c>
      <c r="G139" s="265"/>
      <c r="H139" s="239"/>
      <c r="I139" s="264"/>
      <c r="L139" s="252"/>
    </row>
    <row r="140" spans="1:12">
      <c r="A140" s="239"/>
      <c r="B140" s="239"/>
      <c r="C140" s="264"/>
      <c r="D140" s="264" t="s">
        <v>1263</v>
      </c>
      <c r="E140" s="264" t="s">
        <v>1278</v>
      </c>
      <c r="F140" s="239">
        <v>1</v>
      </c>
      <c r="G140" s="265"/>
      <c r="H140" s="239"/>
      <c r="I140" s="264"/>
      <c r="L140" s="252"/>
    </row>
    <row r="141" spans="1:12">
      <c r="A141" s="239"/>
      <c r="B141" s="239"/>
      <c r="C141" s="264"/>
      <c r="D141" s="264" t="s">
        <v>1264</v>
      </c>
      <c r="E141" s="264" t="s">
        <v>1279</v>
      </c>
      <c r="F141" s="239">
        <v>2</v>
      </c>
      <c r="G141" s="265"/>
      <c r="H141" s="239"/>
      <c r="I141" s="264"/>
      <c r="L141" s="252"/>
    </row>
    <row r="142" spans="1:12">
      <c r="A142" s="239"/>
      <c r="B142" s="239"/>
      <c r="C142" s="264"/>
      <c r="D142" s="264" t="s">
        <v>1265</v>
      </c>
      <c r="E142" s="264" t="s">
        <v>1280</v>
      </c>
      <c r="F142" s="239">
        <v>1</v>
      </c>
      <c r="G142" s="265"/>
      <c r="H142" s="239"/>
      <c r="I142" s="264"/>
      <c r="L142" s="252"/>
    </row>
    <row r="143" spans="1:12">
      <c r="A143" s="239"/>
      <c r="B143" s="239"/>
      <c r="C143" s="264"/>
      <c r="D143" s="264" t="s">
        <v>1266</v>
      </c>
      <c r="E143" s="264" t="s">
        <v>1281</v>
      </c>
      <c r="F143" s="239">
        <v>1</v>
      </c>
      <c r="G143" s="265"/>
      <c r="H143" s="239"/>
      <c r="I143" s="264"/>
      <c r="L143" s="252"/>
    </row>
    <row r="144" spans="1:12">
      <c r="A144" s="239"/>
      <c r="B144" s="239"/>
      <c r="C144" s="264"/>
      <c r="D144" s="264" t="s">
        <v>1267</v>
      </c>
      <c r="E144" s="264" t="s">
        <v>1282</v>
      </c>
      <c r="F144" s="239">
        <v>2</v>
      </c>
      <c r="G144" s="265"/>
      <c r="H144" s="239"/>
      <c r="I144" s="264"/>
      <c r="L144" s="252"/>
    </row>
    <row r="145" spans="1:62">
      <c r="A145" s="239"/>
      <c r="B145" s="239"/>
      <c r="C145" s="264"/>
      <c r="D145" s="264" t="s">
        <v>1268</v>
      </c>
      <c r="E145" s="264" t="s">
        <v>1283</v>
      </c>
      <c r="F145" s="239">
        <v>1</v>
      </c>
      <c r="G145" s="265"/>
      <c r="H145" s="239"/>
      <c r="I145" s="264"/>
      <c r="L145" s="252"/>
    </row>
    <row r="146" spans="1:62">
      <c r="A146" s="239"/>
      <c r="B146" s="239"/>
      <c r="C146" s="264"/>
      <c r="D146" s="264" t="s">
        <v>1269</v>
      </c>
      <c r="E146" s="264" t="s">
        <v>1284</v>
      </c>
      <c r="F146" s="239">
        <v>1</v>
      </c>
      <c r="G146" s="265"/>
      <c r="H146" s="239"/>
      <c r="I146" s="264"/>
      <c r="L146" s="252"/>
    </row>
    <row r="147" spans="1:62">
      <c r="A147" s="239"/>
      <c r="B147" s="239"/>
      <c r="C147" s="264"/>
      <c r="D147" s="264" t="s">
        <v>1270</v>
      </c>
      <c r="E147" s="264" t="s">
        <v>1285</v>
      </c>
      <c r="F147" s="239">
        <v>1</v>
      </c>
      <c r="G147" s="265"/>
      <c r="H147" s="239"/>
      <c r="I147" s="264"/>
      <c r="L147" s="252"/>
    </row>
    <row r="148" spans="1:62">
      <c r="A148" s="239"/>
      <c r="B148" s="239"/>
      <c r="C148" s="264"/>
      <c r="D148" s="264" t="s">
        <v>1271</v>
      </c>
      <c r="E148" s="264" t="s">
        <v>1286</v>
      </c>
      <c r="F148" s="239">
        <v>2</v>
      </c>
      <c r="G148" s="265"/>
      <c r="H148" s="239"/>
      <c r="I148" s="264"/>
      <c r="L148" s="252"/>
    </row>
    <row r="149" spans="1:62">
      <c r="A149" s="280">
        <v>71710</v>
      </c>
      <c r="B149" s="280" t="s">
        <v>85</v>
      </c>
      <c r="C149" s="281" t="s">
        <v>20</v>
      </c>
      <c r="D149" s="281" t="s">
        <v>87</v>
      </c>
      <c r="E149" s="281" t="s">
        <v>86</v>
      </c>
      <c r="F149" s="280">
        <v>3</v>
      </c>
      <c r="G149" s="282">
        <v>45861</v>
      </c>
      <c r="H149" s="321">
        <v>45897</v>
      </c>
      <c r="I149" s="283" t="s">
        <v>2151</v>
      </c>
      <c r="L149" s="252"/>
      <c r="BH149" s="243" t="s">
        <v>2742</v>
      </c>
      <c r="BI149" s="243" t="s">
        <v>2427</v>
      </c>
      <c r="BJ149" s="243" t="s">
        <v>2427</v>
      </c>
    </row>
    <row r="150" spans="1:62">
      <c r="A150" s="261"/>
      <c r="B150" s="261"/>
      <c r="C150" s="262"/>
      <c r="D150" s="262" t="s">
        <v>1287</v>
      </c>
      <c r="E150" s="262" t="s">
        <v>1621</v>
      </c>
      <c r="F150" s="261">
        <v>1</v>
      </c>
      <c r="G150" s="263"/>
      <c r="H150" s="261"/>
      <c r="I150" s="264" t="s">
        <v>2151</v>
      </c>
      <c r="L150" s="252"/>
    </row>
    <row r="151" spans="1:62">
      <c r="A151" s="261"/>
      <c r="B151" s="261"/>
      <c r="C151" s="262"/>
      <c r="D151" s="262" t="s">
        <v>1288</v>
      </c>
      <c r="E151" s="262" t="s">
        <v>1622</v>
      </c>
      <c r="F151" s="261">
        <v>1</v>
      </c>
      <c r="G151" s="263"/>
      <c r="H151" s="261"/>
      <c r="I151" s="264" t="s">
        <v>2151</v>
      </c>
      <c r="L151" s="252"/>
    </row>
    <row r="152" spans="1:62">
      <c r="A152" s="261"/>
      <c r="B152" s="261"/>
      <c r="C152" s="262"/>
      <c r="D152" s="262" t="s">
        <v>1289</v>
      </c>
      <c r="E152" s="262" t="s">
        <v>1624</v>
      </c>
      <c r="F152" s="261">
        <v>1</v>
      </c>
      <c r="G152" s="263"/>
      <c r="H152" s="261"/>
      <c r="I152" s="264" t="s">
        <v>2151</v>
      </c>
      <c r="J152" s="243" t="s">
        <v>2298</v>
      </c>
      <c r="L152" s="252"/>
    </row>
    <row r="153" spans="1:62">
      <c r="A153" s="261"/>
      <c r="B153" s="261"/>
      <c r="C153" s="262"/>
      <c r="D153" s="262" t="s">
        <v>1290</v>
      </c>
      <c r="E153" s="262" t="s">
        <v>1623</v>
      </c>
      <c r="F153" s="261">
        <v>1</v>
      </c>
      <c r="G153" s="263"/>
      <c r="H153" s="261"/>
      <c r="I153" s="264" t="s">
        <v>2151</v>
      </c>
      <c r="L153" s="252"/>
    </row>
    <row r="154" spans="1:62">
      <c r="A154" s="261"/>
      <c r="B154" s="261"/>
      <c r="C154" s="262"/>
      <c r="D154" s="262" t="s">
        <v>1291</v>
      </c>
      <c r="E154" s="262" t="s">
        <v>1625</v>
      </c>
      <c r="F154" s="261">
        <v>2</v>
      </c>
      <c r="G154" s="263"/>
      <c r="H154" s="261"/>
      <c r="I154" s="264" t="s">
        <v>2151</v>
      </c>
      <c r="L154" s="252"/>
    </row>
    <row r="155" spans="1:62">
      <c r="A155" s="261"/>
      <c r="B155" s="261"/>
      <c r="C155" s="262"/>
      <c r="D155" s="262" t="s">
        <v>1292</v>
      </c>
      <c r="E155" s="262" t="s">
        <v>1620</v>
      </c>
      <c r="F155" s="261">
        <v>1</v>
      </c>
      <c r="G155" s="263"/>
      <c r="H155" s="261"/>
      <c r="I155" s="264" t="s">
        <v>2151</v>
      </c>
      <c r="L155" s="252"/>
    </row>
    <row r="156" spans="1:62">
      <c r="A156" s="261"/>
      <c r="B156" s="261"/>
      <c r="C156" s="262"/>
      <c r="D156" s="262" t="s">
        <v>1294</v>
      </c>
      <c r="E156" s="262" t="s">
        <v>1296</v>
      </c>
      <c r="F156" s="261">
        <v>2</v>
      </c>
      <c r="G156" s="263"/>
      <c r="H156" s="261"/>
      <c r="I156" s="264" t="s">
        <v>2151</v>
      </c>
      <c r="L156" s="252"/>
    </row>
    <row r="157" spans="1:62">
      <c r="A157" s="261"/>
      <c r="B157" s="261"/>
      <c r="C157" s="262"/>
      <c r="D157" s="262" t="s">
        <v>1295</v>
      </c>
      <c r="E157" s="262" t="s">
        <v>1297</v>
      </c>
      <c r="F157" s="261">
        <v>1</v>
      </c>
      <c r="G157" s="263"/>
      <c r="H157" s="261"/>
      <c r="I157" s="264" t="s">
        <v>2151</v>
      </c>
      <c r="L157" s="252"/>
    </row>
    <row r="158" spans="1:62">
      <c r="A158" s="239"/>
      <c r="B158" s="239"/>
      <c r="C158" s="264"/>
      <c r="D158" s="284" t="s">
        <v>1639</v>
      </c>
      <c r="E158" s="284" t="s">
        <v>1626</v>
      </c>
      <c r="F158" s="285">
        <v>2</v>
      </c>
      <c r="G158" s="286"/>
      <c r="H158" s="285"/>
      <c r="I158" s="264" t="s">
        <v>2151</v>
      </c>
      <c r="L158" s="252"/>
    </row>
    <row r="159" spans="1:62">
      <c r="A159" s="261"/>
      <c r="B159" s="261"/>
      <c r="C159" s="262"/>
      <c r="D159" s="262" t="s">
        <v>1298</v>
      </c>
      <c r="E159" s="262" t="s">
        <v>1630</v>
      </c>
      <c r="F159" s="261">
        <v>1</v>
      </c>
      <c r="G159" s="263"/>
      <c r="H159" s="261"/>
      <c r="I159" s="264" t="s">
        <v>2151</v>
      </c>
      <c r="L159" s="252"/>
    </row>
    <row r="160" spans="1:62">
      <c r="A160" s="261"/>
      <c r="B160" s="261"/>
      <c r="C160" s="262"/>
      <c r="D160" s="262" t="s">
        <v>1299</v>
      </c>
      <c r="E160" s="262" t="s">
        <v>1631</v>
      </c>
      <c r="F160" s="261">
        <v>1</v>
      </c>
      <c r="G160" s="263"/>
      <c r="H160" s="261"/>
      <c r="I160" s="264" t="s">
        <v>2151</v>
      </c>
      <c r="L160" s="252"/>
    </row>
    <row r="161" spans="1:12">
      <c r="A161" s="239"/>
      <c r="B161" s="239"/>
      <c r="C161" s="264"/>
      <c r="D161" s="295" t="s">
        <v>1300</v>
      </c>
      <c r="E161" s="295" t="s">
        <v>1632</v>
      </c>
      <c r="F161" s="296">
        <v>1</v>
      </c>
      <c r="G161" s="297"/>
      <c r="H161" s="296"/>
      <c r="I161" s="264" t="s">
        <v>2151</v>
      </c>
      <c r="L161" s="252"/>
    </row>
    <row r="162" spans="1:12">
      <c r="A162" s="239"/>
      <c r="B162" s="239"/>
      <c r="C162" s="264"/>
      <c r="D162" s="295" t="s">
        <v>1298</v>
      </c>
      <c r="E162" s="295" t="s">
        <v>1630</v>
      </c>
      <c r="F162" s="296">
        <v>1</v>
      </c>
      <c r="G162" s="297"/>
      <c r="H162" s="296"/>
      <c r="I162" s="264" t="s">
        <v>2151</v>
      </c>
      <c r="L162" s="252"/>
    </row>
    <row r="163" spans="1:12">
      <c r="A163" s="239"/>
      <c r="B163" s="239"/>
      <c r="C163" s="264"/>
      <c r="D163" s="295" t="s">
        <v>1299</v>
      </c>
      <c r="E163" s="295" t="s">
        <v>1631</v>
      </c>
      <c r="F163" s="296">
        <v>1</v>
      </c>
      <c r="G163" s="297"/>
      <c r="H163" s="296"/>
      <c r="I163" s="264" t="s">
        <v>2151</v>
      </c>
      <c r="L163" s="252"/>
    </row>
    <row r="164" spans="1:12">
      <c r="A164" s="239"/>
      <c r="B164" s="239"/>
      <c r="C164" s="264"/>
      <c r="D164" s="284" t="s">
        <v>1293</v>
      </c>
      <c r="E164" s="284" t="s">
        <v>1633</v>
      </c>
      <c r="F164" s="285">
        <v>2</v>
      </c>
      <c r="G164" s="286"/>
      <c r="H164" s="285"/>
      <c r="I164" s="264" t="s">
        <v>2151</v>
      </c>
      <c r="L164" s="252"/>
    </row>
    <row r="165" spans="1:12">
      <c r="A165" s="239"/>
      <c r="B165" s="239"/>
      <c r="C165" s="264"/>
      <c r="D165" s="295" t="s">
        <v>1293</v>
      </c>
      <c r="E165" s="295" t="s">
        <v>1634</v>
      </c>
      <c r="F165" s="296">
        <v>1</v>
      </c>
      <c r="G165" s="297"/>
      <c r="H165" s="296"/>
      <c r="I165" s="264" t="s">
        <v>2151</v>
      </c>
      <c r="L165" s="252"/>
    </row>
    <row r="166" spans="1:12">
      <c r="A166" s="239"/>
      <c r="B166" s="239"/>
      <c r="C166" s="264"/>
      <c r="D166" s="295" t="s">
        <v>1301</v>
      </c>
      <c r="E166" s="295" t="s">
        <v>1636</v>
      </c>
      <c r="F166" s="296">
        <v>1</v>
      </c>
      <c r="G166" s="297"/>
      <c r="H166" s="296"/>
      <c r="I166" s="264" t="s">
        <v>2151</v>
      </c>
      <c r="L166" s="252"/>
    </row>
    <row r="167" spans="1:12">
      <c r="A167" s="239"/>
      <c r="B167" s="239"/>
      <c r="C167" s="264"/>
      <c r="D167" s="295" t="s">
        <v>1302</v>
      </c>
      <c r="E167" s="295" t="s">
        <v>1635</v>
      </c>
      <c r="F167" s="296">
        <v>2</v>
      </c>
      <c r="G167" s="297"/>
      <c r="H167" s="296"/>
      <c r="I167" s="264" t="s">
        <v>2151</v>
      </c>
      <c r="L167" s="252"/>
    </row>
    <row r="168" spans="1:12">
      <c r="A168" s="239"/>
      <c r="B168" s="239"/>
      <c r="C168" s="264"/>
      <c r="D168" s="295" t="s">
        <v>1303</v>
      </c>
      <c r="E168" s="295" t="s">
        <v>1637</v>
      </c>
      <c r="F168" s="296">
        <v>1</v>
      </c>
      <c r="G168" s="297"/>
      <c r="H168" s="296"/>
      <c r="I168" s="264" t="s">
        <v>2151</v>
      </c>
      <c r="L168" s="252"/>
    </row>
    <row r="169" spans="1:12">
      <c r="A169" s="261"/>
      <c r="B169" s="261"/>
      <c r="C169" s="262"/>
      <c r="D169" s="262" t="s">
        <v>1627</v>
      </c>
      <c r="E169" s="262" t="s">
        <v>1638</v>
      </c>
      <c r="F169" s="261">
        <v>2</v>
      </c>
      <c r="G169" s="263"/>
      <c r="H169" s="261"/>
      <c r="I169" s="264" t="s">
        <v>2151</v>
      </c>
      <c r="L169" s="252"/>
    </row>
    <row r="170" spans="1:12">
      <c r="A170" s="239"/>
      <c r="B170" s="239"/>
      <c r="C170" s="264"/>
      <c r="D170" s="295" t="s">
        <v>1628</v>
      </c>
      <c r="E170" s="295" t="s">
        <v>1629</v>
      </c>
      <c r="F170" s="296">
        <v>1</v>
      </c>
      <c r="G170" s="297"/>
      <c r="H170" s="296"/>
      <c r="I170" s="264" t="s">
        <v>2151</v>
      </c>
      <c r="L170" s="252"/>
    </row>
    <row r="171" spans="1:12">
      <c r="A171" s="239"/>
      <c r="B171" s="239"/>
      <c r="C171" s="264"/>
      <c r="D171" s="295" t="s">
        <v>1639</v>
      </c>
      <c r="E171" s="295" t="s">
        <v>1634</v>
      </c>
      <c r="F171" s="296">
        <v>1</v>
      </c>
      <c r="G171" s="297"/>
      <c r="H171" s="296"/>
      <c r="I171" s="264" t="s">
        <v>2151</v>
      </c>
      <c r="L171" s="252"/>
    </row>
    <row r="172" spans="1:12">
      <c r="A172" s="239"/>
      <c r="B172" s="239"/>
      <c r="C172" s="264"/>
      <c r="D172" s="295" t="s">
        <v>1301</v>
      </c>
      <c r="E172" s="295" t="s">
        <v>1636</v>
      </c>
      <c r="F172" s="296">
        <v>1</v>
      </c>
      <c r="G172" s="297"/>
      <c r="H172" s="296"/>
      <c r="I172" s="264" t="s">
        <v>2151</v>
      </c>
      <c r="L172" s="252"/>
    </row>
    <row r="173" spans="1:12">
      <c r="A173" s="239"/>
      <c r="B173" s="239"/>
      <c r="C173" s="264"/>
      <c r="D173" s="295" t="s">
        <v>1302</v>
      </c>
      <c r="E173" s="295" t="s">
        <v>1635</v>
      </c>
      <c r="F173" s="296">
        <v>2</v>
      </c>
      <c r="G173" s="297"/>
      <c r="H173" s="296"/>
      <c r="I173" s="264" t="s">
        <v>2151</v>
      </c>
      <c r="L173" s="252"/>
    </row>
    <row r="174" spans="1:12">
      <c r="A174" s="239"/>
      <c r="B174" s="239"/>
      <c r="C174" s="264"/>
      <c r="D174" s="295" t="s">
        <v>1303</v>
      </c>
      <c r="E174" s="295" t="s">
        <v>1637</v>
      </c>
      <c r="F174" s="296">
        <v>1</v>
      </c>
      <c r="G174" s="297"/>
      <c r="H174" s="296"/>
      <c r="I174" s="264" t="s">
        <v>2151</v>
      </c>
      <c r="L174" s="252"/>
    </row>
    <row r="175" spans="1:12">
      <c r="A175" s="280">
        <v>71711</v>
      </c>
      <c r="B175" s="280" t="s">
        <v>85</v>
      </c>
      <c r="C175" s="281" t="s">
        <v>20</v>
      </c>
      <c r="D175" s="281" t="s">
        <v>89</v>
      </c>
      <c r="E175" s="281" t="s">
        <v>88</v>
      </c>
      <c r="F175" s="280">
        <v>3</v>
      </c>
      <c r="G175" s="282">
        <v>45861</v>
      </c>
      <c r="H175" s="321">
        <v>45897</v>
      </c>
      <c r="I175" s="264" t="s">
        <v>2151</v>
      </c>
      <c r="L175" s="252"/>
    </row>
    <row r="176" spans="1:12">
      <c r="A176" s="261"/>
      <c r="B176" s="261"/>
      <c r="C176" s="262"/>
      <c r="D176" s="262" t="s">
        <v>1305</v>
      </c>
      <c r="E176" s="262" t="s">
        <v>1663</v>
      </c>
      <c r="F176" s="261">
        <v>3</v>
      </c>
      <c r="G176" s="263"/>
      <c r="H176" s="261"/>
      <c r="I176" s="264" t="s">
        <v>2151</v>
      </c>
      <c r="L176" s="252"/>
    </row>
    <row r="177" spans="1:12">
      <c r="A177" s="261"/>
      <c r="B177" s="261"/>
      <c r="C177" s="262"/>
      <c r="D177" s="262" t="s">
        <v>1306</v>
      </c>
      <c r="E177" s="262" t="s">
        <v>1664</v>
      </c>
      <c r="F177" s="261">
        <v>1</v>
      </c>
      <c r="G177" s="263"/>
      <c r="H177" s="261"/>
      <c r="I177" s="264" t="s">
        <v>2151</v>
      </c>
      <c r="L177" s="252"/>
    </row>
    <row r="178" spans="1:12">
      <c r="A178" s="261"/>
      <c r="B178" s="261"/>
      <c r="C178" s="262"/>
      <c r="D178" s="262" t="s">
        <v>1307</v>
      </c>
      <c r="E178" s="262" t="s">
        <v>1665</v>
      </c>
      <c r="F178" s="261">
        <v>1</v>
      </c>
      <c r="G178" s="263"/>
      <c r="H178" s="261"/>
      <c r="I178" s="264" t="s">
        <v>2151</v>
      </c>
      <c r="L178" s="252"/>
    </row>
    <row r="179" spans="1:12">
      <c r="A179" s="239"/>
      <c r="B179" s="239"/>
      <c r="C179" s="264"/>
      <c r="D179" s="284" t="s">
        <v>1640</v>
      </c>
      <c r="E179" s="284" t="s">
        <v>1641</v>
      </c>
      <c r="F179" s="285">
        <v>1</v>
      </c>
      <c r="G179" s="286"/>
      <c r="H179" s="285"/>
      <c r="I179" s="264" t="s">
        <v>2151</v>
      </c>
      <c r="L179" s="252"/>
    </row>
    <row r="180" spans="1:12">
      <c r="A180" s="261"/>
      <c r="B180" s="261"/>
      <c r="C180" s="262"/>
      <c r="D180" s="262" t="s">
        <v>1642</v>
      </c>
      <c r="E180" s="262" t="s">
        <v>1657</v>
      </c>
      <c r="F180" s="261">
        <v>1</v>
      </c>
      <c r="G180" s="263"/>
      <c r="H180" s="261"/>
      <c r="I180" s="264" t="s">
        <v>2151</v>
      </c>
      <c r="L180" s="252"/>
    </row>
    <row r="181" spans="1:12">
      <c r="A181" s="261"/>
      <c r="B181" s="261"/>
      <c r="C181" s="262"/>
      <c r="D181" s="262" t="s">
        <v>1644</v>
      </c>
      <c r="E181" s="262" t="s">
        <v>1645</v>
      </c>
      <c r="F181" s="261">
        <v>1</v>
      </c>
      <c r="G181" s="263"/>
      <c r="H181" s="261"/>
      <c r="I181" s="264" t="s">
        <v>2151</v>
      </c>
      <c r="L181" s="252"/>
    </row>
    <row r="182" spans="1:12">
      <c r="A182" s="239"/>
      <c r="B182" s="239"/>
      <c r="C182" s="264"/>
      <c r="D182" s="295" t="s">
        <v>1646</v>
      </c>
      <c r="E182" s="295" t="s">
        <v>1649</v>
      </c>
      <c r="F182" s="296">
        <v>1</v>
      </c>
      <c r="G182" s="297"/>
      <c r="H182" s="296"/>
      <c r="I182" s="264" t="s">
        <v>2151</v>
      </c>
      <c r="L182" s="252"/>
    </row>
    <row r="183" spans="1:12">
      <c r="A183" s="239"/>
      <c r="B183" s="239"/>
      <c r="C183" s="264"/>
      <c r="D183" s="295" t="s">
        <v>1642</v>
      </c>
      <c r="E183" s="295" t="s">
        <v>1643</v>
      </c>
      <c r="F183" s="296">
        <v>1</v>
      </c>
      <c r="G183" s="297"/>
      <c r="H183" s="296"/>
      <c r="I183" s="264" t="s">
        <v>2151</v>
      </c>
      <c r="L183" s="252"/>
    </row>
    <row r="184" spans="1:12">
      <c r="A184" s="239"/>
      <c r="B184" s="239"/>
      <c r="C184" s="264"/>
      <c r="D184" s="295" t="s">
        <v>1644</v>
      </c>
      <c r="E184" s="295" t="s">
        <v>1645</v>
      </c>
      <c r="F184" s="296">
        <v>1</v>
      </c>
      <c r="G184" s="297"/>
      <c r="H184" s="296"/>
      <c r="I184" s="264" t="s">
        <v>2151</v>
      </c>
      <c r="L184" s="252"/>
    </row>
    <row r="185" spans="1:12">
      <c r="A185" s="239"/>
      <c r="B185" s="239"/>
      <c r="C185" s="264"/>
      <c r="D185" s="295" t="s">
        <v>1577</v>
      </c>
      <c r="E185" s="295" t="s">
        <v>1650</v>
      </c>
      <c r="F185" s="296">
        <v>1</v>
      </c>
      <c r="G185" s="297"/>
      <c r="H185" s="296"/>
      <c r="I185" s="264" t="s">
        <v>2151</v>
      </c>
      <c r="L185" s="252"/>
    </row>
    <row r="186" spans="1:12">
      <c r="A186" s="261"/>
      <c r="B186" s="261"/>
      <c r="C186" s="262"/>
      <c r="D186" s="262" t="s">
        <v>1577</v>
      </c>
      <c r="E186" s="262" t="s">
        <v>1650</v>
      </c>
      <c r="F186" s="261">
        <v>1</v>
      </c>
      <c r="G186" s="263"/>
      <c r="H186" s="261"/>
      <c r="I186" s="264" t="s">
        <v>2151</v>
      </c>
      <c r="L186" s="252"/>
    </row>
    <row r="187" spans="1:12">
      <c r="A187" s="239"/>
      <c r="B187" s="239"/>
      <c r="C187" s="264"/>
      <c r="D187" s="284" t="s">
        <v>1304</v>
      </c>
      <c r="E187" s="284" t="s">
        <v>1651</v>
      </c>
      <c r="F187" s="285">
        <v>1</v>
      </c>
      <c r="G187" s="286"/>
      <c r="H187" s="285"/>
      <c r="I187" s="264" t="s">
        <v>2151</v>
      </c>
      <c r="L187" s="252"/>
    </row>
    <row r="188" spans="1:12">
      <c r="A188" s="261"/>
      <c r="B188" s="261"/>
      <c r="C188" s="262"/>
      <c r="D188" s="262" t="s">
        <v>1642</v>
      </c>
      <c r="E188" s="262" t="s">
        <v>1658</v>
      </c>
      <c r="F188" s="261">
        <v>1</v>
      </c>
      <c r="G188" s="263"/>
      <c r="H188" s="261"/>
      <c r="I188" s="264" t="s">
        <v>2151</v>
      </c>
      <c r="L188" s="252"/>
    </row>
    <row r="189" spans="1:12">
      <c r="A189" s="261"/>
      <c r="B189" s="261"/>
      <c r="C189" s="262"/>
      <c r="D189" s="262" t="s">
        <v>1652</v>
      </c>
      <c r="E189" s="262" t="s">
        <v>1659</v>
      </c>
      <c r="F189" s="261">
        <v>1</v>
      </c>
      <c r="G189" s="263"/>
      <c r="H189" s="261"/>
      <c r="I189" s="264" t="s">
        <v>2151</v>
      </c>
      <c r="L189" s="252"/>
    </row>
    <row r="190" spans="1:12">
      <c r="A190" s="261"/>
      <c r="B190" s="261"/>
      <c r="C190" s="262"/>
      <c r="D190" s="262" t="s">
        <v>1653</v>
      </c>
      <c r="E190" s="262" t="s">
        <v>1660</v>
      </c>
      <c r="F190" s="261">
        <v>1</v>
      </c>
      <c r="G190" s="263"/>
      <c r="H190" s="261"/>
      <c r="I190" s="264" t="s">
        <v>2151</v>
      </c>
      <c r="L190" s="252"/>
    </row>
    <row r="191" spans="1:12">
      <c r="A191" s="261"/>
      <c r="B191" s="261"/>
      <c r="C191" s="262"/>
      <c r="D191" s="262" t="s">
        <v>1654</v>
      </c>
      <c r="E191" s="262" t="s">
        <v>1661</v>
      </c>
      <c r="F191" s="261">
        <v>2</v>
      </c>
      <c r="G191" s="263"/>
      <c r="H191" s="261"/>
      <c r="I191" s="264" t="s">
        <v>2151</v>
      </c>
      <c r="L191" s="252"/>
    </row>
    <row r="192" spans="1:12">
      <c r="A192" s="239"/>
      <c r="B192" s="239"/>
      <c r="C192" s="264"/>
      <c r="D192" s="298" t="s">
        <v>1655</v>
      </c>
      <c r="E192" s="298" t="s">
        <v>1662</v>
      </c>
      <c r="F192" s="299">
        <v>1</v>
      </c>
      <c r="G192" s="300"/>
      <c r="H192" s="299"/>
      <c r="I192" s="264" t="s">
        <v>2151</v>
      </c>
      <c r="L192" s="252"/>
    </row>
    <row r="193" spans="1:60">
      <c r="A193" s="239"/>
      <c r="B193" s="239"/>
      <c r="C193" s="264"/>
      <c r="D193" s="298" t="s">
        <v>1642</v>
      </c>
      <c r="E193" s="298" t="s">
        <v>1658</v>
      </c>
      <c r="F193" s="299">
        <v>1</v>
      </c>
      <c r="G193" s="300"/>
      <c r="H193" s="299"/>
      <c r="I193" s="264" t="s">
        <v>2151</v>
      </c>
      <c r="L193" s="252"/>
    </row>
    <row r="194" spans="1:60">
      <c r="A194" s="239"/>
      <c r="B194" s="239"/>
      <c r="C194" s="264"/>
      <c r="D194" s="298" t="s">
        <v>1652</v>
      </c>
      <c r="E194" s="298" t="s">
        <v>1659</v>
      </c>
      <c r="F194" s="299">
        <v>1</v>
      </c>
      <c r="G194" s="300"/>
      <c r="H194" s="299"/>
      <c r="I194" s="264" t="s">
        <v>2151</v>
      </c>
      <c r="L194" s="252"/>
    </row>
    <row r="195" spans="1:60">
      <c r="A195" s="239"/>
      <c r="B195" s="239"/>
      <c r="C195" s="264"/>
      <c r="D195" s="298" t="s">
        <v>1653</v>
      </c>
      <c r="E195" s="298" t="s">
        <v>1660</v>
      </c>
      <c r="F195" s="299">
        <v>1</v>
      </c>
      <c r="G195" s="300"/>
      <c r="H195" s="299"/>
      <c r="I195" s="264" t="s">
        <v>2151</v>
      </c>
      <c r="L195" s="252"/>
    </row>
    <row r="196" spans="1:60">
      <c r="A196" s="239"/>
      <c r="B196" s="239"/>
      <c r="C196" s="264"/>
      <c r="D196" s="298" t="s">
        <v>1654</v>
      </c>
      <c r="E196" s="298" t="s">
        <v>1661</v>
      </c>
      <c r="F196" s="299">
        <v>2</v>
      </c>
      <c r="G196" s="300"/>
      <c r="H196" s="299"/>
      <c r="I196" s="264" t="s">
        <v>2151</v>
      </c>
      <c r="L196" s="252"/>
    </row>
    <row r="197" spans="1:60">
      <c r="A197" s="261"/>
      <c r="B197" s="261"/>
      <c r="C197" s="262"/>
      <c r="D197" s="262" t="s">
        <v>1577</v>
      </c>
      <c r="E197" s="262" t="s">
        <v>1656</v>
      </c>
      <c r="F197" s="261">
        <v>1</v>
      </c>
      <c r="G197" s="263"/>
      <c r="H197" s="261"/>
      <c r="I197" s="264" t="s">
        <v>2151</v>
      </c>
      <c r="L197" s="252"/>
    </row>
    <row r="198" spans="1:60">
      <c r="A198" s="280">
        <v>71712</v>
      </c>
      <c r="B198" s="280" t="s">
        <v>85</v>
      </c>
      <c r="C198" s="281" t="s">
        <v>20</v>
      </c>
      <c r="D198" s="281" t="s">
        <v>91</v>
      </c>
      <c r="E198" s="281" t="s">
        <v>90</v>
      </c>
      <c r="F198" s="280">
        <v>3</v>
      </c>
      <c r="G198" s="282">
        <v>45861</v>
      </c>
      <c r="H198" s="321">
        <v>45897</v>
      </c>
      <c r="I198" s="264" t="s">
        <v>2928</v>
      </c>
      <c r="L198" s="252"/>
      <c r="AN198" s="243" t="s">
        <v>2225</v>
      </c>
      <c r="AO198" s="243" t="s">
        <v>2225</v>
      </c>
      <c r="AP198" s="243" t="s">
        <v>2339</v>
      </c>
      <c r="AQ198" s="243" t="s">
        <v>2339</v>
      </c>
      <c r="AR198" s="243" t="s">
        <v>2183</v>
      </c>
      <c r="AS198" s="243" t="s">
        <v>2183</v>
      </c>
      <c r="AT198" s="243" t="s">
        <v>2427</v>
      </c>
      <c r="AU198" s="243" t="s">
        <v>2427</v>
      </c>
      <c r="AV198" s="243" t="s">
        <v>2426</v>
      </c>
      <c r="AW198" s="243" t="s">
        <v>2426</v>
      </c>
      <c r="AX198" s="243" t="s">
        <v>2208</v>
      </c>
      <c r="BG198" s="243" t="s">
        <v>2743</v>
      </c>
      <c r="BH198" s="243" t="s">
        <v>2743</v>
      </c>
    </row>
    <row r="199" spans="1:60">
      <c r="A199" s="261"/>
      <c r="B199" s="261"/>
      <c r="C199" s="262"/>
      <c r="D199" s="262" t="s">
        <v>1312</v>
      </c>
      <c r="E199" s="262" t="s">
        <v>1334</v>
      </c>
      <c r="F199" s="261">
        <v>1</v>
      </c>
      <c r="G199" s="263"/>
      <c r="H199" s="261"/>
      <c r="I199" s="264" t="s">
        <v>2151</v>
      </c>
      <c r="L199" s="252"/>
    </row>
    <row r="200" spans="1:60">
      <c r="A200" s="261"/>
      <c r="B200" s="261"/>
      <c r="C200" s="262"/>
      <c r="D200" s="262" t="s">
        <v>2294</v>
      </c>
      <c r="E200" s="262" t="s">
        <v>2293</v>
      </c>
      <c r="F200" s="261">
        <v>6</v>
      </c>
      <c r="G200" s="263"/>
      <c r="H200" s="261"/>
      <c r="I200" s="264" t="s">
        <v>2151</v>
      </c>
      <c r="L200" s="252"/>
    </row>
    <row r="201" spans="1:60">
      <c r="A201" s="261"/>
      <c r="B201" s="261"/>
      <c r="C201" s="262"/>
      <c r="D201" s="262" t="s">
        <v>1325</v>
      </c>
      <c r="E201" s="262" t="s">
        <v>2292</v>
      </c>
      <c r="F201" s="261">
        <v>6</v>
      </c>
      <c r="G201" s="263"/>
      <c r="H201" s="261"/>
      <c r="I201" s="264" t="s">
        <v>2151</v>
      </c>
      <c r="L201" s="252"/>
    </row>
    <row r="202" spans="1:60">
      <c r="A202" s="261"/>
      <c r="B202" s="261"/>
      <c r="C202" s="262"/>
      <c r="D202" s="262" t="s">
        <v>1313</v>
      </c>
      <c r="E202" s="262" t="s">
        <v>1335</v>
      </c>
      <c r="F202" s="261">
        <v>1</v>
      </c>
      <c r="G202" s="263"/>
      <c r="H202" s="261"/>
      <c r="I202" s="264" t="s">
        <v>2151</v>
      </c>
      <c r="L202" s="252"/>
    </row>
    <row r="203" spans="1:60">
      <c r="A203" s="261"/>
      <c r="B203" s="261"/>
      <c r="C203" s="262"/>
      <c r="D203" s="262" t="s">
        <v>1314</v>
      </c>
      <c r="E203" s="262" t="s">
        <v>1336</v>
      </c>
      <c r="F203" s="261">
        <v>1</v>
      </c>
      <c r="G203" s="263"/>
      <c r="H203" s="261"/>
      <c r="I203" s="264" t="s">
        <v>2151</v>
      </c>
      <c r="L203" s="252"/>
    </row>
    <row r="204" spans="1:60">
      <c r="A204" s="261"/>
      <c r="B204" s="261"/>
      <c r="C204" s="262"/>
      <c r="D204" s="262" t="s">
        <v>1315</v>
      </c>
      <c r="E204" s="262" t="s">
        <v>1337</v>
      </c>
      <c r="F204" s="261">
        <v>1</v>
      </c>
      <c r="G204" s="263"/>
      <c r="H204" s="261"/>
      <c r="I204" s="264" t="s">
        <v>2151</v>
      </c>
      <c r="L204" s="252"/>
    </row>
    <row r="205" spans="1:60">
      <c r="A205" s="261"/>
      <c r="B205" s="261"/>
      <c r="C205" s="262"/>
      <c r="D205" s="262" t="s">
        <v>1315</v>
      </c>
      <c r="E205" s="262" t="s">
        <v>1338</v>
      </c>
      <c r="F205" s="261">
        <v>2</v>
      </c>
      <c r="G205" s="263"/>
      <c r="H205" s="261"/>
      <c r="I205" s="264" t="s">
        <v>2151</v>
      </c>
      <c r="L205" s="252"/>
    </row>
    <row r="206" spans="1:60">
      <c r="A206" s="261"/>
      <c r="B206" s="261"/>
      <c r="C206" s="262"/>
      <c r="D206" s="262" t="s">
        <v>1316</v>
      </c>
      <c r="E206" s="262" t="s">
        <v>1339</v>
      </c>
      <c r="F206" s="261">
        <v>3</v>
      </c>
      <c r="G206" s="263"/>
      <c r="H206" s="261"/>
      <c r="I206" s="264" t="s">
        <v>2151</v>
      </c>
      <c r="L206" s="252"/>
    </row>
    <row r="207" spans="1:60">
      <c r="A207" s="261"/>
      <c r="B207" s="261"/>
      <c r="C207" s="262"/>
      <c r="D207" s="262" t="s">
        <v>1316</v>
      </c>
      <c r="E207" s="262" t="s">
        <v>1340</v>
      </c>
      <c r="F207" s="261">
        <v>1</v>
      </c>
      <c r="G207" s="263"/>
      <c r="H207" s="261"/>
      <c r="I207" s="264" t="s">
        <v>2151</v>
      </c>
      <c r="L207" s="252"/>
    </row>
    <row r="208" spans="1:60">
      <c r="A208" s="261"/>
      <c r="B208" s="261"/>
      <c r="C208" s="262"/>
      <c r="D208" s="262" t="s">
        <v>1317</v>
      </c>
      <c r="E208" s="262" t="s">
        <v>1341</v>
      </c>
      <c r="F208" s="261">
        <v>1</v>
      </c>
      <c r="G208" s="263"/>
      <c r="H208" s="261"/>
      <c r="I208" s="264" t="s">
        <v>2151</v>
      </c>
      <c r="L208" s="252"/>
    </row>
    <row r="209" spans="1:12">
      <c r="A209" s="261"/>
      <c r="B209" s="261"/>
      <c r="C209" s="262"/>
      <c r="D209" s="262" t="s">
        <v>1182</v>
      </c>
      <c r="E209" s="262" t="s">
        <v>1342</v>
      </c>
      <c r="F209" s="261">
        <v>1</v>
      </c>
      <c r="G209" s="263"/>
      <c r="H209" s="261"/>
      <c r="I209" s="264" t="s">
        <v>2151</v>
      </c>
      <c r="L209" s="252"/>
    </row>
    <row r="210" spans="1:12">
      <c r="A210" s="261"/>
      <c r="B210" s="261"/>
      <c r="C210" s="262"/>
      <c r="D210" s="262" t="s">
        <v>1318</v>
      </c>
      <c r="E210" s="262" t="s">
        <v>1343</v>
      </c>
      <c r="F210" s="261">
        <v>2</v>
      </c>
      <c r="G210" s="263"/>
      <c r="H210" s="261"/>
      <c r="I210" s="264" t="s">
        <v>2151</v>
      </c>
      <c r="L210" s="252"/>
    </row>
    <row r="211" spans="1:12">
      <c r="A211" s="261"/>
      <c r="B211" s="261"/>
      <c r="C211" s="262"/>
      <c r="D211" s="262" t="s">
        <v>1319</v>
      </c>
      <c r="E211" s="262" t="s">
        <v>1344</v>
      </c>
      <c r="F211" s="261">
        <v>1</v>
      </c>
      <c r="G211" s="263"/>
      <c r="H211" s="261"/>
      <c r="I211" s="264" t="s">
        <v>2151</v>
      </c>
      <c r="L211" s="252"/>
    </row>
    <row r="212" spans="1:12">
      <c r="A212" s="261"/>
      <c r="B212" s="261"/>
      <c r="C212" s="262"/>
      <c r="D212" s="262" t="s">
        <v>1320</v>
      </c>
      <c r="E212" s="262" t="s">
        <v>1345</v>
      </c>
      <c r="F212" s="261">
        <v>1</v>
      </c>
      <c r="G212" s="263"/>
      <c r="H212" s="261"/>
      <c r="I212" s="264" t="s">
        <v>2151</v>
      </c>
      <c r="L212" s="252"/>
    </row>
    <row r="213" spans="1:12">
      <c r="A213" s="261"/>
      <c r="B213" s="261"/>
      <c r="C213" s="262"/>
      <c r="D213" s="262" t="s">
        <v>1321</v>
      </c>
      <c r="E213" s="262" t="s">
        <v>1346</v>
      </c>
      <c r="F213" s="261">
        <v>1</v>
      </c>
      <c r="G213" s="263"/>
      <c r="H213" s="261"/>
      <c r="I213" s="264" t="s">
        <v>2151</v>
      </c>
      <c r="L213" s="252"/>
    </row>
    <row r="214" spans="1:12">
      <c r="A214" s="261"/>
      <c r="B214" s="261"/>
      <c r="C214" s="262"/>
      <c r="D214" s="262" t="s">
        <v>1322</v>
      </c>
      <c r="E214" s="262" t="s">
        <v>1347</v>
      </c>
      <c r="F214" s="261">
        <v>1</v>
      </c>
      <c r="G214" s="263"/>
      <c r="H214" s="261"/>
      <c r="I214" s="264" t="s">
        <v>2151</v>
      </c>
      <c r="L214" s="252"/>
    </row>
    <row r="215" spans="1:12">
      <c r="A215" s="261"/>
      <c r="B215" s="261"/>
      <c r="C215" s="262"/>
      <c r="D215" s="262" t="s">
        <v>1323</v>
      </c>
      <c r="E215" s="262" t="s">
        <v>1348</v>
      </c>
      <c r="F215" s="261">
        <v>1</v>
      </c>
      <c r="G215" s="263"/>
      <c r="H215" s="261"/>
      <c r="I215" s="264" t="s">
        <v>2151</v>
      </c>
      <c r="L215" s="252"/>
    </row>
    <row r="216" spans="1:12">
      <c r="A216" s="261"/>
      <c r="B216" s="261"/>
      <c r="C216" s="262"/>
      <c r="D216" s="262" t="s">
        <v>1324</v>
      </c>
      <c r="E216" s="262" t="s">
        <v>1349</v>
      </c>
      <c r="F216" s="261">
        <v>2</v>
      </c>
      <c r="G216" s="263"/>
      <c r="H216" s="261"/>
      <c r="I216" s="264" t="s">
        <v>2151</v>
      </c>
      <c r="L216" s="252"/>
    </row>
    <row r="217" spans="1:12">
      <c r="A217" s="261"/>
      <c r="B217" s="261"/>
      <c r="C217" s="262"/>
      <c r="D217" s="262" t="s">
        <v>1324</v>
      </c>
      <c r="E217" s="262" t="s">
        <v>1350</v>
      </c>
      <c r="F217" s="261">
        <v>2</v>
      </c>
      <c r="G217" s="263"/>
      <c r="H217" s="261"/>
      <c r="I217" s="264" t="s">
        <v>2151</v>
      </c>
      <c r="L217" s="252"/>
    </row>
    <row r="218" spans="1:12">
      <c r="A218" s="261"/>
      <c r="B218" s="261"/>
      <c r="C218" s="262"/>
      <c r="D218" s="262" t="s">
        <v>1324</v>
      </c>
      <c r="E218" s="262" t="s">
        <v>1351</v>
      </c>
      <c r="F218" s="261">
        <v>1</v>
      </c>
      <c r="G218" s="263"/>
      <c r="H218" s="261"/>
      <c r="I218" s="264" t="s">
        <v>2151</v>
      </c>
      <c r="L218" s="252"/>
    </row>
    <row r="219" spans="1:12">
      <c r="A219" s="261"/>
      <c r="B219" s="261"/>
      <c r="C219" s="262"/>
      <c r="D219" s="262" t="s">
        <v>1325</v>
      </c>
      <c r="E219" s="262" t="s">
        <v>1352</v>
      </c>
      <c r="F219" s="261">
        <v>1</v>
      </c>
      <c r="G219" s="263"/>
      <c r="H219" s="261"/>
      <c r="I219" s="264" t="s">
        <v>2151</v>
      </c>
      <c r="L219" s="252"/>
    </row>
    <row r="220" spans="1:12">
      <c r="A220" s="261"/>
      <c r="B220" s="261"/>
      <c r="C220" s="262"/>
      <c r="D220" s="262" t="s">
        <v>1325</v>
      </c>
      <c r="E220" s="262" t="s">
        <v>1353</v>
      </c>
      <c r="F220" s="261">
        <v>1</v>
      </c>
      <c r="G220" s="263"/>
      <c r="H220" s="261"/>
      <c r="I220" s="264" t="s">
        <v>2151</v>
      </c>
      <c r="L220" s="252"/>
    </row>
    <row r="221" spans="1:12">
      <c r="A221" s="261"/>
      <c r="B221" s="261"/>
      <c r="C221" s="262"/>
      <c r="D221" s="262" t="s">
        <v>1325</v>
      </c>
      <c r="E221" s="262" t="s">
        <v>1354</v>
      </c>
      <c r="F221" s="261">
        <v>1</v>
      </c>
      <c r="G221" s="263"/>
      <c r="H221" s="261"/>
      <c r="I221" s="264" t="s">
        <v>2151</v>
      </c>
      <c r="L221" s="252"/>
    </row>
    <row r="222" spans="1:12">
      <c r="A222" s="261"/>
      <c r="B222" s="261"/>
      <c r="C222" s="262"/>
      <c r="D222" s="262" t="s">
        <v>1326</v>
      </c>
      <c r="E222" s="262" t="s">
        <v>1355</v>
      </c>
      <c r="F222" s="261">
        <v>1</v>
      </c>
      <c r="G222" s="263"/>
      <c r="H222" s="261"/>
      <c r="I222" s="264" t="s">
        <v>2151</v>
      </c>
      <c r="L222" s="252"/>
    </row>
    <row r="223" spans="1:12">
      <c r="A223" s="261"/>
      <c r="B223" s="261"/>
      <c r="C223" s="262"/>
      <c r="D223" s="262" t="s">
        <v>1326</v>
      </c>
      <c r="E223" s="262" t="s">
        <v>1356</v>
      </c>
      <c r="F223" s="261">
        <v>2</v>
      </c>
      <c r="G223" s="263"/>
      <c r="H223" s="261"/>
      <c r="I223" s="264" t="s">
        <v>2151</v>
      </c>
      <c r="L223" s="252"/>
    </row>
    <row r="224" spans="1:12">
      <c r="A224" s="261"/>
      <c r="B224" s="261"/>
      <c r="C224" s="262"/>
      <c r="D224" s="262" t="s">
        <v>1327</v>
      </c>
      <c r="E224" s="262" t="s">
        <v>1357</v>
      </c>
      <c r="F224" s="261">
        <v>1</v>
      </c>
      <c r="G224" s="263"/>
      <c r="H224" s="261"/>
      <c r="I224" s="264" t="s">
        <v>2151</v>
      </c>
      <c r="L224" s="252"/>
    </row>
    <row r="225" spans="1:12">
      <c r="A225" s="261"/>
      <c r="B225" s="261"/>
      <c r="C225" s="262"/>
      <c r="D225" s="262" t="s">
        <v>1328</v>
      </c>
      <c r="E225" s="262" t="s">
        <v>1358</v>
      </c>
      <c r="F225" s="261">
        <v>1</v>
      </c>
      <c r="G225" s="263"/>
      <c r="H225" s="261"/>
      <c r="I225" s="264" t="s">
        <v>2151</v>
      </c>
      <c r="L225" s="252"/>
    </row>
    <row r="226" spans="1:12">
      <c r="A226" s="261"/>
      <c r="B226" s="261"/>
      <c r="C226" s="262"/>
      <c r="D226" s="262" t="s">
        <v>1329</v>
      </c>
      <c r="E226" s="262" t="s">
        <v>1359</v>
      </c>
      <c r="F226" s="261">
        <v>2</v>
      </c>
      <c r="G226" s="263"/>
      <c r="H226" s="261"/>
      <c r="I226" s="264" t="s">
        <v>2151</v>
      </c>
      <c r="L226" s="252"/>
    </row>
    <row r="227" spans="1:12">
      <c r="A227" s="261"/>
      <c r="B227" s="261"/>
      <c r="C227" s="262"/>
      <c r="D227" s="262" t="s">
        <v>1330</v>
      </c>
      <c r="E227" s="262" t="s">
        <v>1360</v>
      </c>
      <c r="F227" s="261">
        <v>1</v>
      </c>
      <c r="G227" s="263"/>
      <c r="H227" s="261"/>
      <c r="I227" s="264" t="s">
        <v>2151</v>
      </c>
      <c r="L227" s="252"/>
    </row>
    <row r="228" spans="1:12">
      <c r="A228" s="261"/>
      <c r="B228" s="261"/>
      <c r="C228" s="262"/>
      <c r="D228" s="262" t="s">
        <v>1331</v>
      </c>
      <c r="E228" s="262" t="s">
        <v>1361</v>
      </c>
      <c r="F228" s="261">
        <v>1</v>
      </c>
      <c r="G228" s="263"/>
      <c r="H228" s="261"/>
      <c r="I228" s="264" t="s">
        <v>2151</v>
      </c>
      <c r="L228" s="252"/>
    </row>
    <row r="229" spans="1:12">
      <c r="A229" s="261"/>
      <c r="B229" s="261"/>
      <c r="C229" s="262"/>
      <c r="D229" s="262" t="s">
        <v>1331</v>
      </c>
      <c r="E229" s="262" t="s">
        <v>1362</v>
      </c>
      <c r="F229" s="261">
        <v>2</v>
      </c>
      <c r="G229" s="263"/>
      <c r="H229" s="261"/>
      <c r="I229" s="264" t="s">
        <v>2151</v>
      </c>
      <c r="L229" s="252"/>
    </row>
    <row r="230" spans="1:12">
      <c r="A230" s="261"/>
      <c r="B230" s="261"/>
      <c r="C230" s="262"/>
      <c r="D230" s="262" t="s">
        <v>1332</v>
      </c>
      <c r="E230" s="262" t="s">
        <v>1363</v>
      </c>
      <c r="F230" s="261">
        <v>1</v>
      </c>
      <c r="G230" s="263"/>
      <c r="H230" s="261"/>
      <c r="I230" s="264" t="s">
        <v>2151</v>
      </c>
      <c r="L230" s="252"/>
    </row>
    <row r="231" spans="1:12">
      <c r="A231" s="261"/>
      <c r="B231" s="261"/>
      <c r="C231" s="262"/>
      <c r="D231" s="262" t="s">
        <v>2319</v>
      </c>
      <c r="E231" s="262" t="s">
        <v>2320</v>
      </c>
      <c r="F231" s="261">
        <v>12</v>
      </c>
      <c r="G231" s="263"/>
      <c r="H231" s="261"/>
      <c r="I231" s="264" t="s">
        <v>2151</v>
      </c>
      <c r="L231" s="252"/>
    </row>
    <row r="232" spans="1:12">
      <c r="A232" s="261"/>
      <c r="B232" s="261"/>
      <c r="C232" s="262"/>
      <c r="D232" s="262" t="s">
        <v>1691</v>
      </c>
      <c r="E232" s="262" t="s">
        <v>2321</v>
      </c>
      <c r="F232" s="261">
        <v>6</v>
      </c>
      <c r="G232" s="263"/>
      <c r="H232" s="261"/>
      <c r="I232" s="264" t="s">
        <v>2151</v>
      </c>
      <c r="L232" s="252"/>
    </row>
    <row r="233" spans="1:12">
      <c r="A233" s="261"/>
      <c r="B233" s="261"/>
      <c r="C233" s="262"/>
      <c r="D233" s="262" t="s">
        <v>1333</v>
      </c>
      <c r="E233" s="262" t="s">
        <v>1364</v>
      </c>
      <c r="F233" s="261">
        <v>2</v>
      </c>
      <c r="G233" s="263"/>
      <c r="H233" s="261"/>
      <c r="I233" s="264" t="s">
        <v>2151</v>
      </c>
      <c r="L233" s="252"/>
    </row>
    <row r="234" spans="1:12" ht="18.75" customHeight="1">
      <c r="A234" s="280">
        <v>71713</v>
      </c>
      <c r="B234" s="280" t="s">
        <v>85</v>
      </c>
      <c r="C234" s="281" t="s">
        <v>20</v>
      </c>
      <c r="D234" s="281" t="s">
        <v>93</v>
      </c>
      <c r="E234" s="281" t="s">
        <v>92</v>
      </c>
      <c r="F234" s="280">
        <v>4</v>
      </c>
      <c r="G234" s="282">
        <v>45861</v>
      </c>
      <c r="H234" s="321">
        <v>45897</v>
      </c>
      <c r="I234" s="264" t="s">
        <v>2151</v>
      </c>
      <c r="J234" s="243" t="s">
        <v>2299</v>
      </c>
      <c r="L234" s="252"/>
    </row>
    <row r="235" spans="1:12" ht="18.75" customHeight="1">
      <c r="A235" s="261"/>
      <c r="B235" s="261"/>
      <c r="C235" s="262"/>
      <c r="D235" s="262" t="s">
        <v>1199</v>
      </c>
      <c r="E235" s="262" t="s">
        <v>1369</v>
      </c>
      <c r="F235" s="261">
        <v>1</v>
      </c>
      <c r="G235" s="263"/>
      <c r="H235" s="261"/>
      <c r="I235" s="264" t="s">
        <v>2151</v>
      </c>
      <c r="L235" s="252"/>
    </row>
    <row r="236" spans="1:12" ht="18.75" customHeight="1">
      <c r="A236" s="261"/>
      <c r="B236" s="261"/>
      <c r="C236" s="262"/>
      <c r="D236" s="262" t="s">
        <v>1365</v>
      </c>
      <c r="E236" s="262" t="s">
        <v>1370</v>
      </c>
      <c r="F236" s="261">
        <v>1</v>
      </c>
      <c r="G236" s="263"/>
      <c r="H236" s="261"/>
      <c r="I236" s="264" t="s">
        <v>2151</v>
      </c>
      <c r="L236" s="252"/>
    </row>
    <row r="237" spans="1:12" ht="18.75" customHeight="1">
      <c r="A237" s="261"/>
      <c r="B237" s="261"/>
      <c r="C237" s="262"/>
      <c r="D237" s="262" t="s">
        <v>1366</v>
      </c>
      <c r="E237" s="262" t="s">
        <v>1371</v>
      </c>
      <c r="F237" s="261">
        <v>1</v>
      </c>
      <c r="G237" s="263"/>
      <c r="H237" s="261"/>
      <c r="I237" s="264" t="s">
        <v>2151</v>
      </c>
      <c r="L237" s="252"/>
    </row>
    <row r="238" spans="1:12" ht="18.75" customHeight="1">
      <c r="A238" s="261"/>
      <c r="B238" s="261"/>
      <c r="C238" s="262"/>
      <c r="D238" s="262" t="s">
        <v>1367</v>
      </c>
      <c r="E238" s="262" t="s">
        <v>1372</v>
      </c>
      <c r="F238" s="261">
        <v>1</v>
      </c>
      <c r="G238" s="263"/>
      <c r="H238" s="261"/>
      <c r="I238" s="264" t="s">
        <v>2151</v>
      </c>
      <c r="L238" s="252"/>
    </row>
    <row r="239" spans="1:12" ht="18.75" customHeight="1">
      <c r="A239" s="261"/>
      <c r="B239" s="261"/>
      <c r="C239" s="262"/>
      <c r="D239" s="262" t="s">
        <v>1176</v>
      </c>
      <c r="E239" s="262" t="s">
        <v>1373</v>
      </c>
      <c r="F239" s="261">
        <v>1</v>
      </c>
      <c r="G239" s="263"/>
      <c r="H239" s="261"/>
      <c r="I239" s="264" t="s">
        <v>2151</v>
      </c>
      <c r="L239" s="252"/>
    </row>
    <row r="240" spans="1:12" ht="18.75" customHeight="1">
      <c r="A240" s="261"/>
      <c r="B240" s="261"/>
      <c r="C240" s="262"/>
      <c r="D240" s="262" t="s">
        <v>1331</v>
      </c>
      <c r="E240" s="262" t="s">
        <v>1374</v>
      </c>
      <c r="F240" s="261">
        <v>1</v>
      </c>
      <c r="G240" s="263"/>
      <c r="H240" s="261"/>
      <c r="I240" s="264" t="s">
        <v>2151</v>
      </c>
      <c r="L240" s="252"/>
    </row>
    <row r="241" spans="1:12" ht="18.75" customHeight="1">
      <c r="A241" s="261"/>
      <c r="B241" s="261"/>
      <c r="C241" s="262"/>
      <c r="D241" s="262" t="s">
        <v>1368</v>
      </c>
      <c r="E241" s="262" t="s">
        <v>1375</v>
      </c>
      <c r="F241" s="261">
        <v>2</v>
      </c>
      <c r="G241" s="263"/>
      <c r="H241" s="261"/>
      <c r="I241" s="264" t="s">
        <v>2151</v>
      </c>
      <c r="L241" s="252"/>
    </row>
    <row r="242" spans="1:12">
      <c r="A242" s="280">
        <v>71714</v>
      </c>
      <c r="B242" s="280" t="s">
        <v>85</v>
      </c>
      <c r="C242" s="281" t="s">
        <v>20</v>
      </c>
      <c r="D242" s="281" t="s">
        <v>95</v>
      </c>
      <c r="E242" s="281" t="s">
        <v>94</v>
      </c>
      <c r="F242" s="280">
        <v>1</v>
      </c>
      <c r="G242" s="282">
        <v>45861</v>
      </c>
      <c r="H242" s="321">
        <v>45897</v>
      </c>
      <c r="I242" s="264" t="s">
        <v>2151</v>
      </c>
      <c r="L242" s="252"/>
    </row>
    <row r="243" spans="1:12">
      <c r="A243" s="261"/>
      <c r="B243" s="261"/>
      <c r="C243" s="262"/>
      <c r="D243" s="262" t="s">
        <v>1378</v>
      </c>
      <c r="E243" s="262" t="s">
        <v>1381</v>
      </c>
      <c r="F243" s="261">
        <v>1</v>
      </c>
      <c r="G243" s="263"/>
      <c r="H243" s="261"/>
      <c r="I243" s="264" t="s">
        <v>2151</v>
      </c>
      <c r="L243" s="252"/>
    </row>
    <row r="244" spans="1:12">
      <c r="A244" s="239"/>
      <c r="B244" s="239"/>
      <c r="C244" s="264"/>
      <c r="D244" s="284" t="s">
        <v>1376</v>
      </c>
      <c r="E244" s="284" t="s">
        <v>1379</v>
      </c>
      <c r="F244" s="285">
        <v>1</v>
      </c>
      <c r="G244" s="286"/>
      <c r="H244" s="285"/>
      <c r="I244" s="264" t="s">
        <v>2151</v>
      </c>
      <c r="L244" s="252"/>
    </row>
    <row r="245" spans="1:12">
      <c r="A245" s="261"/>
      <c r="B245" s="261"/>
      <c r="C245" s="262"/>
      <c r="D245" s="262" t="s">
        <v>1382</v>
      </c>
      <c r="E245" s="262" t="s">
        <v>1384</v>
      </c>
      <c r="F245" s="261">
        <v>1</v>
      </c>
      <c r="G245" s="263"/>
      <c r="H245" s="261"/>
      <c r="I245" s="264" t="s">
        <v>2151</v>
      </c>
      <c r="L245" s="252"/>
    </row>
    <row r="246" spans="1:12">
      <c r="A246" s="261"/>
      <c r="B246" s="261"/>
      <c r="C246" s="262"/>
      <c r="D246" s="262" t="s">
        <v>1383</v>
      </c>
      <c r="E246" s="262" t="s">
        <v>1385</v>
      </c>
      <c r="F246" s="261">
        <v>1</v>
      </c>
      <c r="G246" s="263"/>
      <c r="H246" s="261"/>
      <c r="I246" s="264" t="s">
        <v>2151</v>
      </c>
      <c r="L246" s="252"/>
    </row>
    <row r="247" spans="1:12">
      <c r="A247" s="239"/>
      <c r="B247" s="239"/>
      <c r="C247" s="264"/>
      <c r="D247" s="284" t="s">
        <v>1377</v>
      </c>
      <c r="E247" s="284" t="s">
        <v>1380</v>
      </c>
      <c r="F247" s="285">
        <v>1</v>
      </c>
      <c r="G247" s="286"/>
      <c r="H247" s="285"/>
      <c r="I247" s="264" t="s">
        <v>2151</v>
      </c>
      <c r="L247" s="252"/>
    </row>
    <row r="248" spans="1:12">
      <c r="A248" s="261"/>
      <c r="B248" s="261"/>
      <c r="C248" s="262"/>
      <c r="D248" s="262" t="s">
        <v>1189</v>
      </c>
      <c r="E248" s="262" t="s">
        <v>1387</v>
      </c>
      <c r="F248" s="261">
        <v>1</v>
      </c>
      <c r="G248" s="263"/>
      <c r="H248" s="261"/>
      <c r="I248" s="264" t="s">
        <v>2151</v>
      </c>
      <c r="L248" s="252"/>
    </row>
    <row r="249" spans="1:12">
      <c r="A249" s="261"/>
      <c r="B249" s="261"/>
      <c r="C249" s="262"/>
      <c r="D249" s="262" t="s">
        <v>1176</v>
      </c>
      <c r="E249" s="262" t="s">
        <v>1388</v>
      </c>
      <c r="F249" s="261">
        <v>1</v>
      </c>
      <c r="G249" s="263"/>
      <c r="H249" s="261"/>
      <c r="I249" s="264" t="s">
        <v>2151</v>
      </c>
      <c r="L249" s="252"/>
    </row>
    <row r="250" spans="1:12">
      <c r="A250" s="261"/>
      <c r="B250" s="261"/>
      <c r="C250" s="262"/>
      <c r="D250" s="262" t="s">
        <v>1386</v>
      </c>
      <c r="E250" s="262" t="s">
        <v>1389</v>
      </c>
      <c r="F250" s="261">
        <v>1</v>
      </c>
      <c r="G250" s="263"/>
      <c r="H250" s="261"/>
      <c r="I250" s="264" t="s">
        <v>2151</v>
      </c>
      <c r="L250" s="252"/>
    </row>
    <row r="251" spans="1:12">
      <c r="A251" s="239">
        <v>71717</v>
      </c>
      <c r="B251" s="239" t="s">
        <v>96</v>
      </c>
      <c r="C251" s="264" t="s">
        <v>45</v>
      </c>
      <c r="D251" s="264" t="s">
        <v>98</v>
      </c>
      <c r="E251" s="264" t="s">
        <v>97</v>
      </c>
      <c r="F251" s="239">
        <v>168000</v>
      </c>
      <c r="G251" s="265">
        <v>45992</v>
      </c>
      <c r="H251" s="239"/>
      <c r="I251" s="264"/>
      <c r="L251" s="252"/>
    </row>
    <row r="252" spans="1:12">
      <c r="A252" s="239">
        <v>71718</v>
      </c>
      <c r="B252" s="239" t="s">
        <v>96</v>
      </c>
      <c r="C252" s="264" t="s">
        <v>45</v>
      </c>
      <c r="D252" s="264" t="s">
        <v>99</v>
      </c>
      <c r="E252" s="264" t="s">
        <v>97</v>
      </c>
      <c r="F252" s="239">
        <v>32000</v>
      </c>
      <c r="G252" s="265">
        <v>45992</v>
      </c>
      <c r="H252" s="239"/>
      <c r="I252" s="264"/>
      <c r="L252" s="252"/>
    </row>
    <row r="253" spans="1:12">
      <c r="A253" s="261">
        <v>71730</v>
      </c>
      <c r="B253" s="261" t="s">
        <v>100</v>
      </c>
      <c r="C253" s="262" t="s">
        <v>20</v>
      </c>
      <c r="D253" s="262" t="s">
        <v>102</v>
      </c>
      <c r="E253" s="262" t="s">
        <v>101</v>
      </c>
      <c r="F253" s="261">
        <v>3</v>
      </c>
      <c r="G253" s="263">
        <v>45849</v>
      </c>
      <c r="H253" s="261" t="s">
        <v>2639</v>
      </c>
      <c r="I253" s="264" t="s">
        <v>2151</v>
      </c>
      <c r="L253" s="252"/>
    </row>
    <row r="254" spans="1:12">
      <c r="A254" s="280">
        <v>71731</v>
      </c>
      <c r="B254" s="280" t="s">
        <v>100</v>
      </c>
      <c r="C254" s="281" t="s">
        <v>20</v>
      </c>
      <c r="D254" s="281" t="s">
        <v>104</v>
      </c>
      <c r="E254" s="281" t="s">
        <v>103</v>
      </c>
      <c r="F254" s="280">
        <v>3</v>
      </c>
      <c r="G254" s="282">
        <v>45849</v>
      </c>
      <c r="H254" s="280" t="s">
        <v>2639</v>
      </c>
      <c r="I254" s="264" t="s">
        <v>2151</v>
      </c>
      <c r="L254" s="251"/>
    </row>
    <row r="255" spans="1:12">
      <c r="A255" s="261"/>
      <c r="B255" s="261"/>
      <c r="C255" s="262"/>
      <c r="D255" s="262" t="s">
        <v>1199</v>
      </c>
      <c r="E255" s="262" t="s">
        <v>1233</v>
      </c>
      <c r="F255" s="261">
        <v>1</v>
      </c>
      <c r="G255" s="263"/>
      <c r="H255" s="261"/>
      <c r="I255" s="264" t="s">
        <v>2151</v>
      </c>
      <c r="L255" s="251"/>
    </row>
    <row r="256" spans="1:12">
      <c r="A256" s="261"/>
      <c r="B256" s="261"/>
      <c r="C256" s="262"/>
      <c r="D256" s="262" t="s">
        <v>1149</v>
      </c>
      <c r="E256" s="262" t="s">
        <v>1150</v>
      </c>
      <c r="F256" s="261">
        <v>1</v>
      </c>
      <c r="G256" s="263"/>
      <c r="H256" s="261"/>
      <c r="I256" s="264" t="s">
        <v>2151</v>
      </c>
      <c r="L256" s="251"/>
    </row>
    <row r="257" spans="1:12">
      <c r="A257" s="261"/>
      <c r="B257" s="261"/>
      <c r="C257" s="262"/>
      <c r="D257" s="262" t="s">
        <v>1231</v>
      </c>
      <c r="E257" s="262" t="s">
        <v>1234</v>
      </c>
      <c r="F257" s="261">
        <v>1</v>
      </c>
      <c r="G257" s="263"/>
      <c r="H257" s="261"/>
      <c r="I257" s="264" t="s">
        <v>2151</v>
      </c>
      <c r="L257" s="251"/>
    </row>
    <row r="258" spans="1:12">
      <c r="A258" s="261"/>
      <c r="B258" s="261"/>
      <c r="C258" s="262"/>
      <c r="D258" s="262" t="s">
        <v>1232</v>
      </c>
      <c r="E258" s="262" t="s">
        <v>1235</v>
      </c>
      <c r="F258" s="261">
        <v>1</v>
      </c>
      <c r="G258" s="263"/>
      <c r="H258" s="261"/>
      <c r="I258" s="264" t="s">
        <v>2151</v>
      </c>
      <c r="L258" s="251"/>
    </row>
    <row r="259" spans="1:12">
      <c r="A259" s="280">
        <v>71732</v>
      </c>
      <c r="B259" s="280" t="s">
        <v>100</v>
      </c>
      <c r="C259" s="281" t="s">
        <v>20</v>
      </c>
      <c r="D259" s="281" t="s">
        <v>106</v>
      </c>
      <c r="E259" s="281" t="s">
        <v>105</v>
      </c>
      <c r="F259" s="280">
        <v>3</v>
      </c>
      <c r="G259" s="282">
        <v>45849</v>
      </c>
      <c r="H259" s="280" t="s">
        <v>2639</v>
      </c>
      <c r="I259" s="264" t="s">
        <v>2151</v>
      </c>
      <c r="L259" s="251"/>
    </row>
    <row r="260" spans="1:12">
      <c r="A260" s="261"/>
      <c r="B260" s="261"/>
      <c r="C260" s="262"/>
      <c r="D260" s="262" t="s">
        <v>1141</v>
      </c>
      <c r="E260" s="262" t="s">
        <v>1223</v>
      </c>
      <c r="F260" s="261">
        <v>1</v>
      </c>
      <c r="G260" s="263"/>
      <c r="H260" s="261"/>
      <c r="I260" s="264" t="s">
        <v>2151</v>
      </c>
      <c r="L260" s="251"/>
    </row>
    <row r="261" spans="1:12">
      <c r="A261" s="261"/>
      <c r="B261" s="261"/>
      <c r="C261" s="262"/>
      <c r="D261" s="262" t="s">
        <v>1182</v>
      </c>
      <c r="E261" s="262" t="s">
        <v>1224</v>
      </c>
      <c r="F261" s="261">
        <v>1</v>
      </c>
      <c r="G261" s="263"/>
      <c r="H261" s="261"/>
      <c r="I261" s="264" t="s">
        <v>2151</v>
      </c>
      <c r="L261" s="251"/>
    </row>
    <row r="262" spans="1:12">
      <c r="A262" s="261">
        <v>71733</v>
      </c>
      <c r="B262" s="261" t="s">
        <v>100</v>
      </c>
      <c r="C262" s="262" t="s">
        <v>20</v>
      </c>
      <c r="D262" s="262" t="s">
        <v>108</v>
      </c>
      <c r="E262" s="262" t="s">
        <v>107</v>
      </c>
      <c r="F262" s="261">
        <v>3</v>
      </c>
      <c r="G262" s="263">
        <v>45849</v>
      </c>
      <c r="H262" s="261" t="s">
        <v>2639</v>
      </c>
      <c r="I262" s="264" t="s">
        <v>2151</v>
      </c>
      <c r="L262" s="251"/>
    </row>
    <row r="263" spans="1:12">
      <c r="A263" s="280">
        <v>71734</v>
      </c>
      <c r="B263" s="280" t="s">
        <v>100</v>
      </c>
      <c r="C263" s="281" t="s">
        <v>20</v>
      </c>
      <c r="D263" s="281" t="s">
        <v>110</v>
      </c>
      <c r="E263" s="281" t="s">
        <v>109</v>
      </c>
      <c r="F263" s="280">
        <v>7</v>
      </c>
      <c r="G263" s="282">
        <v>45849</v>
      </c>
      <c r="H263" s="280" t="s">
        <v>2639</v>
      </c>
      <c r="I263" s="264" t="s">
        <v>2151</v>
      </c>
      <c r="L263" s="251"/>
    </row>
    <row r="264" spans="1:12">
      <c r="A264" s="261"/>
      <c r="B264" s="261"/>
      <c r="C264" s="262"/>
      <c r="D264" s="288" t="s">
        <v>1209</v>
      </c>
      <c r="E264" s="262" t="s">
        <v>1212</v>
      </c>
      <c r="F264" s="261"/>
      <c r="G264" s="263"/>
      <c r="H264" s="261"/>
      <c r="I264" s="264" t="s">
        <v>2151</v>
      </c>
      <c r="L264" s="251"/>
    </row>
    <row r="265" spans="1:12">
      <c r="A265" s="239"/>
      <c r="B265" s="239"/>
      <c r="C265" s="264"/>
      <c r="D265" s="287" t="s">
        <v>1208</v>
      </c>
      <c r="E265" s="284" t="s">
        <v>1211</v>
      </c>
      <c r="F265" s="285"/>
      <c r="G265" s="286"/>
      <c r="H265" s="285"/>
      <c r="I265" s="264"/>
      <c r="L265" s="251"/>
    </row>
    <row r="266" spans="1:12">
      <c r="A266" s="239"/>
      <c r="B266" s="239"/>
      <c r="C266" s="264"/>
      <c r="D266" s="287" t="s">
        <v>1210</v>
      </c>
      <c r="E266" s="284" t="s">
        <v>33</v>
      </c>
      <c r="F266" s="285"/>
      <c r="G266" s="286"/>
      <c r="H266" s="285"/>
      <c r="I266" s="264" t="s">
        <v>2151</v>
      </c>
      <c r="L266" s="251"/>
    </row>
    <row r="267" spans="1:12">
      <c r="A267" s="280">
        <v>71735</v>
      </c>
      <c r="B267" s="280" t="s">
        <v>100</v>
      </c>
      <c r="C267" s="281" t="s">
        <v>20</v>
      </c>
      <c r="D267" s="281" t="s">
        <v>112</v>
      </c>
      <c r="E267" s="281" t="s">
        <v>111</v>
      </c>
      <c r="F267" s="280">
        <v>7</v>
      </c>
      <c r="G267" s="282">
        <v>45849</v>
      </c>
      <c r="H267" s="280" t="s">
        <v>2639</v>
      </c>
      <c r="I267" s="264" t="s">
        <v>2151</v>
      </c>
      <c r="L267" s="251"/>
    </row>
    <row r="268" spans="1:12">
      <c r="A268" s="261"/>
      <c r="B268" s="261"/>
      <c r="C268" s="262"/>
      <c r="D268" s="262" t="s">
        <v>1213</v>
      </c>
      <c r="E268" s="262" t="s">
        <v>1215</v>
      </c>
      <c r="F268" s="261">
        <v>1</v>
      </c>
      <c r="G268" s="263"/>
      <c r="H268" s="261"/>
      <c r="I268" s="264" t="s">
        <v>2151</v>
      </c>
      <c r="L268" s="251"/>
    </row>
    <row r="269" spans="1:12">
      <c r="A269" s="280">
        <v>71736</v>
      </c>
      <c r="B269" s="280" t="s">
        <v>100</v>
      </c>
      <c r="C269" s="281" t="s">
        <v>20</v>
      </c>
      <c r="D269" s="281" t="s">
        <v>114</v>
      </c>
      <c r="E269" s="281" t="s">
        <v>113</v>
      </c>
      <c r="F269" s="280">
        <v>7</v>
      </c>
      <c r="G269" s="282">
        <v>45849</v>
      </c>
      <c r="H269" s="280" t="s">
        <v>2639</v>
      </c>
      <c r="I269" s="264" t="s">
        <v>2151</v>
      </c>
      <c r="L269" s="251"/>
    </row>
    <row r="270" spans="1:12">
      <c r="A270" s="261"/>
      <c r="B270" s="261"/>
      <c r="C270" s="262"/>
      <c r="D270" s="288" t="s">
        <v>1164</v>
      </c>
      <c r="E270" s="262" t="s">
        <v>1165</v>
      </c>
      <c r="F270" s="261">
        <v>1</v>
      </c>
      <c r="G270" s="263"/>
      <c r="H270" s="261"/>
      <c r="I270" s="264" t="s">
        <v>2151</v>
      </c>
      <c r="L270" s="251"/>
    </row>
    <row r="271" spans="1:12">
      <c r="A271" s="261"/>
      <c r="B271" s="261"/>
      <c r="C271" s="262"/>
      <c r="D271" s="288" t="s">
        <v>1166</v>
      </c>
      <c r="E271" s="262" t="s">
        <v>1167</v>
      </c>
      <c r="F271" s="261">
        <v>1</v>
      </c>
      <c r="G271" s="263"/>
      <c r="H271" s="261"/>
      <c r="I271" s="264" t="s">
        <v>2151</v>
      </c>
      <c r="L271" s="251"/>
    </row>
    <row r="272" spans="1:12">
      <c r="A272" s="261"/>
      <c r="B272" s="261"/>
      <c r="C272" s="262"/>
      <c r="D272" s="288" t="s">
        <v>1147</v>
      </c>
      <c r="E272" s="262" t="s">
        <v>1148</v>
      </c>
      <c r="F272" s="261">
        <v>1</v>
      </c>
      <c r="G272" s="263"/>
      <c r="H272" s="261"/>
      <c r="I272" s="264" t="s">
        <v>2151</v>
      </c>
      <c r="L272" s="251"/>
    </row>
    <row r="273" spans="1:12">
      <c r="A273" s="261">
        <v>71737</v>
      </c>
      <c r="B273" s="261" t="s">
        <v>100</v>
      </c>
      <c r="C273" s="262" t="s">
        <v>20</v>
      </c>
      <c r="D273" s="262" t="s">
        <v>116</v>
      </c>
      <c r="E273" s="262" t="s">
        <v>115</v>
      </c>
      <c r="F273" s="261">
        <v>14</v>
      </c>
      <c r="G273" s="263">
        <v>45849</v>
      </c>
      <c r="H273" s="261" t="s">
        <v>2639</v>
      </c>
      <c r="I273" s="264" t="s">
        <v>2151</v>
      </c>
      <c r="L273" s="251"/>
    </row>
    <row r="274" spans="1:12">
      <c r="A274" s="261">
        <v>71738</v>
      </c>
      <c r="B274" s="261" t="s">
        <v>100</v>
      </c>
      <c r="C274" s="262" t="s">
        <v>20</v>
      </c>
      <c r="D274" s="262" t="s">
        <v>118</v>
      </c>
      <c r="E274" s="262" t="s">
        <v>117</v>
      </c>
      <c r="F274" s="261">
        <v>14</v>
      </c>
      <c r="G274" s="263">
        <v>45849</v>
      </c>
      <c r="H274" s="261" t="s">
        <v>2639</v>
      </c>
      <c r="I274" s="264" t="s">
        <v>2151</v>
      </c>
      <c r="L274" s="252"/>
    </row>
    <row r="275" spans="1:12">
      <c r="A275" s="280">
        <v>71739</v>
      </c>
      <c r="B275" s="280" t="s">
        <v>100</v>
      </c>
      <c r="C275" s="281" t="s">
        <v>20</v>
      </c>
      <c r="D275" s="281" t="s">
        <v>120</v>
      </c>
      <c r="E275" s="281" t="s">
        <v>119</v>
      </c>
      <c r="F275" s="280">
        <v>1</v>
      </c>
      <c r="G275" s="282">
        <v>45849</v>
      </c>
      <c r="H275" s="280" t="s">
        <v>2639</v>
      </c>
      <c r="I275" s="264" t="s">
        <v>2151</v>
      </c>
      <c r="L275" s="252"/>
    </row>
    <row r="276" spans="1:12">
      <c r="A276" s="261"/>
      <c r="B276" s="261"/>
      <c r="C276" s="262"/>
      <c r="D276" s="262" t="s">
        <v>1390</v>
      </c>
      <c r="E276" s="262" t="s">
        <v>1406</v>
      </c>
      <c r="F276" s="261">
        <v>1</v>
      </c>
      <c r="G276" s="263"/>
      <c r="H276" s="261"/>
      <c r="I276" s="264" t="s">
        <v>2151</v>
      </c>
      <c r="L276" s="252"/>
    </row>
    <row r="277" spans="1:12">
      <c r="A277" s="261"/>
      <c r="B277" s="261"/>
      <c r="C277" s="262"/>
      <c r="D277" s="262" t="s">
        <v>1391</v>
      </c>
      <c r="E277" s="262" t="s">
        <v>1407</v>
      </c>
      <c r="F277" s="261">
        <v>1</v>
      </c>
      <c r="G277" s="263"/>
      <c r="H277" s="261"/>
      <c r="I277" s="264" t="s">
        <v>2151</v>
      </c>
      <c r="L277" s="252"/>
    </row>
    <row r="278" spans="1:12" ht="42">
      <c r="A278" s="261"/>
      <c r="B278" s="261"/>
      <c r="C278" s="262"/>
      <c r="D278" s="288" t="s">
        <v>1392</v>
      </c>
      <c r="E278" s="262" t="s">
        <v>1408</v>
      </c>
      <c r="F278" s="261">
        <v>1</v>
      </c>
      <c r="G278" s="263"/>
      <c r="H278" s="261"/>
      <c r="I278" s="264" t="s">
        <v>2151</v>
      </c>
      <c r="L278" s="252"/>
    </row>
    <row r="279" spans="1:12" ht="42">
      <c r="A279" s="261"/>
      <c r="B279" s="261"/>
      <c r="C279" s="262"/>
      <c r="D279" s="288" t="s">
        <v>1393</v>
      </c>
      <c r="E279" s="262" t="s">
        <v>1409</v>
      </c>
      <c r="F279" s="261">
        <v>1</v>
      </c>
      <c r="G279" s="263"/>
      <c r="H279" s="261"/>
      <c r="I279" s="264" t="s">
        <v>2151</v>
      </c>
      <c r="L279" s="252"/>
    </row>
    <row r="280" spans="1:12" ht="42">
      <c r="A280" s="261"/>
      <c r="B280" s="261"/>
      <c r="C280" s="262"/>
      <c r="D280" s="288" t="s">
        <v>1394</v>
      </c>
      <c r="E280" s="262" t="s">
        <v>1410</v>
      </c>
      <c r="F280" s="261">
        <v>1</v>
      </c>
      <c r="G280" s="263"/>
      <c r="H280" s="261"/>
      <c r="I280" s="264" t="s">
        <v>2151</v>
      </c>
      <c r="L280" s="252"/>
    </row>
    <row r="281" spans="1:12">
      <c r="A281" s="261"/>
      <c r="B281" s="261"/>
      <c r="C281" s="262"/>
      <c r="D281" s="262" t="s">
        <v>1395</v>
      </c>
      <c r="E281" s="262" t="s">
        <v>1411</v>
      </c>
      <c r="F281" s="261">
        <v>1</v>
      </c>
      <c r="G281" s="263"/>
      <c r="H281" s="261"/>
      <c r="I281" s="264" t="s">
        <v>2151</v>
      </c>
      <c r="L281" s="252"/>
    </row>
    <row r="282" spans="1:12">
      <c r="A282" s="261"/>
      <c r="B282" s="261"/>
      <c r="C282" s="262"/>
      <c r="D282" s="262" t="s">
        <v>1396</v>
      </c>
      <c r="E282" s="262" t="s">
        <v>1412</v>
      </c>
      <c r="F282" s="261">
        <v>2</v>
      </c>
      <c r="G282" s="263"/>
      <c r="H282" s="261"/>
      <c r="I282" s="264" t="s">
        <v>2151</v>
      </c>
      <c r="L282" s="252"/>
    </row>
    <row r="283" spans="1:12">
      <c r="A283" s="261"/>
      <c r="B283" s="261"/>
      <c r="C283" s="262"/>
      <c r="D283" s="262" t="s">
        <v>1142</v>
      </c>
      <c r="E283" s="262" t="s">
        <v>1412</v>
      </c>
      <c r="F283" s="261">
        <v>1</v>
      </c>
      <c r="G283" s="263"/>
      <c r="H283" s="261"/>
      <c r="I283" s="264" t="s">
        <v>2151</v>
      </c>
      <c r="L283" s="252"/>
    </row>
    <row r="284" spans="1:12">
      <c r="A284" s="261"/>
      <c r="B284" s="261"/>
      <c r="C284" s="262"/>
      <c r="D284" s="262" t="s">
        <v>1397</v>
      </c>
      <c r="E284" s="262" t="s">
        <v>1413</v>
      </c>
      <c r="F284" s="261">
        <v>2</v>
      </c>
      <c r="G284" s="263"/>
      <c r="H284" s="261"/>
      <c r="I284" s="264" t="s">
        <v>2151</v>
      </c>
      <c r="L284" s="252"/>
    </row>
    <row r="285" spans="1:12">
      <c r="A285" s="261"/>
      <c r="B285" s="261"/>
      <c r="C285" s="262"/>
      <c r="D285" s="262" t="s">
        <v>1398</v>
      </c>
      <c r="E285" s="262" t="s">
        <v>1414</v>
      </c>
      <c r="F285" s="261">
        <v>1</v>
      </c>
      <c r="G285" s="263"/>
      <c r="H285" s="261"/>
      <c r="I285" s="264" t="s">
        <v>2151</v>
      </c>
      <c r="L285" s="252"/>
    </row>
    <row r="286" spans="1:12">
      <c r="A286" s="261"/>
      <c r="B286" s="261"/>
      <c r="C286" s="262"/>
      <c r="D286" s="262" t="s">
        <v>1399</v>
      </c>
      <c r="E286" s="262" t="s">
        <v>1415</v>
      </c>
      <c r="F286" s="261">
        <v>1</v>
      </c>
      <c r="G286" s="263"/>
      <c r="H286" s="261"/>
      <c r="I286" s="264" t="s">
        <v>2151</v>
      </c>
      <c r="L286" s="252"/>
    </row>
    <row r="287" spans="1:12">
      <c r="A287" s="261"/>
      <c r="B287" s="261"/>
      <c r="C287" s="262"/>
      <c r="D287" s="262" t="s">
        <v>1400</v>
      </c>
      <c r="E287" s="262" t="s">
        <v>1416</v>
      </c>
      <c r="F287" s="261">
        <v>1</v>
      </c>
      <c r="G287" s="263"/>
      <c r="H287" s="261"/>
      <c r="I287" s="264" t="s">
        <v>2151</v>
      </c>
      <c r="L287" s="252"/>
    </row>
    <row r="288" spans="1:12">
      <c r="A288" s="261"/>
      <c r="B288" s="261"/>
      <c r="C288" s="262"/>
      <c r="D288" s="262" t="s">
        <v>1401</v>
      </c>
      <c r="E288" s="262" t="s">
        <v>1417</v>
      </c>
      <c r="F288" s="261">
        <v>1</v>
      </c>
      <c r="G288" s="263"/>
      <c r="H288" s="261"/>
      <c r="I288" s="264" t="s">
        <v>2151</v>
      </c>
      <c r="L288" s="252"/>
    </row>
    <row r="289" spans="1:50">
      <c r="A289" s="261"/>
      <c r="B289" s="261"/>
      <c r="C289" s="262"/>
      <c r="D289" s="262" t="s">
        <v>1402</v>
      </c>
      <c r="E289" s="262" t="s">
        <v>1418</v>
      </c>
      <c r="F289" s="261">
        <v>1</v>
      </c>
      <c r="G289" s="263"/>
      <c r="H289" s="261"/>
      <c r="I289" s="264" t="s">
        <v>2151</v>
      </c>
      <c r="L289" s="252"/>
    </row>
    <row r="290" spans="1:50">
      <c r="A290" s="261"/>
      <c r="B290" s="261"/>
      <c r="C290" s="262"/>
      <c r="D290" s="262" t="s">
        <v>1403</v>
      </c>
      <c r="E290" s="262" t="s">
        <v>1419</v>
      </c>
      <c r="F290" s="261">
        <v>2</v>
      </c>
      <c r="G290" s="263"/>
      <c r="H290" s="261"/>
      <c r="I290" s="264" t="s">
        <v>2151</v>
      </c>
      <c r="L290" s="252"/>
    </row>
    <row r="291" spans="1:50">
      <c r="A291" s="261"/>
      <c r="B291" s="261"/>
      <c r="C291" s="262"/>
      <c r="D291" s="262" t="s">
        <v>1404</v>
      </c>
      <c r="E291" s="262" t="s">
        <v>1420</v>
      </c>
      <c r="F291" s="261">
        <v>1</v>
      </c>
      <c r="G291" s="263"/>
      <c r="H291" s="261"/>
      <c r="I291" s="264" t="s">
        <v>2151</v>
      </c>
      <c r="L291" s="252"/>
    </row>
    <row r="292" spans="1:50">
      <c r="A292" s="239"/>
      <c r="B292" s="239"/>
      <c r="C292" s="264"/>
      <c r="D292" s="284" t="s">
        <v>1405</v>
      </c>
      <c r="E292" s="284" t="s">
        <v>1421</v>
      </c>
      <c r="F292" s="285">
        <v>1</v>
      </c>
      <c r="G292" s="286"/>
      <c r="H292" s="285"/>
      <c r="I292" s="264" t="s">
        <v>2151</v>
      </c>
      <c r="L292" s="252"/>
    </row>
    <row r="293" spans="1:50">
      <c r="A293" s="261"/>
      <c r="B293" s="261"/>
      <c r="C293" s="262"/>
      <c r="D293" s="262" t="s">
        <v>1422</v>
      </c>
      <c r="E293" s="262" t="s">
        <v>1423</v>
      </c>
      <c r="F293" s="261">
        <v>1</v>
      </c>
      <c r="G293" s="263"/>
      <c r="H293" s="261"/>
      <c r="I293" s="264" t="s">
        <v>2151</v>
      </c>
      <c r="L293" s="252"/>
    </row>
    <row r="294" spans="1:50">
      <c r="A294" s="280">
        <v>71742</v>
      </c>
      <c r="B294" s="280" t="s">
        <v>2642</v>
      </c>
      <c r="C294" s="281" t="s">
        <v>20</v>
      </c>
      <c r="D294" s="281" t="s">
        <v>81</v>
      </c>
      <c r="E294" s="281" t="s">
        <v>80</v>
      </c>
      <c r="F294" s="280">
        <v>5</v>
      </c>
      <c r="G294" s="282">
        <v>45877</v>
      </c>
      <c r="H294" s="321">
        <v>45894</v>
      </c>
      <c r="I294" s="264" t="s">
        <v>2151</v>
      </c>
      <c r="L294" s="252"/>
      <c r="AM294" s="243" t="s">
        <v>2339</v>
      </c>
      <c r="AN294" s="243" t="s">
        <v>2339</v>
      </c>
      <c r="AS294" s="243" t="s">
        <v>2248</v>
      </c>
      <c r="AT294" s="243" t="s">
        <v>2248</v>
      </c>
      <c r="AU294" s="243" t="s">
        <v>2427</v>
      </c>
      <c r="AV294" s="243" t="s">
        <v>2427</v>
      </c>
      <c r="AW294" s="243" t="s">
        <v>2426</v>
      </c>
      <c r="AX294" s="243" t="s">
        <v>2426</v>
      </c>
    </row>
    <row r="295" spans="1:50">
      <c r="A295" s="261"/>
      <c r="B295" s="261"/>
      <c r="C295" s="262"/>
      <c r="D295" s="262" t="s">
        <v>1240</v>
      </c>
      <c r="E295" s="262" t="s">
        <v>1247</v>
      </c>
      <c r="F295" s="261">
        <v>1</v>
      </c>
      <c r="G295" s="263"/>
      <c r="H295" s="261"/>
      <c r="I295" s="264" t="s">
        <v>2151</v>
      </c>
      <c r="L295" s="252"/>
    </row>
    <row r="296" spans="1:50">
      <c r="A296" s="261"/>
      <c r="B296" s="261"/>
      <c r="C296" s="262"/>
      <c r="D296" s="262" t="s">
        <v>1241</v>
      </c>
      <c r="E296" s="262" t="s">
        <v>1248</v>
      </c>
      <c r="F296" s="261">
        <v>3</v>
      </c>
      <c r="G296" s="263"/>
      <c r="H296" s="261"/>
      <c r="I296" s="264" t="s">
        <v>2151</v>
      </c>
      <c r="L296" s="252"/>
    </row>
    <row r="297" spans="1:50">
      <c r="A297" s="261"/>
      <c r="B297" s="261"/>
      <c r="C297" s="262"/>
      <c r="D297" s="262" t="s">
        <v>1242</v>
      </c>
      <c r="E297" s="262" t="s">
        <v>1249</v>
      </c>
      <c r="F297" s="261">
        <v>3</v>
      </c>
      <c r="G297" s="263"/>
      <c r="H297" s="261"/>
      <c r="I297" s="264" t="s">
        <v>2151</v>
      </c>
      <c r="L297" s="252"/>
    </row>
    <row r="298" spans="1:50">
      <c r="A298" s="261"/>
      <c r="B298" s="261"/>
      <c r="C298" s="262"/>
      <c r="D298" s="262" t="s">
        <v>1243</v>
      </c>
      <c r="E298" s="262" t="s">
        <v>1250</v>
      </c>
      <c r="F298" s="261">
        <v>1</v>
      </c>
      <c r="G298" s="263"/>
      <c r="H298" s="302"/>
      <c r="I298" s="264" t="s">
        <v>2151</v>
      </c>
      <c r="L298" s="252"/>
    </row>
    <row r="299" spans="1:50">
      <c r="A299" s="261"/>
      <c r="B299" s="261"/>
      <c r="C299" s="262"/>
      <c r="D299" s="262" t="s">
        <v>1244</v>
      </c>
      <c r="E299" s="262" t="s">
        <v>1251</v>
      </c>
      <c r="F299" s="261">
        <v>1</v>
      </c>
      <c r="G299" s="263"/>
      <c r="H299" s="261"/>
      <c r="I299" s="264" t="s">
        <v>2151</v>
      </c>
      <c r="L299" s="252"/>
    </row>
    <row r="300" spans="1:50" ht="42">
      <c r="A300" s="239"/>
      <c r="B300" s="239"/>
      <c r="C300" s="264"/>
      <c r="D300" s="287" t="s">
        <v>1238</v>
      </c>
      <c r="E300" s="284" t="s">
        <v>1245</v>
      </c>
      <c r="F300" s="285">
        <v>1</v>
      </c>
      <c r="G300" s="286"/>
      <c r="H300" s="285"/>
      <c r="I300" s="264" t="s">
        <v>2151</v>
      </c>
      <c r="L300" s="252"/>
    </row>
    <row r="301" spans="1:50" ht="42">
      <c r="A301" s="261"/>
      <c r="B301" s="261"/>
      <c r="C301" s="262"/>
      <c r="D301" s="288" t="s">
        <v>1252</v>
      </c>
      <c r="E301" s="262" t="s">
        <v>1254</v>
      </c>
      <c r="F301" s="261">
        <v>1</v>
      </c>
      <c r="G301" s="263"/>
      <c r="H301" s="261"/>
      <c r="I301" s="264" t="s">
        <v>2151</v>
      </c>
      <c r="L301" s="252"/>
    </row>
    <row r="302" spans="1:50" ht="42">
      <c r="A302" s="261"/>
      <c r="B302" s="261"/>
      <c r="C302" s="262"/>
      <c r="D302" s="288" t="s">
        <v>1253</v>
      </c>
      <c r="E302" s="262" t="s">
        <v>1255</v>
      </c>
      <c r="F302" s="261">
        <v>1</v>
      </c>
      <c r="G302" s="263"/>
      <c r="H302" s="261"/>
      <c r="I302" s="264" t="s">
        <v>2151</v>
      </c>
      <c r="L302" s="252"/>
    </row>
    <row r="303" spans="1:50">
      <c r="A303" s="239"/>
      <c r="B303" s="239"/>
      <c r="C303" s="264"/>
      <c r="D303" s="284" t="s">
        <v>1239</v>
      </c>
      <c r="E303" s="284" t="s">
        <v>1246</v>
      </c>
      <c r="F303" s="285">
        <v>1</v>
      </c>
      <c r="G303" s="286"/>
      <c r="H303" s="285"/>
      <c r="I303" s="264" t="s">
        <v>2151</v>
      </c>
      <c r="L303" s="252"/>
    </row>
    <row r="304" spans="1:50">
      <c r="A304" s="280">
        <v>71743</v>
      </c>
      <c r="B304" s="280" t="s">
        <v>121</v>
      </c>
      <c r="C304" s="281" t="s">
        <v>20</v>
      </c>
      <c r="D304" s="281" t="s">
        <v>123</v>
      </c>
      <c r="E304" s="281" t="s">
        <v>122</v>
      </c>
      <c r="F304" s="280">
        <v>3</v>
      </c>
      <c r="G304" s="282">
        <v>45849</v>
      </c>
      <c r="H304" s="321">
        <v>45889</v>
      </c>
      <c r="I304" s="264" t="s">
        <v>2427</v>
      </c>
      <c r="L304" s="252"/>
      <c r="AD304" s="243" t="s">
        <v>2396</v>
      </c>
      <c r="AN304" s="246" t="s">
        <v>2397</v>
      </c>
      <c r="AO304" s="243" t="s">
        <v>2225</v>
      </c>
      <c r="AP304" s="243" t="s">
        <v>2225</v>
      </c>
    </row>
    <row r="305" spans="1:51">
      <c r="A305" s="261"/>
      <c r="B305" s="261"/>
      <c r="C305" s="262"/>
      <c r="D305" s="262" t="s">
        <v>1182</v>
      </c>
      <c r="E305" s="262" t="s">
        <v>1425</v>
      </c>
      <c r="F305" s="261">
        <v>2</v>
      </c>
      <c r="G305" s="263"/>
      <c r="H305" s="261"/>
      <c r="I305" s="264" t="s">
        <v>2151</v>
      </c>
      <c r="L305" s="252"/>
    </row>
    <row r="306" spans="1:51">
      <c r="A306" s="239"/>
      <c r="B306" s="239"/>
      <c r="C306" s="264"/>
      <c r="D306" s="284" t="s">
        <v>1424</v>
      </c>
      <c r="E306" s="284" t="s">
        <v>157</v>
      </c>
      <c r="F306" s="285">
        <v>1</v>
      </c>
      <c r="G306" s="286"/>
      <c r="H306" s="285"/>
      <c r="I306" s="264" t="s">
        <v>2151</v>
      </c>
      <c r="L306" s="252"/>
    </row>
    <row r="307" spans="1:51">
      <c r="A307" s="280">
        <v>71744</v>
      </c>
      <c r="B307" s="280" t="s">
        <v>121</v>
      </c>
      <c r="C307" s="281" t="s">
        <v>20</v>
      </c>
      <c r="D307" s="281" t="s">
        <v>124</v>
      </c>
      <c r="E307" s="281" t="s">
        <v>159</v>
      </c>
      <c r="F307" s="280">
        <v>4</v>
      </c>
      <c r="G307" s="282">
        <v>45863</v>
      </c>
      <c r="H307" s="321">
        <v>45889</v>
      </c>
      <c r="I307" s="264" t="s">
        <v>2151</v>
      </c>
      <c r="L307" s="252"/>
      <c r="AD307" s="243" t="s">
        <v>2396</v>
      </c>
      <c r="AH307" s="243" t="s">
        <v>2389</v>
      </c>
      <c r="AI307" s="243" t="s">
        <v>2225</v>
      </c>
      <c r="AJ307" s="243" t="s">
        <v>2225</v>
      </c>
      <c r="AK307" s="243" t="s">
        <v>2437</v>
      </c>
      <c r="AL307" s="243" t="s">
        <v>2437</v>
      </c>
      <c r="AM307" s="243" t="s">
        <v>2398</v>
      </c>
      <c r="AN307" s="243" t="s">
        <v>2398</v>
      </c>
      <c r="AU307" s="243" t="s">
        <v>2225</v>
      </c>
      <c r="AV307" s="243" t="s">
        <v>2225</v>
      </c>
      <c r="AW307" s="243" t="s">
        <v>2426</v>
      </c>
      <c r="AX307" s="243" t="s">
        <v>2426</v>
      </c>
      <c r="AY307" s="243" t="s">
        <v>2208</v>
      </c>
    </row>
    <row r="308" spans="1:51">
      <c r="A308" s="261"/>
      <c r="B308" s="261"/>
      <c r="C308" s="262"/>
      <c r="D308" s="262" t="s">
        <v>1182</v>
      </c>
      <c r="E308" s="262" t="s">
        <v>158</v>
      </c>
      <c r="F308" s="261">
        <v>2</v>
      </c>
      <c r="G308" s="263"/>
      <c r="H308" s="261"/>
      <c r="I308" s="264" t="s">
        <v>2151</v>
      </c>
      <c r="L308" s="252"/>
    </row>
    <row r="309" spans="1:51">
      <c r="A309" s="261"/>
      <c r="B309" s="261"/>
      <c r="C309" s="262"/>
      <c r="D309" s="262" t="s">
        <v>1426</v>
      </c>
      <c r="E309" s="262"/>
      <c r="F309" s="261">
        <v>3</v>
      </c>
      <c r="G309" s="263"/>
      <c r="H309" s="261"/>
      <c r="I309" s="264" t="s">
        <v>2151</v>
      </c>
      <c r="L309" s="252"/>
    </row>
    <row r="310" spans="1:51">
      <c r="A310" s="239"/>
      <c r="B310" s="239"/>
      <c r="C310" s="264"/>
      <c r="D310" s="284" t="s">
        <v>1428</v>
      </c>
      <c r="E310" s="284" t="s">
        <v>1429</v>
      </c>
      <c r="F310" s="285">
        <v>1</v>
      </c>
      <c r="G310" s="286"/>
      <c r="H310" s="285"/>
      <c r="I310" s="264" t="s">
        <v>2151</v>
      </c>
      <c r="L310" s="252"/>
    </row>
    <row r="311" spans="1:51">
      <c r="A311" s="261"/>
      <c r="B311" s="261"/>
      <c r="C311" s="262"/>
      <c r="D311" s="262" t="s">
        <v>1430</v>
      </c>
      <c r="E311" s="262" t="s">
        <v>1434</v>
      </c>
      <c r="F311" s="261">
        <v>1</v>
      </c>
      <c r="G311" s="263"/>
      <c r="H311" s="261"/>
      <c r="I311" s="264" t="s">
        <v>2151</v>
      </c>
      <c r="L311" s="252"/>
    </row>
    <row r="312" spans="1:51">
      <c r="A312" s="261"/>
      <c r="B312" s="261"/>
      <c r="C312" s="262"/>
      <c r="D312" s="262" t="s">
        <v>1431</v>
      </c>
      <c r="E312" s="262" t="s">
        <v>1435</v>
      </c>
      <c r="F312" s="261">
        <v>1</v>
      </c>
      <c r="G312" s="263"/>
      <c r="H312" s="261"/>
      <c r="I312" s="264" t="s">
        <v>2151</v>
      </c>
      <c r="L312" s="252"/>
    </row>
    <row r="313" spans="1:51">
      <c r="A313" s="261"/>
      <c r="B313" s="261"/>
      <c r="C313" s="262"/>
      <c r="D313" s="262" t="s">
        <v>1432</v>
      </c>
      <c r="E313" s="262" t="s">
        <v>1436</v>
      </c>
      <c r="F313" s="261">
        <v>1</v>
      </c>
      <c r="G313" s="263"/>
      <c r="H313" s="261"/>
      <c r="I313" s="264" t="s">
        <v>2151</v>
      </c>
      <c r="L313" s="252"/>
    </row>
    <row r="314" spans="1:51">
      <c r="A314" s="239"/>
      <c r="B314" s="239"/>
      <c r="C314" s="264"/>
      <c r="D314" s="290" t="s">
        <v>1433</v>
      </c>
      <c r="E314" s="290" t="s">
        <v>1437</v>
      </c>
      <c r="F314" s="291">
        <v>1</v>
      </c>
      <c r="G314" s="292"/>
      <c r="H314" s="291"/>
      <c r="I314" s="264" t="s">
        <v>2151</v>
      </c>
      <c r="L314" s="252"/>
    </row>
    <row r="315" spans="1:51">
      <c r="A315" s="239"/>
      <c r="B315" s="239"/>
      <c r="C315" s="264"/>
      <c r="D315" s="284" t="s">
        <v>1424</v>
      </c>
      <c r="E315" s="284" t="s">
        <v>157</v>
      </c>
      <c r="F315" s="285">
        <v>1</v>
      </c>
      <c r="G315" s="286"/>
      <c r="H315" s="285"/>
      <c r="I315" s="264" t="s">
        <v>2151</v>
      </c>
      <c r="L315" s="252"/>
    </row>
    <row r="316" spans="1:51">
      <c r="A316" s="280">
        <v>71745</v>
      </c>
      <c r="B316" s="280" t="s">
        <v>121</v>
      </c>
      <c r="C316" s="281" t="s">
        <v>20</v>
      </c>
      <c r="D316" s="281" t="s">
        <v>126</v>
      </c>
      <c r="E316" s="281" t="s">
        <v>125</v>
      </c>
      <c r="F316" s="280">
        <v>8</v>
      </c>
      <c r="G316" s="282">
        <v>45849</v>
      </c>
      <c r="H316" s="321">
        <v>45889</v>
      </c>
      <c r="I316" s="264" t="s">
        <v>2151</v>
      </c>
      <c r="L316" s="252"/>
    </row>
    <row r="317" spans="1:51">
      <c r="A317" s="280">
        <v>71746</v>
      </c>
      <c r="B317" s="280" t="s">
        <v>121</v>
      </c>
      <c r="C317" s="281" t="s">
        <v>20</v>
      </c>
      <c r="D317" s="281" t="s">
        <v>128</v>
      </c>
      <c r="E317" s="281" t="s">
        <v>127</v>
      </c>
      <c r="F317" s="280">
        <v>4</v>
      </c>
      <c r="G317" s="282">
        <v>45849</v>
      </c>
      <c r="H317" s="321">
        <v>45889</v>
      </c>
      <c r="I317" s="264" t="s">
        <v>2151</v>
      </c>
      <c r="L317" s="252"/>
      <c r="AM317" s="243" t="s">
        <v>2225</v>
      </c>
    </row>
    <row r="318" spans="1:51">
      <c r="A318" s="261"/>
      <c r="B318" s="261"/>
      <c r="C318" s="262"/>
      <c r="D318" s="262" t="s">
        <v>1430</v>
      </c>
      <c r="E318" s="262" t="s">
        <v>1441</v>
      </c>
      <c r="F318" s="261">
        <v>1</v>
      </c>
      <c r="G318" s="263"/>
      <c r="H318" s="261"/>
      <c r="I318" s="264" t="s">
        <v>2151</v>
      </c>
      <c r="L318" s="252"/>
    </row>
    <row r="319" spans="1:51">
      <c r="A319" s="261"/>
      <c r="B319" s="261"/>
      <c r="C319" s="262"/>
      <c r="D319" s="262" t="s">
        <v>1431</v>
      </c>
      <c r="E319" s="262" t="s">
        <v>1442</v>
      </c>
      <c r="F319" s="261">
        <v>1</v>
      </c>
      <c r="G319" s="263"/>
      <c r="H319" s="261"/>
      <c r="I319" s="264" t="s">
        <v>2151</v>
      </c>
      <c r="L319" s="252"/>
    </row>
    <row r="320" spans="1:51">
      <c r="A320" s="261"/>
      <c r="B320" s="261"/>
      <c r="C320" s="262"/>
      <c r="D320" s="262" t="s">
        <v>1438</v>
      </c>
      <c r="E320" s="262" t="s">
        <v>1443</v>
      </c>
      <c r="F320" s="261">
        <v>1</v>
      </c>
      <c r="G320" s="263"/>
      <c r="H320" s="261"/>
      <c r="I320" s="264" t="s">
        <v>2151</v>
      </c>
      <c r="L320" s="252"/>
    </row>
    <row r="321" spans="1:12">
      <c r="A321" s="261"/>
      <c r="B321" s="261"/>
      <c r="C321" s="262"/>
      <c r="D321" s="262" t="s">
        <v>1432</v>
      </c>
      <c r="E321" s="262" t="s">
        <v>1444</v>
      </c>
      <c r="F321" s="261">
        <v>1</v>
      </c>
      <c r="G321" s="263"/>
      <c r="H321" s="261"/>
      <c r="I321" s="264" t="s">
        <v>2151</v>
      </c>
      <c r="L321" s="252"/>
    </row>
    <row r="322" spans="1:12">
      <c r="A322" s="239"/>
      <c r="B322" s="239"/>
      <c r="C322" s="264"/>
      <c r="D322" s="284" t="s">
        <v>1439</v>
      </c>
      <c r="E322" s="284" t="s">
        <v>1445</v>
      </c>
      <c r="F322" s="285">
        <v>1</v>
      </c>
      <c r="G322" s="286"/>
      <c r="H322" s="285"/>
      <c r="I322" s="264" t="s">
        <v>2151</v>
      </c>
      <c r="L322" s="252"/>
    </row>
    <row r="323" spans="1:12">
      <c r="A323" s="280">
        <v>71829</v>
      </c>
      <c r="B323" s="280" t="s">
        <v>129</v>
      </c>
      <c r="C323" s="281" t="s">
        <v>20</v>
      </c>
      <c r="D323" s="281" t="s">
        <v>23</v>
      </c>
      <c r="E323" s="281" t="s">
        <v>22</v>
      </c>
      <c r="F323" s="280">
        <v>9</v>
      </c>
      <c r="G323" s="282">
        <v>45861</v>
      </c>
      <c r="H323" s="321">
        <v>45894</v>
      </c>
      <c r="I323" s="264" t="s">
        <v>2151</v>
      </c>
      <c r="L323" s="252"/>
    </row>
    <row r="324" spans="1:12">
      <c r="A324" s="261"/>
      <c r="B324" s="261"/>
      <c r="C324" s="262"/>
      <c r="D324" s="262" t="s">
        <v>1137</v>
      </c>
      <c r="E324" s="262" t="s">
        <v>1138</v>
      </c>
      <c r="F324" s="261">
        <v>1</v>
      </c>
      <c r="G324" s="263"/>
      <c r="H324" s="261"/>
      <c r="I324" s="264" t="s">
        <v>2151</v>
      </c>
      <c r="L324" s="252"/>
    </row>
    <row r="325" spans="1:12">
      <c r="A325" s="239"/>
      <c r="B325" s="239"/>
      <c r="C325" s="264"/>
      <c r="D325" s="284" t="s">
        <v>1139</v>
      </c>
      <c r="E325" s="284" t="s">
        <v>1140</v>
      </c>
      <c r="F325" s="285">
        <v>1</v>
      </c>
      <c r="G325" s="286"/>
      <c r="H325" s="285"/>
      <c r="I325" s="264" t="s">
        <v>2151</v>
      </c>
      <c r="L325" s="252"/>
    </row>
    <row r="326" spans="1:12">
      <c r="A326" s="280">
        <v>71830</v>
      </c>
      <c r="B326" s="280" t="s">
        <v>129</v>
      </c>
      <c r="C326" s="281" t="s">
        <v>20</v>
      </c>
      <c r="D326" s="281" t="s">
        <v>64</v>
      </c>
      <c r="E326" s="281" t="s">
        <v>63</v>
      </c>
      <c r="F326" s="280">
        <v>16</v>
      </c>
      <c r="G326" s="282">
        <v>45861</v>
      </c>
      <c r="H326" s="321">
        <v>45894</v>
      </c>
      <c r="I326" s="264" t="s">
        <v>2151</v>
      </c>
      <c r="L326" s="252"/>
    </row>
    <row r="327" spans="1:12">
      <c r="A327" s="261"/>
      <c r="B327" s="261"/>
      <c r="C327" s="262"/>
      <c r="D327" s="262" t="s">
        <v>1152</v>
      </c>
      <c r="E327" s="262" t="s">
        <v>1153</v>
      </c>
      <c r="F327" s="261">
        <v>1</v>
      </c>
      <c r="G327" s="263"/>
      <c r="H327" s="261"/>
      <c r="I327" s="264" t="s">
        <v>2151</v>
      </c>
      <c r="L327" s="252"/>
    </row>
    <row r="328" spans="1:12">
      <c r="A328" s="261"/>
      <c r="B328" s="261"/>
      <c r="C328" s="262"/>
      <c r="D328" s="262" t="s">
        <v>1154</v>
      </c>
      <c r="E328" s="262" t="s">
        <v>1155</v>
      </c>
      <c r="F328" s="261">
        <v>1</v>
      </c>
      <c r="G328" s="263"/>
      <c r="H328" s="261"/>
      <c r="I328" s="264" t="s">
        <v>2151</v>
      </c>
      <c r="L328" s="252"/>
    </row>
    <row r="329" spans="1:12">
      <c r="A329" s="261"/>
      <c r="B329" s="261"/>
      <c r="C329" s="262"/>
      <c r="D329" s="262" t="s">
        <v>1156</v>
      </c>
      <c r="E329" s="262" t="s">
        <v>1157</v>
      </c>
      <c r="F329" s="261">
        <v>1</v>
      </c>
      <c r="G329" s="263"/>
      <c r="H329" s="261"/>
      <c r="I329" s="264" t="s">
        <v>2151</v>
      </c>
      <c r="L329" s="252"/>
    </row>
    <row r="330" spans="1:12">
      <c r="A330" s="261"/>
      <c r="B330" s="261"/>
      <c r="C330" s="262"/>
      <c r="D330" s="262" t="s">
        <v>1158</v>
      </c>
      <c r="E330" s="262" t="s">
        <v>1159</v>
      </c>
      <c r="F330" s="261">
        <v>1</v>
      </c>
      <c r="G330" s="263"/>
      <c r="H330" s="261"/>
      <c r="I330" s="264" t="s">
        <v>2151</v>
      </c>
      <c r="L330" s="252"/>
    </row>
    <row r="331" spans="1:12">
      <c r="A331" s="261"/>
      <c r="B331" s="261"/>
      <c r="C331" s="262"/>
      <c r="D331" s="262" t="s">
        <v>1160</v>
      </c>
      <c r="E331" s="262" t="s">
        <v>1162</v>
      </c>
      <c r="F331" s="261">
        <v>1</v>
      </c>
      <c r="G331" s="263"/>
      <c r="H331" s="261"/>
      <c r="I331" s="264" t="s">
        <v>2151</v>
      </c>
      <c r="L331" s="252"/>
    </row>
    <row r="332" spans="1:12">
      <c r="A332" s="261"/>
      <c r="B332" s="261"/>
      <c r="C332" s="262"/>
      <c r="D332" s="262" t="s">
        <v>1161</v>
      </c>
      <c r="E332" s="262" t="s">
        <v>1163</v>
      </c>
      <c r="F332" s="261">
        <v>1</v>
      </c>
      <c r="G332" s="263"/>
      <c r="H332" s="261"/>
      <c r="I332" s="264" t="s">
        <v>2151</v>
      </c>
      <c r="L332" s="252"/>
    </row>
    <row r="333" spans="1:12">
      <c r="A333" s="280">
        <v>71831</v>
      </c>
      <c r="B333" s="280" t="s">
        <v>129</v>
      </c>
      <c r="C333" s="281" t="s">
        <v>20</v>
      </c>
      <c r="D333" s="281" t="s">
        <v>24</v>
      </c>
      <c r="E333" s="281" t="s">
        <v>25</v>
      </c>
      <c r="F333" s="280">
        <v>8</v>
      </c>
      <c r="G333" s="282">
        <v>45861</v>
      </c>
      <c r="H333" s="321">
        <v>45894</v>
      </c>
      <c r="I333" s="264" t="s">
        <v>2151</v>
      </c>
      <c r="L333" s="252"/>
    </row>
    <row r="334" spans="1:12">
      <c r="A334" s="261"/>
      <c r="B334" s="261"/>
      <c r="C334" s="262"/>
      <c r="D334" s="288" t="s">
        <v>1164</v>
      </c>
      <c r="E334" s="262" t="s">
        <v>1165</v>
      </c>
      <c r="F334" s="261">
        <v>1</v>
      </c>
      <c r="G334" s="263"/>
      <c r="H334" s="261"/>
      <c r="I334" s="264" t="s">
        <v>2151</v>
      </c>
      <c r="L334" s="252"/>
    </row>
    <row r="335" spans="1:12">
      <c r="A335" s="261"/>
      <c r="B335" s="261"/>
      <c r="C335" s="262"/>
      <c r="D335" s="288" t="s">
        <v>1166</v>
      </c>
      <c r="E335" s="262" t="s">
        <v>1167</v>
      </c>
      <c r="F335" s="261">
        <v>1</v>
      </c>
      <c r="G335" s="263"/>
      <c r="H335" s="261"/>
      <c r="I335" s="264" t="s">
        <v>2151</v>
      </c>
      <c r="L335" s="252"/>
    </row>
    <row r="336" spans="1:12">
      <c r="A336" s="261"/>
      <c r="B336" s="261"/>
      <c r="C336" s="262"/>
      <c r="D336" s="288" t="s">
        <v>1151</v>
      </c>
      <c r="E336" s="324"/>
      <c r="F336" s="261">
        <v>1</v>
      </c>
      <c r="G336" s="263"/>
      <c r="H336" s="261"/>
      <c r="I336" s="264" t="s">
        <v>2151</v>
      </c>
      <c r="L336" s="252"/>
    </row>
    <row r="337" spans="1:12">
      <c r="A337" s="261">
        <v>71832</v>
      </c>
      <c r="B337" s="261" t="s">
        <v>129</v>
      </c>
      <c r="C337" s="262" t="s">
        <v>20</v>
      </c>
      <c r="D337" s="262" t="s">
        <v>131</v>
      </c>
      <c r="E337" s="262" t="s">
        <v>65</v>
      </c>
      <c r="F337" s="261">
        <v>7</v>
      </c>
      <c r="G337" s="263">
        <v>45861</v>
      </c>
      <c r="H337" s="322">
        <v>45894</v>
      </c>
      <c r="I337" s="264" t="s">
        <v>2151</v>
      </c>
      <c r="L337" s="252"/>
    </row>
    <row r="338" spans="1:12">
      <c r="A338" s="261">
        <v>71833</v>
      </c>
      <c r="B338" s="261" t="s">
        <v>129</v>
      </c>
      <c r="C338" s="262" t="s">
        <v>20</v>
      </c>
      <c r="D338" s="262" t="s">
        <v>26</v>
      </c>
      <c r="E338" s="262" t="s">
        <v>27</v>
      </c>
      <c r="F338" s="261">
        <v>28</v>
      </c>
      <c r="G338" s="263">
        <v>45861</v>
      </c>
      <c r="H338" s="322">
        <v>45894</v>
      </c>
      <c r="I338" s="264" t="s">
        <v>2151</v>
      </c>
      <c r="L338" s="252"/>
    </row>
    <row r="339" spans="1:12">
      <c r="A339" s="280">
        <v>71834</v>
      </c>
      <c r="B339" s="280" t="s">
        <v>129</v>
      </c>
      <c r="C339" s="281" t="s">
        <v>20</v>
      </c>
      <c r="D339" s="281" t="s">
        <v>28</v>
      </c>
      <c r="E339" s="281" t="s">
        <v>29</v>
      </c>
      <c r="F339" s="280">
        <v>11</v>
      </c>
      <c r="G339" s="282">
        <v>45861</v>
      </c>
      <c r="H339" s="321">
        <v>45894</v>
      </c>
      <c r="I339" s="264" t="s">
        <v>2151</v>
      </c>
      <c r="L339" s="252"/>
    </row>
    <row r="340" spans="1:12">
      <c r="A340" s="261"/>
      <c r="B340" s="261"/>
      <c r="C340" s="262"/>
      <c r="D340" s="288" t="s">
        <v>1216</v>
      </c>
      <c r="E340" s="262" t="s">
        <v>1230</v>
      </c>
      <c r="F340" s="261">
        <v>1</v>
      </c>
      <c r="G340" s="263"/>
      <c r="H340" s="261"/>
      <c r="I340" s="264" t="s">
        <v>2151</v>
      </c>
      <c r="L340" s="252"/>
    </row>
    <row r="341" spans="1:12">
      <c r="A341" s="261"/>
      <c r="B341" s="261"/>
      <c r="C341" s="262"/>
      <c r="D341" s="288" t="s">
        <v>1209</v>
      </c>
      <c r="E341" s="262" t="s">
        <v>1212</v>
      </c>
      <c r="F341" s="261">
        <v>1</v>
      </c>
      <c r="G341" s="263"/>
      <c r="H341" s="261"/>
      <c r="I341" s="264" t="s">
        <v>2151</v>
      </c>
      <c r="L341" s="252"/>
    </row>
    <row r="342" spans="1:12">
      <c r="A342" s="239"/>
      <c r="B342" s="239"/>
      <c r="C342" s="264"/>
      <c r="D342" s="289" t="s">
        <v>1210</v>
      </c>
      <c r="E342" s="290" t="s">
        <v>33</v>
      </c>
      <c r="F342" s="291">
        <v>1</v>
      </c>
      <c r="G342" s="292"/>
      <c r="H342" s="291"/>
      <c r="I342" s="264" t="s">
        <v>2151</v>
      </c>
      <c r="L342" s="252"/>
    </row>
    <row r="343" spans="1:12">
      <c r="A343" s="280">
        <v>71835</v>
      </c>
      <c r="B343" s="280" t="s">
        <v>129</v>
      </c>
      <c r="C343" s="281" t="s">
        <v>20</v>
      </c>
      <c r="D343" s="281" t="s">
        <v>132</v>
      </c>
      <c r="E343" s="281" t="s">
        <v>31</v>
      </c>
      <c r="F343" s="280">
        <v>11</v>
      </c>
      <c r="G343" s="282">
        <v>45861</v>
      </c>
      <c r="H343" s="321">
        <v>45894</v>
      </c>
      <c r="I343" s="283" t="s">
        <v>2151</v>
      </c>
      <c r="L343" s="252"/>
    </row>
    <row r="344" spans="1:12">
      <c r="A344" s="261"/>
      <c r="B344" s="261"/>
      <c r="C344" s="262"/>
      <c r="D344" s="288" t="s">
        <v>1216</v>
      </c>
      <c r="E344" s="262" t="s">
        <v>1217</v>
      </c>
      <c r="F344" s="261">
        <v>1</v>
      </c>
      <c r="G344" s="263"/>
      <c r="H344" s="261"/>
      <c r="I344" s="283" t="s">
        <v>2151</v>
      </c>
      <c r="L344" s="252"/>
    </row>
    <row r="345" spans="1:12">
      <c r="A345" s="280">
        <v>71836</v>
      </c>
      <c r="B345" s="280" t="s">
        <v>129</v>
      </c>
      <c r="C345" s="281" t="s">
        <v>20</v>
      </c>
      <c r="D345" s="281" t="s">
        <v>32</v>
      </c>
      <c r="E345" s="281" t="s">
        <v>33</v>
      </c>
      <c r="F345" s="280">
        <v>14</v>
      </c>
      <c r="G345" s="282">
        <v>45861</v>
      </c>
      <c r="H345" s="321">
        <v>45894</v>
      </c>
      <c r="I345" s="283" t="s">
        <v>2151</v>
      </c>
      <c r="L345" s="252"/>
    </row>
    <row r="346" spans="1:12">
      <c r="A346" s="280">
        <v>71837</v>
      </c>
      <c r="B346" s="280" t="s">
        <v>129</v>
      </c>
      <c r="C346" s="281" t="s">
        <v>20</v>
      </c>
      <c r="D346" s="281" t="s">
        <v>34</v>
      </c>
      <c r="E346" s="281" t="s">
        <v>830</v>
      </c>
      <c r="F346" s="280">
        <v>8</v>
      </c>
      <c r="G346" s="282">
        <v>45861</v>
      </c>
      <c r="H346" s="321">
        <v>45894</v>
      </c>
      <c r="I346" s="283" t="s">
        <v>2151</v>
      </c>
      <c r="L346" s="252"/>
    </row>
    <row r="347" spans="1:12">
      <c r="A347" s="261"/>
      <c r="B347" s="261"/>
      <c r="C347" s="262"/>
      <c r="D347" s="262" t="s">
        <v>1177</v>
      </c>
      <c r="E347" s="262" t="s">
        <v>1179</v>
      </c>
      <c r="F347" s="261">
        <v>1</v>
      </c>
      <c r="G347" s="263"/>
      <c r="H347" s="261"/>
      <c r="I347" s="283" t="s">
        <v>2151</v>
      </c>
      <c r="L347" s="252"/>
    </row>
    <row r="348" spans="1:12" ht="42">
      <c r="A348" s="261"/>
      <c r="B348" s="261"/>
      <c r="C348" s="262"/>
      <c r="D348" s="262" t="s">
        <v>1178</v>
      </c>
      <c r="E348" s="288" t="s">
        <v>1180</v>
      </c>
      <c r="F348" s="261">
        <v>2</v>
      </c>
      <c r="G348" s="263"/>
      <c r="H348" s="261"/>
      <c r="I348" s="283" t="s">
        <v>2151</v>
      </c>
      <c r="L348" s="252"/>
    </row>
    <row r="349" spans="1:12">
      <c r="A349" s="261">
        <v>71838</v>
      </c>
      <c r="B349" s="261" t="s">
        <v>129</v>
      </c>
      <c r="C349" s="262" t="s">
        <v>20</v>
      </c>
      <c r="D349" s="262" t="s">
        <v>68</v>
      </c>
      <c r="E349" s="262" t="s">
        <v>67</v>
      </c>
      <c r="F349" s="261">
        <v>8</v>
      </c>
      <c r="G349" s="263">
        <v>45861</v>
      </c>
      <c r="H349" s="322">
        <v>45894</v>
      </c>
      <c r="I349" s="264" t="s">
        <v>2151</v>
      </c>
      <c r="L349" s="252"/>
    </row>
    <row r="350" spans="1:12">
      <c r="A350" s="261"/>
      <c r="B350" s="261"/>
      <c r="C350" s="262"/>
      <c r="D350" s="262" t="s">
        <v>2323</v>
      </c>
      <c r="E350" s="262" t="s">
        <v>2324</v>
      </c>
      <c r="F350" s="261">
        <v>16</v>
      </c>
      <c r="G350" s="263"/>
      <c r="H350" s="261"/>
      <c r="I350" s="264" t="s">
        <v>2151</v>
      </c>
      <c r="L350" s="252"/>
    </row>
    <row r="351" spans="1:12">
      <c r="A351" s="280">
        <v>71839</v>
      </c>
      <c r="B351" s="280" t="s">
        <v>129</v>
      </c>
      <c r="C351" s="281" t="s">
        <v>20</v>
      </c>
      <c r="D351" s="281" t="s">
        <v>584</v>
      </c>
      <c r="E351" s="281" t="s">
        <v>69</v>
      </c>
      <c r="F351" s="280">
        <v>8</v>
      </c>
      <c r="G351" s="282">
        <v>45861</v>
      </c>
      <c r="H351" s="321">
        <v>45894</v>
      </c>
      <c r="I351" s="264" t="s">
        <v>2151</v>
      </c>
      <c r="L351" s="252"/>
    </row>
    <row r="352" spans="1:12">
      <c r="A352" s="261"/>
      <c r="B352" s="261"/>
      <c r="C352" s="262"/>
      <c r="D352" s="262" t="s">
        <v>1202</v>
      </c>
      <c r="E352" s="262" t="s">
        <v>1205</v>
      </c>
      <c r="F352" s="261">
        <v>1</v>
      </c>
      <c r="G352" s="263"/>
      <c r="H352" s="261"/>
      <c r="I352" s="264" t="s">
        <v>2151</v>
      </c>
      <c r="L352" s="252"/>
    </row>
    <row r="353" spans="1:12">
      <c r="A353" s="261"/>
      <c r="B353" s="261"/>
      <c r="C353" s="262"/>
      <c r="D353" s="262" t="s">
        <v>1141</v>
      </c>
      <c r="E353" s="262" t="s">
        <v>27</v>
      </c>
      <c r="F353" s="261">
        <v>1</v>
      </c>
      <c r="G353" s="263"/>
      <c r="H353" s="261"/>
      <c r="I353" s="264" t="s">
        <v>2151</v>
      </c>
      <c r="L353" s="252"/>
    </row>
    <row r="354" spans="1:12">
      <c r="A354" s="261"/>
      <c r="B354" s="261"/>
      <c r="C354" s="262"/>
      <c r="D354" s="262" t="s">
        <v>1203</v>
      </c>
      <c r="E354" s="262" t="s">
        <v>1206</v>
      </c>
      <c r="F354" s="261">
        <v>1</v>
      </c>
      <c r="G354" s="263"/>
      <c r="H354" s="261"/>
      <c r="I354" s="264" t="s">
        <v>2151</v>
      </c>
      <c r="L354" s="252"/>
    </row>
    <row r="355" spans="1:12" ht="42">
      <c r="A355" s="261"/>
      <c r="B355" s="261"/>
      <c r="C355" s="262"/>
      <c r="D355" s="288" t="s">
        <v>1204</v>
      </c>
      <c r="E355" s="262" t="s">
        <v>1207</v>
      </c>
      <c r="F355" s="261">
        <v>1</v>
      </c>
      <c r="G355" s="263"/>
      <c r="H355" s="261"/>
      <c r="I355" s="264" t="s">
        <v>2151</v>
      </c>
      <c r="L355" s="252"/>
    </row>
    <row r="356" spans="1:12">
      <c r="A356" s="261"/>
      <c r="B356" s="261"/>
      <c r="C356" s="262"/>
      <c r="D356" s="288" t="s">
        <v>2322</v>
      </c>
      <c r="E356" s="262" t="s">
        <v>2238</v>
      </c>
      <c r="F356" s="261"/>
      <c r="G356" s="263"/>
      <c r="H356" s="322"/>
      <c r="I356" s="264" t="s">
        <v>2151</v>
      </c>
      <c r="L356" s="252"/>
    </row>
    <row r="357" spans="1:12">
      <c r="A357" s="280">
        <v>71840</v>
      </c>
      <c r="B357" s="280" t="s">
        <v>129</v>
      </c>
      <c r="C357" s="281" t="s">
        <v>20</v>
      </c>
      <c r="D357" s="281" t="s">
        <v>71</v>
      </c>
      <c r="E357" s="281" t="s">
        <v>70</v>
      </c>
      <c r="F357" s="280">
        <v>8</v>
      </c>
      <c r="G357" s="282">
        <v>45861</v>
      </c>
      <c r="H357" s="321">
        <v>45894</v>
      </c>
      <c r="I357" s="264" t="s">
        <v>2151</v>
      </c>
      <c r="L357" s="252"/>
    </row>
    <row r="358" spans="1:12">
      <c r="A358" s="280">
        <v>71841</v>
      </c>
      <c r="B358" s="280" t="s">
        <v>129</v>
      </c>
      <c r="C358" s="281" t="s">
        <v>20</v>
      </c>
      <c r="D358" s="281" t="s">
        <v>73</v>
      </c>
      <c r="E358" s="281" t="s">
        <v>72</v>
      </c>
      <c r="F358" s="280">
        <v>8</v>
      </c>
      <c r="G358" s="282">
        <v>45861</v>
      </c>
      <c r="H358" s="321">
        <v>45894</v>
      </c>
      <c r="I358" s="264" t="s">
        <v>2151</v>
      </c>
      <c r="L358" s="252"/>
    </row>
    <row r="359" spans="1:12">
      <c r="A359" s="280">
        <v>71842</v>
      </c>
      <c r="B359" s="280" t="s">
        <v>129</v>
      </c>
      <c r="C359" s="281" t="s">
        <v>20</v>
      </c>
      <c r="D359" s="281" t="s">
        <v>75</v>
      </c>
      <c r="E359" s="281" t="s">
        <v>74</v>
      </c>
      <c r="F359" s="280">
        <v>6</v>
      </c>
      <c r="G359" s="282">
        <v>45861</v>
      </c>
      <c r="H359" s="321">
        <v>45894</v>
      </c>
      <c r="I359" s="283" t="s">
        <v>2151</v>
      </c>
      <c r="L359" s="252"/>
    </row>
    <row r="360" spans="1:12">
      <c r="A360" s="261"/>
      <c r="B360" s="261"/>
      <c r="C360" s="262"/>
      <c r="D360" s="262" t="s">
        <v>1181</v>
      </c>
      <c r="E360" s="262" t="s">
        <v>1190</v>
      </c>
      <c r="F360" s="261">
        <v>1</v>
      </c>
      <c r="G360" s="263"/>
      <c r="H360" s="261"/>
      <c r="I360" s="283" t="s">
        <v>2151</v>
      </c>
      <c r="L360" s="252"/>
    </row>
    <row r="361" spans="1:12">
      <c r="A361" s="261"/>
      <c r="B361" s="261"/>
      <c r="C361" s="262"/>
      <c r="D361" s="262" t="s">
        <v>1182</v>
      </c>
      <c r="E361" s="262" t="s">
        <v>1191</v>
      </c>
      <c r="F361" s="261">
        <v>1</v>
      </c>
      <c r="G361" s="263"/>
      <c r="H361" s="261"/>
      <c r="I361" s="283" t="s">
        <v>2151</v>
      </c>
      <c r="L361" s="252"/>
    </row>
    <row r="362" spans="1:12">
      <c r="A362" s="261"/>
      <c r="B362" s="261"/>
      <c r="C362" s="262"/>
      <c r="D362" s="262" t="s">
        <v>1183</v>
      </c>
      <c r="E362" s="262" t="s">
        <v>1192</v>
      </c>
      <c r="F362" s="261">
        <v>1</v>
      </c>
      <c r="G362" s="263"/>
      <c r="H362" s="261"/>
      <c r="I362" s="283" t="s">
        <v>2151</v>
      </c>
      <c r="L362" s="252"/>
    </row>
    <row r="363" spans="1:12">
      <c r="A363" s="261"/>
      <c r="B363" s="261"/>
      <c r="C363" s="262"/>
      <c r="D363" s="262" t="s">
        <v>1184</v>
      </c>
      <c r="E363" s="262" t="s">
        <v>1193</v>
      </c>
      <c r="F363" s="261">
        <v>1</v>
      </c>
      <c r="G363" s="263"/>
      <c r="H363" s="261"/>
      <c r="I363" s="283" t="s">
        <v>2151</v>
      </c>
      <c r="L363" s="252"/>
    </row>
    <row r="364" spans="1:12">
      <c r="A364" s="261"/>
      <c r="B364" s="261"/>
      <c r="C364" s="262"/>
      <c r="D364" s="262" t="s">
        <v>1185</v>
      </c>
      <c r="E364" s="262" t="s">
        <v>1194</v>
      </c>
      <c r="F364" s="261">
        <v>1</v>
      </c>
      <c r="G364" s="263"/>
      <c r="H364" s="261"/>
      <c r="I364" s="283" t="s">
        <v>2151</v>
      </c>
      <c r="L364" s="252"/>
    </row>
    <row r="365" spans="1:12">
      <c r="A365" s="261"/>
      <c r="B365" s="261"/>
      <c r="C365" s="262"/>
      <c r="D365" s="262" t="s">
        <v>1186</v>
      </c>
      <c r="E365" s="262" t="s">
        <v>1195</v>
      </c>
      <c r="F365" s="261">
        <v>1</v>
      </c>
      <c r="G365" s="263"/>
      <c r="H365" s="261"/>
      <c r="I365" s="283" t="s">
        <v>2151</v>
      </c>
      <c r="L365" s="252"/>
    </row>
    <row r="366" spans="1:12">
      <c r="A366" s="261"/>
      <c r="B366" s="261"/>
      <c r="C366" s="262"/>
      <c r="D366" s="262" t="s">
        <v>1187</v>
      </c>
      <c r="E366" s="262" t="s">
        <v>1198</v>
      </c>
      <c r="F366" s="261">
        <v>1</v>
      </c>
      <c r="G366" s="263"/>
      <c r="H366" s="261"/>
      <c r="I366" s="283" t="s">
        <v>2151</v>
      </c>
      <c r="L366" s="252"/>
    </row>
    <row r="367" spans="1:12">
      <c r="A367" s="261"/>
      <c r="B367" s="261"/>
      <c r="C367" s="262"/>
      <c r="D367" s="262" t="s">
        <v>1188</v>
      </c>
      <c r="E367" s="262" t="s">
        <v>1196</v>
      </c>
      <c r="F367" s="261">
        <v>1</v>
      </c>
      <c r="G367" s="263"/>
      <c r="H367" s="261"/>
      <c r="I367" s="283" t="s">
        <v>2151</v>
      </c>
      <c r="L367" s="252"/>
    </row>
    <row r="368" spans="1:12">
      <c r="A368" s="261"/>
      <c r="B368" s="261"/>
      <c r="C368" s="262"/>
      <c r="D368" s="262" t="s">
        <v>1189</v>
      </c>
      <c r="E368" s="262" t="s">
        <v>1197</v>
      </c>
      <c r="F368" s="261">
        <v>1</v>
      </c>
      <c r="G368" s="263"/>
      <c r="H368" s="261"/>
      <c r="I368" s="283" t="s">
        <v>2151</v>
      </c>
      <c r="L368" s="252"/>
    </row>
    <row r="369" spans="1:62">
      <c r="A369" s="261"/>
      <c r="B369" s="261"/>
      <c r="C369" s="262"/>
      <c r="D369" s="262" t="s">
        <v>1145</v>
      </c>
      <c r="E369" s="262" t="s">
        <v>1146</v>
      </c>
      <c r="F369" s="261">
        <v>1</v>
      </c>
      <c r="G369" s="263"/>
      <c r="H369" s="261"/>
      <c r="I369" s="283" t="s">
        <v>2151</v>
      </c>
      <c r="L369" s="252"/>
    </row>
    <row r="370" spans="1:62">
      <c r="A370" s="280">
        <v>71843</v>
      </c>
      <c r="B370" s="280" t="s">
        <v>129</v>
      </c>
      <c r="C370" s="281" t="s">
        <v>20</v>
      </c>
      <c r="D370" s="281" t="s">
        <v>77</v>
      </c>
      <c r="E370" s="281" t="s">
        <v>76</v>
      </c>
      <c r="F370" s="280">
        <v>8</v>
      </c>
      <c r="G370" s="282">
        <v>45861</v>
      </c>
      <c r="H370" s="321">
        <v>45894</v>
      </c>
      <c r="I370" s="264" t="s">
        <v>2151</v>
      </c>
      <c r="L370" s="252"/>
    </row>
    <row r="371" spans="1:62">
      <c r="A371" s="280">
        <v>71844</v>
      </c>
      <c r="B371" s="280" t="s">
        <v>129</v>
      </c>
      <c r="C371" s="281" t="s">
        <v>20</v>
      </c>
      <c r="D371" s="281" t="s">
        <v>79</v>
      </c>
      <c r="E371" s="281" t="s">
        <v>78</v>
      </c>
      <c r="F371" s="280">
        <v>8</v>
      </c>
      <c r="G371" s="282">
        <v>45861</v>
      </c>
      <c r="H371" s="321">
        <v>45894</v>
      </c>
      <c r="I371" s="264" t="s">
        <v>2151</v>
      </c>
      <c r="L371" s="252"/>
    </row>
    <row r="372" spans="1:62">
      <c r="A372" s="261"/>
      <c r="B372" s="261"/>
      <c r="C372" s="262"/>
      <c r="D372" s="288" t="s">
        <v>1143</v>
      </c>
      <c r="E372" s="262" t="s">
        <v>1144</v>
      </c>
      <c r="F372" s="261">
        <v>1</v>
      </c>
      <c r="G372" s="263"/>
      <c r="H372" s="261"/>
      <c r="I372" s="264" t="s">
        <v>2151</v>
      </c>
      <c r="L372" s="252"/>
    </row>
    <row r="373" spans="1:62">
      <c r="A373" s="261"/>
      <c r="B373" s="261"/>
      <c r="C373" s="262"/>
      <c r="D373" s="288" t="s">
        <v>1141</v>
      </c>
      <c r="E373" s="262" t="s">
        <v>1200</v>
      </c>
      <c r="F373" s="261">
        <v>1</v>
      </c>
      <c r="G373" s="263"/>
      <c r="H373" s="261"/>
      <c r="I373" s="264" t="s">
        <v>2151</v>
      </c>
      <c r="L373" s="252"/>
    </row>
    <row r="374" spans="1:62">
      <c r="A374" s="261"/>
      <c r="B374" s="261"/>
      <c r="C374" s="262"/>
      <c r="D374" s="288" t="s">
        <v>1199</v>
      </c>
      <c r="E374" s="262" t="s">
        <v>1201</v>
      </c>
      <c r="F374" s="261">
        <v>1</v>
      </c>
      <c r="G374" s="263"/>
      <c r="H374" s="261"/>
      <c r="I374" s="264" t="s">
        <v>2151</v>
      </c>
      <c r="L374" s="252"/>
    </row>
    <row r="375" spans="1:62" ht="42">
      <c r="A375" s="280">
        <v>71845</v>
      </c>
      <c r="B375" s="280" t="s">
        <v>130</v>
      </c>
      <c r="C375" s="281" t="s">
        <v>20</v>
      </c>
      <c r="D375" s="281" t="s">
        <v>87</v>
      </c>
      <c r="E375" s="281" t="s">
        <v>86</v>
      </c>
      <c r="F375" s="280">
        <v>3</v>
      </c>
      <c r="G375" s="282">
        <v>45861</v>
      </c>
      <c r="H375" s="325">
        <v>45894</v>
      </c>
      <c r="I375" s="283" t="s">
        <v>2741</v>
      </c>
      <c r="L375" s="252"/>
      <c r="AN375" s="243" t="s">
        <v>2203</v>
      </c>
      <c r="AO375" s="243" t="s">
        <v>2339</v>
      </c>
      <c r="AP375" s="243" t="s">
        <v>2339</v>
      </c>
      <c r="AQ375" s="243" t="s">
        <v>2427</v>
      </c>
      <c r="AR375" s="243" t="s">
        <v>2427</v>
      </c>
      <c r="AS375" s="243" t="s">
        <v>2426</v>
      </c>
      <c r="AT375" s="243" t="s">
        <v>2426</v>
      </c>
      <c r="BH375" s="243" t="s">
        <v>2339</v>
      </c>
      <c r="BI375" s="243" t="s">
        <v>2427</v>
      </c>
      <c r="BJ375" s="243" t="s">
        <v>2427</v>
      </c>
    </row>
    <row r="376" spans="1:62">
      <c r="A376" s="261"/>
      <c r="B376" s="261"/>
      <c r="C376" s="262"/>
      <c r="D376" s="262" t="s">
        <v>1287</v>
      </c>
      <c r="E376" s="262" t="s">
        <v>1621</v>
      </c>
      <c r="F376" s="261">
        <v>1</v>
      </c>
      <c r="G376" s="263"/>
      <c r="H376" s="261"/>
      <c r="I376" s="264" t="s">
        <v>2151</v>
      </c>
      <c r="L376" s="252"/>
    </row>
    <row r="377" spans="1:62">
      <c r="A377" s="261"/>
      <c r="B377" s="261"/>
      <c r="C377" s="262"/>
      <c r="D377" s="262" t="s">
        <v>1288</v>
      </c>
      <c r="E377" s="262" t="s">
        <v>1622</v>
      </c>
      <c r="F377" s="261">
        <v>1</v>
      </c>
      <c r="G377" s="263"/>
      <c r="H377" s="261"/>
      <c r="I377" s="264" t="s">
        <v>2151</v>
      </c>
      <c r="L377" s="252"/>
    </row>
    <row r="378" spans="1:62">
      <c r="A378" s="261"/>
      <c r="B378" s="261"/>
      <c r="C378" s="262"/>
      <c r="D378" s="262" t="s">
        <v>1289</v>
      </c>
      <c r="E378" s="262" t="s">
        <v>1624</v>
      </c>
      <c r="F378" s="261">
        <v>1</v>
      </c>
      <c r="G378" s="263"/>
      <c r="H378" s="261"/>
      <c r="I378" s="264" t="s">
        <v>2151</v>
      </c>
      <c r="L378" s="252"/>
    </row>
    <row r="379" spans="1:62">
      <c r="A379" s="261"/>
      <c r="B379" s="261"/>
      <c r="C379" s="262"/>
      <c r="D379" s="262" t="s">
        <v>1290</v>
      </c>
      <c r="E379" s="262" t="s">
        <v>1623</v>
      </c>
      <c r="F379" s="261">
        <v>1</v>
      </c>
      <c r="G379" s="263"/>
      <c r="H379" s="261"/>
      <c r="I379" s="264" t="s">
        <v>2151</v>
      </c>
      <c r="L379" s="252"/>
    </row>
    <row r="380" spans="1:62">
      <c r="A380" s="261"/>
      <c r="B380" s="261"/>
      <c r="C380" s="262"/>
      <c r="D380" s="262" t="s">
        <v>1291</v>
      </c>
      <c r="E380" s="262" t="s">
        <v>1625</v>
      </c>
      <c r="F380" s="261">
        <v>2</v>
      </c>
      <c r="G380" s="263"/>
      <c r="H380" s="261"/>
      <c r="I380" s="264" t="s">
        <v>2151</v>
      </c>
      <c r="L380" s="252"/>
    </row>
    <row r="381" spans="1:62">
      <c r="A381" s="261"/>
      <c r="B381" s="261"/>
      <c r="C381" s="262"/>
      <c r="D381" s="262" t="s">
        <v>1292</v>
      </c>
      <c r="E381" s="262" t="s">
        <v>1620</v>
      </c>
      <c r="F381" s="261">
        <v>1</v>
      </c>
      <c r="G381" s="263"/>
      <c r="H381" s="261"/>
      <c r="I381" s="264" t="s">
        <v>2151</v>
      </c>
      <c r="L381" s="252"/>
    </row>
    <row r="382" spans="1:62">
      <c r="A382" s="261"/>
      <c r="B382" s="261"/>
      <c r="C382" s="262"/>
      <c r="D382" s="262" t="s">
        <v>1294</v>
      </c>
      <c r="E382" s="262" t="s">
        <v>1296</v>
      </c>
      <c r="F382" s="261">
        <v>2</v>
      </c>
      <c r="G382" s="263"/>
      <c r="H382" s="261"/>
      <c r="I382" s="264" t="s">
        <v>2151</v>
      </c>
      <c r="L382" s="252"/>
    </row>
    <row r="383" spans="1:62">
      <c r="A383" s="261"/>
      <c r="B383" s="261"/>
      <c r="C383" s="262"/>
      <c r="D383" s="262" t="s">
        <v>1295</v>
      </c>
      <c r="E383" s="262" t="s">
        <v>1297</v>
      </c>
      <c r="F383" s="261">
        <v>1</v>
      </c>
      <c r="G383" s="263"/>
      <c r="H383" s="261"/>
      <c r="I383" s="264" t="s">
        <v>2151</v>
      </c>
      <c r="L383" s="252"/>
    </row>
    <row r="384" spans="1:62">
      <c r="A384" s="239"/>
      <c r="B384" s="239"/>
      <c r="C384" s="264"/>
      <c r="D384" s="284" t="s">
        <v>1639</v>
      </c>
      <c r="E384" s="284" t="s">
        <v>1626</v>
      </c>
      <c r="F384" s="285">
        <v>2</v>
      </c>
      <c r="G384" s="286"/>
      <c r="H384" s="285"/>
      <c r="I384" s="264" t="s">
        <v>2151</v>
      </c>
      <c r="L384" s="252"/>
    </row>
    <row r="385" spans="1:12">
      <c r="A385" s="261"/>
      <c r="B385" s="261"/>
      <c r="C385" s="262"/>
      <c r="D385" s="262" t="s">
        <v>1298</v>
      </c>
      <c r="E385" s="262" t="s">
        <v>1630</v>
      </c>
      <c r="F385" s="261">
        <v>1</v>
      </c>
      <c r="G385" s="263"/>
      <c r="H385" s="261"/>
      <c r="I385" s="264" t="s">
        <v>2151</v>
      </c>
      <c r="L385" s="252"/>
    </row>
    <row r="386" spans="1:12">
      <c r="A386" s="261"/>
      <c r="B386" s="261"/>
      <c r="C386" s="262"/>
      <c r="D386" s="262" t="s">
        <v>1299</v>
      </c>
      <c r="E386" s="262" t="s">
        <v>1631</v>
      </c>
      <c r="F386" s="261">
        <v>1</v>
      </c>
      <c r="G386" s="263"/>
      <c r="H386" s="261"/>
      <c r="I386" s="264" t="s">
        <v>2151</v>
      </c>
      <c r="L386" s="252"/>
    </row>
    <row r="387" spans="1:12">
      <c r="A387" s="239"/>
      <c r="B387" s="239"/>
      <c r="C387" s="264"/>
      <c r="D387" s="295" t="s">
        <v>1300</v>
      </c>
      <c r="E387" s="295" t="s">
        <v>1632</v>
      </c>
      <c r="F387" s="296">
        <v>1</v>
      </c>
      <c r="G387" s="297"/>
      <c r="H387" s="296"/>
      <c r="I387" s="264" t="s">
        <v>2151</v>
      </c>
      <c r="L387" s="252"/>
    </row>
    <row r="388" spans="1:12">
      <c r="A388" s="239"/>
      <c r="B388" s="239"/>
      <c r="C388" s="264"/>
      <c r="D388" s="295" t="s">
        <v>1298</v>
      </c>
      <c r="E388" s="295" t="s">
        <v>1630</v>
      </c>
      <c r="F388" s="296">
        <v>1</v>
      </c>
      <c r="G388" s="297"/>
      <c r="H388" s="296"/>
      <c r="I388" s="264" t="s">
        <v>2151</v>
      </c>
      <c r="L388" s="252"/>
    </row>
    <row r="389" spans="1:12">
      <c r="A389" s="239"/>
      <c r="B389" s="239"/>
      <c r="C389" s="264"/>
      <c r="D389" s="295" t="s">
        <v>1299</v>
      </c>
      <c r="E389" s="295" t="s">
        <v>1631</v>
      </c>
      <c r="F389" s="296">
        <v>1</v>
      </c>
      <c r="G389" s="297"/>
      <c r="H389" s="296"/>
      <c r="I389" s="264" t="s">
        <v>2151</v>
      </c>
      <c r="L389" s="252"/>
    </row>
    <row r="390" spans="1:12">
      <c r="A390" s="239"/>
      <c r="B390" s="239"/>
      <c r="C390" s="264"/>
      <c r="D390" s="284" t="s">
        <v>1293</v>
      </c>
      <c r="E390" s="284" t="s">
        <v>1633</v>
      </c>
      <c r="F390" s="285">
        <v>2</v>
      </c>
      <c r="G390" s="286"/>
      <c r="H390" s="285"/>
      <c r="I390" s="264" t="s">
        <v>2151</v>
      </c>
      <c r="L390" s="252"/>
    </row>
    <row r="391" spans="1:12">
      <c r="A391" s="239"/>
      <c r="B391" s="239"/>
      <c r="C391" s="264"/>
      <c r="D391" s="295" t="s">
        <v>1293</v>
      </c>
      <c r="E391" s="295" t="s">
        <v>1634</v>
      </c>
      <c r="F391" s="296">
        <v>1</v>
      </c>
      <c r="G391" s="297"/>
      <c r="H391" s="296"/>
      <c r="I391" s="264" t="s">
        <v>2151</v>
      </c>
      <c r="L391" s="252"/>
    </row>
    <row r="392" spans="1:12">
      <c r="A392" s="239"/>
      <c r="B392" s="239"/>
      <c r="C392" s="264"/>
      <c r="D392" s="295" t="s">
        <v>1301</v>
      </c>
      <c r="E392" s="295" t="s">
        <v>1636</v>
      </c>
      <c r="F392" s="296">
        <v>1</v>
      </c>
      <c r="G392" s="297"/>
      <c r="H392" s="296"/>
      <c r="I392" s="264" t="s">
        <v>2151</v>
      </c>
      <c r="L392" s="252"/>
    </row>
    <row r="393" spans="1:12">
      <c r="A393" s="239"/>
      <c r="B393" s="239"/>
      <c r="C393" s="264"/>
      <c r="D393" s="295" t="s">
        <v>1302</v>
      </c>
      <c r="E393" s="295" t="s">
        <v>1635</v>
      </c>
      <c r="F393" s="296">
        <v>2</v>
      </c>
      <c r="G393" s="297"/>
      <c r="H393" s="296"/>
      <c r="I393" s="264" t="s">
        <v>2151</v>
      </c>
      <c r="L393" s="252"/>
    </row>
    <row r="394" spans="1:12">
      <c r="A394" s="239"/>
      <c r="B394" s="239"/>
      <c r="C394" s="264"/>
      <c r="D394" s="295" t="s">
        <v>1303</v>
      </c>
      <c r="E394" s="295" t="s">
        <v>1637</v>
      </c>
      <c r="F394" s="296">
        <v>1</v>
      </c>
      <c r="G394" s="297"/>
      <c r="H394" s="296"/>
      <c r="I394" s="264" t="s">
        <v>2151</v>
      </c>
      <c r="L394" s="252"/>
    </row>
    <row r="395" spans="1:12">
      <c r="A395" s="261"/>
      <c r="B395" s="261"/>
      <c r="C395" s="262"/>
      <c r="D395" s="262" t="s">
        <v>1627</v>
      </c>
      <c r="E395" s="262" t="s">
        <v>1638</v>
      </c>
      <c r="F395" s="261">
        <v>2</v>
      </c>
      <c r="G395" s="263"/>
      <c r="H395" s="261"/>
      <c r="I395" s="264" t="s">
        <v>2151</v>
      </c>
      <c r="L395" s="252"/>
    </row>
    <row r="396" spans="1:12">
      <c r="A396" s="239"/>
      <c r="B396" s="239"/>
      <c r="C396" s="264"/>
      <c r="D396" s="295" t="s">
        <v>1628</v>
      </c>
      <c r="E396" s="295" t="s">
        <v>1629</v>
      </c>
      <c r="F396" s="296">
        <v>1</v>
      </c>
      <c r="G396" s="297"/>
      <c r="H396" s="296"/>
      <c r="I396" s="264" t="s">
        <v>2151</v>
      </c>
      <c r="J396" s="243" t="s">
        <v>2187</v>
      </c>
      <c r="L396" s="252"/>
    </row>
    <row r="397" spans="1:12">
      <c r="A397" s="239"/>
      <c r="B397" s="239"/>
      <c r="C397" s="264"/>
      <c r="D397" s="295" t="s">
        <v>1639</v>
      </c>
      <c r="E397" s="295" t="s">
        <v>1634</v>
      </c>
      <c r="F397" s="296">
        <v>1</v>
      </c>
      <c r="G397" s="297"/>
      <c r="H397" s="296"/>
      <c r="I397" s="264" t="s">
        <v>2151</v>
      </c>
      <c r="L397" s="252"/>
    </row>
    <row r="398" spans="1:12">
      <c r="A398" s="239"/>
      <c r="B398" s="239"/>
      <c r="C398" s="264"/>
      <c r="D398" s="295" t="s">
        <v>1301</v>
      </c>
      <c r="E398" s="295" t="s">
        <v>1636</v>
      </c>
      <c r="F398" s="296">
        <v>1</v>
      </c>
      <c r="G398" s="297"/>
      <c r="H398" s="296"/>
      <c r="I398" s="264" t="s">
        <v>2151</v>
      </c>
      <c r="L398" s="252"/>
    </row>
    <row r="399" spans="1:12">
      <c r="A399" s="239"/>
      <c r="B399" s="239"/>
      <c r="C399" s="264"/>
      <c r="D399" s="295" t="s">
        <v>1302</v>
      </c>
      <c r="E399" s="295" t="s">
        <v>1635</v>
      </c>
      <c r="F399" s="296">
        <v>2</v>
      </c>
      <c r="G399" s="297"/>
      <c r="H399" s="296"/>
      <c r="I399" s="264" t="s">
        <v>2151</v>
      </c>
      <c r="L399" s="252"/>
    </row>
    <row r="400" spans="1:12">
      <c r="A400" s="239"/>
      <c r="B400" s="239"/>
      <c r="C400" s="264"/>
      <c r="D400" s="295" t="s">
        <v>1303</v>
      </c>
      <c r="E400" s="295" t="s">
        <v>1637</v>
      </c>
      <c r="F400" s="296">
        <v>1</v>
      </c>
      <c r="G400" s="297"/>
      <c r="H400" s="296"/>
      <c r="I400" s="264" t="s">
        <v>2151</v>
      </c>
      <c r="L400" s="252"/>
    </row>
    <row r="401" spans="1:12">
      <c r="A401" s="280">
        <v>71846</v>
      </c>
      <c r="B401" s="280" t="s">
        <v>130</v>
      </c>
      <c r="C401" s="281" t="s">
        <v>20</v>
      </c>
      <c r="D401" s="281" t="s">
        <v>89</v>
      </c>
      <c r="E401" s="281" t="s">
        <v>88</v>
      </c>
      <c r="F401" s="280">
        <v>3</v>
      </c>
      <c r="G401" s="282">
        <v>45861</v>
      </c>
      <c r="H401" s="325">
        <v>45894</v>
      </c>
      <c r="I401" s="283" t="s">
        <v>2151</v>
      </c>
      <c r="L401" s="252"/>
    </row>
    <row r="402" spans="1:12">
      <c r="A402" s="261"/>
      <c r="B402" s="261"/>
      <c r="C402" s="262"/>
      <c r="D402" s="262" t="s">
        <v>1667</v>
      </c>
      <c r="E402" s="262" t="s">
        <v>1673</v>
      </c>
      <c r="F402" s="261">
        <v>1</v>
      </c>
      <c r="G402" s="263"/>
      <c r="H402" s="261"/>
      <c r="I402" s="283" t="s">
        <v>2151</v>
      </c>
      <c r="L402" s="252"/>
    </row>
    <row r="403" spans="1:12">
      <c r="A403" s="261"/>
      <c r="B403" s="261"/>
      <c r="C403" s="262"/>
      <c r="D403" s="262" t="s">
        <v>1669</v>
      </c>
      <c r="E403" s="262" t="s">
        <v>1648</v>
      </c>
      <c r="F403" s="261">
        <v>1</v>
      </c>
      <c r="G403" s="263"/>
      <c r="H403" s="261"/>
      <c r="I403" s="283" t="s">
        <v>2151</v>
      </c>
      <c r="L403" s="252"/>
    </row>
    <row r="404" spans="1:12">
      <c r="A404" s="261"/>
      <c r="B404" s="261"/>
      <c r="C404" s="262"/>
      <c r="D404" s="262" t="s">
        <v>1305</v>
      </c>
      <c r="E404" s="262" t="s">
        <v>1663</v>
      </c>
      <c r="F404" s="261">
        <v>3</v>
      </c>
      <c r="G404" s="263"/>
      <c r="H404" s="261"/>
      <c r="I404" s="283" t="s">
        <v>2151</v>
      </c>
      <c r="L404" s="252"/>
    </row>
    <row r="405" spans="1:12">
      <c r="A405" s="261"/>
      <c r="B405" s="261"/>
      <c r="C405" s="262"/>
      <c r="D405" s="262" t="s">
        <v>1306</v>
      </c>
      <c r="E405" s="262" t="s">
        <v>1674</v>
      </c>
      <c r="F405" s="261">
        <v>1</v>
      </c>
      <c r="G405" s="263"/>
      <c r="H405" s="261"/>
      <c r="I405" s="283" t="s">
        <v>2151</v>
      </c>
      <c r="L405" s="252"/>
    </row>
    <row r="406" spans="1:12">
      <c r="A406" s="261"/>
      <c r="B406" s="261"/>
      <c r="C406" s="262"/>
      <c r="D406" s="262" t="s">
        <v>1307</v>
      </c>
      <c r="E406" s="262" t="s">
        <v>1675</v>
      </c>
      <c r="F406" s="261">
        <v>1</v>
      </c>
      <c r="G406" s="263"/>
      <c r="H406" s="261"/>
      <c r="I406" s="283" t="s">
        <v>2151</v>
      </c>
      <c r="L406" s="252"/>
    </row>
    <row r="407" spans="1:12">
      <c r="A407" s="261"/>
      <c r="B407" s="261"/>
      <c r="C407" s="262"/>
      <c r="D407" s="262" t="s">
        <v>1308</v>
      </c>
      <c r="E407" s="262" t="s">
        <v>1310</v>
      </c>
      <c r="F407" s="261">
        <v>6</v>
      </c>
      <c r="G407" s="263"/>
      <c r="H407" s="261"/>
      <c r="I407" s="283" t="s">
        <v>2151</v>
      </c>
      <c r="L407" s="252"/>
    </row>
    <row r="408" spans="1:12">
      <c r="A408" s="261"/>
      <c r="B408" s="261"/>
      <c r="C408" s="262"/>
      <c r="D408" s="262" t="s">
        <v>1309</v>
      </c>
      <c r="E408" s="262" t="s">
        <v>1311</v>
      </c>
      <c r="F408" s="261">
        <v>8</v>
      </c>
      <c r="G408" s="263"/>
      <c r="H408" s="261"/>
      <c r="I408" s="283" t="s">
        <v>2151</v>
      </c>
      <c r="L408" s="252"/>
    </row>
    <row r="409" spans="1:12">
      <c r="A409" s="261"/>
      <c r="B409" s="261"/>
      <c r="C409" s="262"/>
      <c r="D409" s="262" t="s">
        <v>1667</v>
      </c>
      <c r="E409" s="262" t="s">
        <v>1671</v>
      </c>
      <c r="F409" s="261">
        <v>1</v>
      </c>
      <c r="G409" s="263"/>
      <c r="H409" s="261"/>
      <c r="I409" s="283" t="s">
        <v>2151</v>
      </c>
      <c r="L409" s="252"/>
    </row>
    <row r="410" spans="1:12">
      <c r="A410" s="261"/>
      <c r="B410" s="261"/>
      <c r="C410" s="262"/>
      <c r="D410" s="262" t="s">
        <v>1668</v>
      </c>
      <c r="E410" s="262" t="s">
        <v>1647</v>
      </c>
      <c r="F410" s="261">
        <v>1</v>
      </c>
      <c r="G410" s="263"/>
      <c r="H410" s="261"/>
      <c r="I410" s="283" t="s">
        <v>2151</v>
      </c>
      <c r="L410" s="252"/>
    </row>
    <row r="411" spans="1:12">
      <c r="A411" s="261"/>
      <c r="B411" s="261"/>
      <c r="C411" s="262"/>
      <c r="D411" s="262" t="s">
        <v>1669</v>
      </c>
      <c r="E411" s="262" t="s">
        <v>1648</v>
      </c>
      <c r="F411" s="261">
        <v>1</v>
      </c>
      <c r="G411" s="263"/>
      <c r="H411" s="261"/>
      <c r="I411" s="283" t="s">
        <v>2151</v>
      </c>
      <c r="L411" s="252"/>
    </row>
    <row r="412" spans="1:12">
      <c r="A412" s="239"/>
      <c r="B412" s="239"/>
      <c r="C412" s="264"/>
      <c r="D412" s="284" t="s">
        <v>1666</v>
      </c>
      <c r="E412" s="284" t="s">
        <v>1670</v>
      </c>
      <c r="F412" s="285">
        <v>1</v>
      </c>
      <c r="G412" s="286"/>
      <c r="H412" s="285"/>
      <c r="I412" s="283" t="s">
        <v>2151</v>
      </c>
      <c r="L412" s="252"/>
    </row>
    <row r="413" spans="1:12">
      <c r="A413" s="261"/>
      <c r="B413" s="261"/>
      <c r="C413" s="262"/>
      <c r="D413" s="262" t="s">
        <v>1642</v>
      </c>
      <c r="E413" s="262" t="s">
        <v>1672</v>
      </c>
      <c r="F413" s="261">
        <v>1</v>
      </c>
      <c r="G413" s="263"/>
      <c r="H413" s="261"/>
      <c r="I413" s="283" t="s">
        <v>2151</v>
      </c>
      <c r="L413" s="252"/>
    </row>
    <row r="414" spans="1:12">
      <c r="A414" s="261"/>
      <c r="B414" s="261"/>
      <c r="C414" s="262"/>
      <c r="D414" s="262" t="s">
        <v>1644</v>
      </c>
      <c r="E414" s="262" t="s">
        <v>1645</v>
      </c>
      <c r="F414" s="261">
        <v>1</v>
      </c>
      <c r="G414" s="263"/>
      <c r="H414" s="261"/>
      <c r="I414" s="283" t="s">
        <v>2151</v>
      </c>
      <c r="L414" s="252"/>
    </row>
    <row r="415" spans="1:12">
      <c r="A415" s="239"/>
      <c r="B415" s="239"/>
      <c r="C415" s="264"/>
      <c r="D415" s="298" t="s">
        <v>1646</v>
      </c>
      <c r="E415" s="298" t="s">
        <v>1649</v>
      </c>
      <c r="F415" s="299">
        <v>1</v>
      </c>
      <c r="G415" s="300"/>
      <c r="H415" s="299"/>
      <c r="I415" s="283" t="s">
        <v>2151</v>
      </c>
      <c r="L415" s="252"/>
    </row>
    <row r="416" spans="1:12">
      <c r="A416" s="239"/>
      <c r="B416" s="239"/>
      <c r="C416" s="264"/>
      <c r="D416" s="298" t="s">
        <v>1642</v>
      </c>
      <c r="E416" s="298" t="s">
        <v>1672</v>
      </c>
      <c r="F416" s="299">
        <v>1</v>
      </c>
      <c r="G416" s="300"/>
      <c r="H416" s="299"/>
      <c r="I416" s="283" t="s">
        <v>2151</v>
      </c>
      <c r="L416" s="252"/>
    </row>
    <row r="417" spans="1:47">
      <c r="A417" s="239"/>
      <c r="B417" s="239"/>
      <c r="C417" s="264"/>
      <c r="D417" s="298" t="s">
        <v>1644</v>
      </c>
      <c r="E417" s="298" t="s">
        <v>1645</v>
      </c>
      <c r="F417" s="299">
        <v>1</v>
      </c>
      <c r="G417" s="300"/>
      <c r="H417" s="299"/>
      <c r="I417" s="283" t="s">
        <v>2151</v>
      </c>
      <c r="L417" s="252"/>
    </row>
    <row r="418" spans="1:47">
      <c r="A418" s="239"/>
      <c r="B418" s="239"/>
      <c r="C418" s="264"/>
      <c r="D418" s="298" t="s">
        <v>1577</v>
      </c>
      <c r="E418" s="298" t="s">
        <v>1671</v>
      </c>
      <c r="F418" s="299">
        <v>1</v>
      </c>
      <c r="G418" s="300"/>
      <c r="H418" s="299"/>
      <c r="I418" s="283" t="s">
        <v>2151</v>
      </c>
      <c r="L418" s="252"/>
    </row>
    <row r="419" spans="1:47">
      <c r="A419" s="239"/>
      <c r="B419" s="239"/>
      <c r="C419" s="264"/>
      <c r="D419" s="298" t="s">
        <v>1668</v>
      </c>
      <c r="E419" s="298" t="s">
        <v>1647</v>
      </c>
      <c r="F419" s="299">
        <v>1</v>
      </c>
      <c r="G419" s="300"/>
      <c r="H419" s="299"/>
      <c r="I419" s="283" t="s">
        <v>2151</v>
      </c>
      <c r="L419" s="252"/>
    </row>
    <row r="420" spans="1:47">
      <c r="A420" s="239"/>
      <c r="B420" s="239"/>
      <c r="C420" s="264"/>
      <c r="D420" s="298" t="s">
        <v>1669</v>
      </c>
      <c r="E420" s="298" t="s">
        <v>1648</v>
      </c>
      <c r="F420" s="299">
        <v>1</v>
      </c>
      <c r="G420" s="300"/>
      <c r="H420" s="299"/>
      <c r="I420" s="283" t="s">
        <v>2151</v>
      </c>
      <c r="L420" s="252"/>
    </row>
    <row r="421" spans="1:47">
      <c r="A421" s="239"/>
      <c r="B421" s="239"/>
      <c r="C421" s="264"/>
      <c r="D421" s="284" t="s">
        <v>1304</v>
      </c>
      <c r="E421" s="284" t="s">
        <v>1651</v>
      </c>
      <c r="F421" s="285">
        <v>1</v>
      </c>
      <c r="G421" s="286"/>
      <c r="H421" s="285"/>
      <c r="I421" s="283" t="s">
        <v>2151</v>
      </c>
      <c r="L421" s="252"/>
    </row>
    <row r="422" spans="1:47">
      <c r="A422" s="261"/>
      <c r="B422" s="261"/>
      <c r="C422" s="262"/>
      <c r="D422" s="262" t="s">
        <v>1642</v>
      </c>
      <c r="E422" s="262" t="s">
        <v>1658</v>
      </c>
      <c r="F422" s="261">
        <v>1</v>
      </c>
      <c r="G422" s="263"/>
      <c r="H422" s="261"/>
      <c r="I422" s="283" t="s">
        <v>2151</v>
      </c>
      <c r="L422" s="252"/>
    </row>
    <row r="423" spans="1:47">
      <c r="A423" s="261"/>
      <c r="B423" s="261"/>
      <c r="C423" s="262"/>
      <c r="D423" s="262" t="s">
        <v>1652</v>
      </c>
      <c r="E423" s="262" t="s">
        <v>1659</v>
      </c>
      <c r="F423" s="261">
        <v>1</v>
      </c>
      <c r="G423" s="263"/>
      <c r="H423" s="261"/>
      <c r="I423" s="283" t="s">
        <v>2151</v>
      </c>
      <c r="L423" s="252"/>
    </row>
    <row r="424" spans="1:47">
      <c r="A424" s="261"/>
      <c r="B424" s="261"/>
      <c r="C424" s="262"/>
      <c r="D424" s="262" t="s">
        <v>1653</v>
      </c>
      <c r="E424" s="262" t="s">
        <v>1660</v>
      </c>
      <c r="F424" s="261">
        <v>1</v>
      </c>
      <c r="G424" s="263"/>
      <c r="H424" s="261"/>
      <c r="I424" s="283" t="s">
        <v>2151</v>
      </c>
      <c r="L424" s="252"/>
    </row>
    <row r="425" spans="1:47">
      <c r="A425" s="261"/>
      <c r="B425" s="261"/>
      <c r="C425" s="262"/>
      <c r="D425" s="262" t="s">
        <v>1654</v>
      </c>
      <c r="E425" s="262" t="s">
        <v>1661</v>
      </c>
      <c r="F425" s="261">
        <v>2</v>
      </c>
      <c r="G425" s="263"/>
      <c r="H425" s="261"/>
      <c r="I425" s="283" t="s">
        <v>2151</v>
      </c>
      <c r="L425" s="252"/>
    </row>
    <row r="426" spans="1:47">
      <c r="A426" s="239"/>
      <c r="B426" s="239"/>
      <c r="C426" s="264"/>
      <c r="D426" s="298" t="s">
        <v>1304</v>
      </c>
      <c r="E426" s="298" t="s">
        <v>1662</v>
      </c>
      <c r="F426" s="299">
        <v>1</v>
      </c>
      <c r="G426" s="300"/>
      <c r="H426" s="299"/>
      <c r="I426" s="283" t="s">
        <v>2151</v>
      </c>
      <c r="L426" s="252"/>
    </row>
    <row r="427" spans="1:47">
      <c r="A427" s="239"/>
      <c r="B427" s="239"/>
      <c r="C427" s="264"/>
      <c r="D427" s="298" t="s">
        <v>1642</v>
      </c>
      <c r="E427" s="298" t="s">
        <v>1658</v>
      </c>
      <c r="F427" s="299">
        <v>1</v>
      </c>
      <c r="G427" s="300"/>
      <c r="H427" s="299"/>
      <c r="I427" s="283" t="s">
        <v>2151</v>
      </c>
      <c r="L427" s="252"/>
    </row>
    <row r="428" spans="1:47">
      <c r="A428" s="239"/>
      <c r="B428" s="239"/>
      <c r="C428" s="264"/>
      <c r="D428" s="298" t="s">
        <v>1652</v>
      </c>
      <c r="E428" s="298" t="s">
        <v>1659</v>
      </c>
      <c r="F428" s="299">
        <v>1</v>
      </c>
      <c r="G428" s="300"/>
      <c r="H428" s="299"/>
      <c r="I428" s="283" t="s">
        <v>2151</v>
      </c>
      <c r="L428" s="252"/>
    </row>
    <row r="429" spans="1:47">
      <c r="A429" s="239"/>
      <c r="B429" s="239"/>
      <c r="C429" s="264"/>
      <c r="D429" s="298" t="s">
        <v>1653</v>
      </c>
      <c r="E429" s="298" t="s">
        <v>1660</v>
      </c>
      <c r="F429" s="299">
        <v>1</v>
      </c>
      <c r="G429" s="300"/>
      <c r="H429" s="299"/>
      <c r="I429" s="283" t="s">
        <v>2151</v>
      </c>
      <c r="L429" s="252"/>
    </row>
    <row r="430" spans="1:47">
      <c r="A430" s="239"/>
      <c r="B430" s="239"/>
      <c r="C430" s="264"/>
      <c r="D430" s="298" t="s">
        <v>1654</v>
      </c>
      <c r="E430" s="298" t="s">
        <v>1661</v>
      </c>
      <c r="F430" s="299">
        <v>2</v>
      </c>
      <c r="G430" s="300"/>
      <c r="H430" s="299"/>
      <c r="I430" s="283" t="s">
        <v>2151</v>
      </c>
      <c r="L430" s="252"/>
    </row>
    <row r="431" spans="1:47">
      <c r="A431" s="280">
        <v>71847</v>
      </c>
      <c r="B431" s="280" t="s">
        <v>130</v>
      </c>
      <c r="C431" s="281" t="s">
        <v>20</v>
      </c>
      <c r="D431" s="281" t="s">
        <v>91</v>
      </c>
      <c r="E431" s="281" t="s">
        <v>90</v>
      </c>
      <c r="F431" s="280">
        <v>3</v>
      </c>
      <c r="G431" s="282">
        <v>45861</v>
      </c>
      <c r="H431" s="325">
        <v>45894</v>
      </c>
      <c r="I431" s="264" t="s">
        <v>2339</v>
      </c>
      <c r="L431" s="252"/>
      <c r="AN431" s="243" t="s">
        <v>2225</v>
      </c>
      <c r="AO431" s="243" t="s">
        <v>2225</v>
      </c>
      <c r="AP431" s="243" t="s">
        <v>2339</v>
      </c>
      <c r="AQ431" s="243" t="s">
        <v>2339</v>
      </c>
      <c r="AR431" s="243" t="s">
        <v>2183</v>
      </c>
      <c r="AS431" s="243" t="s">
        <v>2183</v>
      </c>
      <c r="AT431" s="243" t="s">
        <v>2427</v>
      </c>
      <c r="AU431" s="243" t="s">
        <v>2427</v>
      </c>
    </row>
    <row r="432" spans="1:47">
      <c r="A432" s="261"/>
      <c r="B432" s="261"/>
      <c r="C432" s="262"/>
      <c r="D432" s="262" t="s">
        <v>1312</v>
      </c>
      <c r="E432" s="262" t="s">
        <v>1334</v>
      </c>
      <c r="F432" s="261">
        <v>1</v>
      </c>
      <c r="G432" s="263"/>
      <c r="H432" s="261"/>
      <c r="I432" s="264" t="s">
        <v>2151</v>
      </c>
      <c r="L432" s="252"/>
    </row>
    <row r="433" spans="1:12">
      <c r="A433" s="261"/>
      <c r="B433" s="261"/>
      <c r="C433" s="262"/>
      <c r="D433" s="262" t="s">
        <v>1313</v>
      </c>
      <c r="E433" s="262" t="s">
        <v>1335</v>
      </c>
      <c r="F433" s="261">
        <v>1</v>
      </c>
      <c r="G433" s="263"/>
      <c r="H433" s="261"/>
      <c r="I433" s="264" t="s">
        <v>2151</v>
      </c>
      <c r="L433" s="252"/>
    </row>
    <row r="434" spans="1:12">
      <c r="A434" s="261"/>
      <c r="B434" s="261"/>
      <c r="C434" s="262"/>
      <c r="D434" s="262" t="s">
        <v>2289</v>
      </c>
      <c r="E434" s="262" t="s">
        <v>2288</v>
      </c>
      <c r="F434" s="261">
        <v>18</v>
      </c>
      <c r="G434" s="263"/>
      <c r="H434" s="261"/>
      <c r="I434" s="264" t="s">
        <v>2151</v>
      </c>
      <c r="L434" s="252"/>
    </row>
    <row r="435" spans="1:12">
      <c r="A435" s="261"/>
      <c r="B435" s="261"/>
      <c r="C435" s="262"/>
      <c r="D435" s="262" t="s">
        <v>2290</v>
      </c>
      <c r="E435" s="262" t="s">
        <v>2291</v>
      </c>
      <c r="F435" s="261">
        <v>6</v>
      </c>
      <c r="G435" s="263"/>
      <c r="H435" s="261"/>
      <c r="I435" s="264" t="s">
        <v>2151</v>
      </c>
      <c r="L435" s="252"/>
    </row>
    <row r="436" spans="1:12">
      <c r="A436" s="261"/>
      <c r="B436" s="261"/>
      <c r="C436" s="262"/>
      <c r="D436" s="262" t="s">
        <v>1314</v>
      </c>
      <c r="E436" s="262" t="s">
        <v>1336</v>
      </c>
      <c r="F436" s="261">
        <v>1</v>
      </c>
      <c r="G436" s="263"/>
      <c r="H436" s="261"/>
      <c r="I436" s="264" t="s">
        <v>2151</v>
      </c>
      <c r="L436" s="252"/>
    </row>
    <row r="437" spans="1:12">
      <c r="A437" s="261"/>
      <c r="B437" s="261"/>
      <c r="C437" s="262"/>
      <c r="D437" s="262" t="s">
        <v>1315</v>
      </c>
      <c r="E437" s="262" t="s">
        <v>1337</v>
      </c>
      <c r="F437" s="261">
        <v>1</v>
      </c>
      <c r="G437" s="263"/>
      <c r="H437" s="261"/>
      <c r="I437" s="264" t="s">
        <v>2151</v>
      </c>
      <c r="L437" s="252"/>
    </row>
    <row r="438" spans="1:12">
      <c r="A438" s="261"/>
      <c r="B438" s="261"/>
      <c r="C438" s="262"/>
      <c r="D438" s="262" t="s">
        <v>1315</v>
      </c>
      <c r="E438" s="262" t="s">
        <v>1338</v>
      </c>
      <c r="F438" s="261">
        <v>2</v>
      </c>
      <c r="G438" s="263"/>
      <c r="H438" s="261"/>
      <c r="I438" s="264" t="s">
        <v>2151</v>
      </c>
      <c r="L438" s="252"/>
    </row>
    <row r="439" spans="1:12">
      <c r="A439" s="261"/>
      <c r="B439" s="261"/>
      <c r="C439" s="262"/>
      <c r="D439" s="262" t="s">
        <v>1316</v>
      </c>
      <c r="E439" s="262" t="s">
        <v>1339</v>
      </c>
      <c r="F439" s="261">
        <v>3</v>
      </c>
      <c r="G439" s="263"/>
      <c r="H439" s="261"/>
      <c r="I439" s="264" t="s">
        <v>2151</v>
      </c>
      <c r="L439" s="252"/>
    </row>
    <row r="440" spans="1:12">
      <c r="A440" s="261"/>
      <c r="B440" s="261"/>
      <c r="C440" s="262"/>
      <c r="D440" s="262" t="s">
        <v>1316</v>
      </c>
      <c r="E440" s="262" t="s">
        <v>1340</v>
      </c>
      <c r="F440" s="261">
        <v>1</v>
      </c>
      <c r="G440" s="263"/>
      <c r="H440" s="261"/>
      <c r="I440" s="264" t="s">
        <v>2151</v>
      </c>
      <c r="L440" s="252"/>
    </row>
    <row r="441" spans="1:12">
      <c r="A441" s="261"/>
      <c r="B441" s="261"/>
      <c r="C441" s="262"/>
      <c r="D441" s="262" t="s">
        <v>1317</v>
      </c>
      <c r="E441" s="262" t="s">
        <v>1341</v>
      </c>
      <c r="F441" s="261">
        <v>1</v>
      </c>
      <c r="G441" s="263"/>
      <c r="H441" s="261"/>
      <c r="I441" s="264" t="s">
        <v>2151</v>
      </c>
      <c r="L441" s="252"/>
    </row>
    <row r="442" spans="1:12">
      <c r="A442" s="261"/>
      <c r="B442" s="261"/>
      <c r="C442" s="262"/>
      <c r="D442" s="262" t="s">
        <v>1182</v>
      </c>
      <c r="E442" s="262" t="s">
        <v>1342</v>
      </c>
      <c r="F442" s="261">
        <v>1</v>
      </c>
      <c r="G442" s="263"/>
      <c r="H442" s="261"/>
      <c r="I442" s="264" t="s">
        <v>2151</v>
      </c>
      <c r="L442" s="252"/>
    </row>
    <row r="443" spans="1:12">
      <c r="A443" s="261"/>
      <c r="B443" s="261"/>
      <c r="C443" s="262"/>
      <c r="D443" s="262" t="s">
        <v>1318</v>
      </c>
      <c r="E443" s="262" t="s">
        <v>1343</v>
      </c>
      <c r="F443" s="261">
        <v>2</v>
      </c>
      <c r="G443" s="263"/>
      <c r="H443" s="261"/>
      <c r="I443" s="264" t="s">
        <v>2151</v>
      </c>
      <c r="L443" s="252"/>
    </row>
    <row r="444" spans="1:12">
      <c r="A444" s="261"/>
      <c r="B444" s="261"/>
      <c r="C444" s="262"/>
      <c r="D444" s="262" t="s">
        <v>1319</v>
      </c>
      <c r="E444" s="262" t="s">
        <v>1344</v>
      </c>
      <c r="F444" s="261">
        <v>1</v>
      </c>
      <c r="G444" s="263"/>
      <c r="H444" s="261"/>
      <c r="I444" s="264" t="s">
        <v>2151</v>
      </c>
      <c r="L444" s="252"/>
    </row>
    <row r="445" spans="1:12">
      <c r="A445" s="261"/>
      <c r="B445" s="261"/>
      <c r="C445" s="262"/>
      <c r="D445" s="262" t="s">
        <v>1320</v>
      </c>
      <c r="E445" s="262" t="s">
        <v>1345</v>
      </c>
      <c r="F445" s="261">
        <v>1</v>
      </c>
      <c r="G445" s="263"/>
      <c r="H445" s="261"/>
      <c r="I445" s="264" t="s">
        <v>2151</v>
      </c>
      <c r="L445" s="252"/>
    </row>
    <row r="446" spans="1:12">
      <c r="A446" s="261"/>
      <c r="B446" s="261"/>
      <c r="C446" s="262"/>
      <c r="D446" s="262" t="s">
        <v>1321</v>
      </c>
      <c r="E446" s="262" t="s">
        <v>1346</v>
      </c>
      <c r="F446" s="261">
        <v>1</v>
      </c>
      <c r="G446" s="263"/>
      <c r="H446" s="261"/>
      <c r="I446" s="264" t="s">
        <v>2151</v>
      </c>
      <c r="L446" s="252"/>
    </row>
    <row r="447" spans="1:12">
      <c r="A447" s="261"/>
      <c r="B447" s="261"/>
      <c r="C447" s="262"/>
      <c r="D447" s="262" t="s">
        <v>1322</v>
      </c>
      <c r="E447" s="262" t="s">
        <v>1347</v>
      </c>
      <c r="F447" s="261">
        <v>1</v>
      </c>
      <c r="G447" s="263"/>
      <c r="H447" s="261"/>
      <c r="I447" s="264" t="s">
        <v>2151</v>
      </c>
      <c r="L447" s="252"/>
    </row>
    <row r="448" spans="1:12">
      <c r="A448" s="261"/>
      <c r="B448" s="261"/>
      <c r="C448" s="262"/>
      <c r="D448" s="262" t="s">
        <v>1323</v>
      </c>
      <c r="E448" s="262" t="s">
        <v>1348</v>
      </c>
      <c r="F448" s="261">
        <v>1</v>
      </c>
      <c r="G448" s="263"/>
      <c r="H448" s="261"/>
      <c r="I448" s="264" t="s">
        <v>2151</v>
      </c>
      <c r="L448" s="252"/>
    </row>
    <row r="449" spans="1:12">
      <c r="A449" s="261"/>
      <c r="B449" s="261"/>
      <c r="C449" s="262"/>
      <c r="D449" s="262" t="s">
        <v>1324</v>
      </c>
      <c r="E449" s="262" t="s">
        <v>1349</v>
      </c>
      <c r="F449" s="261">
        <v>2</v>
      </c>
      <c r="G449" s="263"/>
      <c r="H449" s="261"/>
      <c r="I449" s="264" t="s">
        <v>2151</v>
      </c>
      <c r="L449" s="252"/>
    </row>
    <row r="450" spans="1:12">
      <c r="A450" s="261"/>
      <c r="B450" s="261"/>
      <c r="C450" s="262"/>
      <c r="D450" s="262" t="s">
        <v>1324</v>
      </c>
      <c r="E450" s="262" t="s">
        <v>1350</v>
      </c>
      <c r="F450" s="261">
        <v>2</v>
      </c>
      <c r="G450" s="263"/>
      <c r="H450" s="261"/>
      <c r="I450" s="264" t="s">
        <v>2151</v>
      </c>
      <c r="L450" s="252"/>
    </row>
    <row r="451" spans="1:12">
      <c r="A451" s="261"/>
      <c r="B451" s="261"/>
      <c r="C451" s="262"/>
      <c r="D451" s="262" t="s">
        <v>1324</v>
      </c>
      <c r="E451" s="262" t="s">
        <v>1351</v>
      </c>
      <c r="F451" s="261">
        <v>1</v>
      </c>
      <c r="G451" s="263"/>
      <c r="H451" s="261"/>
      <c r="I451" s="264" t="s">
        <v>2151</v>
      </c>
      <c r="L451" s="252"/>
    </row>
    <row r="452" spans="1:12">
      <c r="A452" s="261"/>
      <c r="B452" s="261"/>
      <c r="C452" s="262"/>
      <c r="D452" s="262" t="s">
        <v>1325</v>
      </c>
      <c r="E452" s="262" t="s">
        <v>1352</v>
      </c>
      <c r="F452" s="261">
        <v>1</v>
      </c>
      <c r="G452" s="263"/>
      <c r="H452" s="261"/>
      <c r="I452" s="264" t="s">
        <v>2151</v>
      </c>
      <c r="L452" s="252"/>
    </row>
    <row r="453" spans="1:12">
      <c r="A453" s="261"/>
      <c r="B453" s="261"/>
      <c r="C453" s="262"/>
      <c r="D453" s="262" t="s">
        <v>1325</v>
      </c>
      <c r="E453" s="262" t="s">
        <v>1353</v>
      </c>
      <c r="F453" s="261">
        <v>1</v>
      </c>
      <c r="G453" s="263"/>
      <c r="H453" s="261"/>
      <c r="I453" s="264" t="s">
        <v>2151</v>
      </c>
      <c r="L453" s="252"/>
    </row>
    <row r="454" spans="1:12">
      <c r="A454" s="261"/>
      <c r="B454" s="261"/>
      <c r="C454" s="262"/>
      <c r="D454" s="262" t="s">
        <v>1325</v>
      </c>
      <c r="E454" s="262" t="s">
        <v>1354</v>
      </c>
      <c r="F454" s="261">
        <v>1</v>
      </c>
      <c r="G454" s="263"/>
      <c r="H454" s="261"/>
      <c r="I454" s="264" t="s">
        <v>2151</v>
      </c>
      <c r="L454" s="252"/>
    </row>
    <row r="455" spans="1:12">
      <c r="A455" s="261"/>
      <c r="B455" s="261"/>
      <c r="C455" s="262"/>
      <c r="D455" s="262" t="s">
        <v>1326</v>
      </c>
      <c r="E455" s="262" t="s">
        <v>1355</v>
      </c>
      <c r="F455" s="261">
        <v>1</v>
      </c>
      <c r="G455" s="263"/>
      <c r="H455" s="261"/>
      <c r="I455" s="264" t="s">
        <v>2151</v>
      </c>
      <c r="L455" s="252"/>
    </row>
    <row r="456" spans="1:12">
      <c r="A456" s="261"/>
      <c r="B456" s="261"/>
      <c r="C456" s="262"/>
      <c r="D456" s="262" t="s">
        <v>1326</v>
      </c>
      <c r="E456" s="262" t="s">
        <v>1356</v>
      </c>
      <c r="F456" s="261">
        <v>2</v>
      </c>
      <c r="G456" s="263"/>
      <c r="H456" s="261"/>
      <c r="I456" s="264" t="s">
        <v>2151</v>
      </c>
      <c r="L456" s="252"/>
    </row>
    <row r="457" spans="1:12">
      <c r="A457" s="261"/>
      <c r="B457" s="261"/>
      <c r="C457" s="262"/>
      <c r="D457" s="262" t="s">
        <v>1327</v>
      </c>
      <c r="E457" s="262" t="s">
        <v>1357</v>
      </c>
      <c r="F457" s="261">
        <v>1</v>
      </c>
      <c r="G457" s="263"/>
      <c r="H457" s="261"/>
      <c r="I457" s="264" t="s">
        <v>2151</v>
      </c>
      <c r="L457" s="252"/>
    </row>
    <row r="458" spans="1:12">
      <c r="A458" s="261"/>
      <c r="B458" s="261"/>
      <c r="C458" s="262"/>
      <c r="D458" s="262" t="s">
        <v>1328</v>
      </c>
      <c r="E458" s="262" t="s">
        <v>1358</v>
      </c>
      <c r="F458" s="261">
        <v>1</v>
      </c>
      <c r="G458" s="263"/>
      <c r="H458" s="261"/>
      <c r="I458" s="264" t="s">
        <v>2151</v>
      </c>
      <c r="L458" s="252"/>
    </row>
    <row r="459" spans="1:12">
      <c r="A459" s="261"/>
      <c r="B459" s="261"/>
      <c r="C459" s="262"/>
      <c r="D459" s="262" t="s">
        <v>1329</v>
      </c>
      <c r="E459" s="262" t="s">
        <v>1359</v>
      </c>
      <c r="F459" s="261">
        <v>2</v>
      </c>
      <c r="G459" s="263"/>
      <c r="H459" s="261"/>
      <c r="I459" s="264" t="s">
        <v>2151</v>
      </c>
      <c r="L459" s="252"/>
    </row>
    <row r="460" spans="1:12">
      <c r="A460" s="261"/>
      <c r="B460" s="261"/>
      <c r="C460" s="262"/>
      <c r="D460" s="262" t="s">
        <v>1330</v>
      </c>
      <c r="E460" s="262" t="s">
        <v>1360</v>
      </c>
      <c r="F460" s="261">
        <v>1</v>
      </c>
      <c r="G460" s="263"/>
      <c r="H460" s="261"/>
      <c r="I460" s="264" t="s">
        <v>2151</v>
      </c>
      <c r="L460" s="252"/>
    </row>
    <row r="461" spans="1:12">
      <c r="A461" s="261"/>
      <c r="B461" s="261"/>
      <c r="C461" s="262"/>
      <c r="D461" s="262" t="s">
        <v>1331</v>
      </c>
      <c r="E461" s="262" t="s">
        <v>1361</v>
      </c>
      <c r="F461" s="261">
        <v>1</v>
      </c>
      <c r="G461" s="263"/>
      <c r="H461" s="261"/>
      <c r="I461" s="264" t="s">
        <v>2151</v>
      </c>
      <c r="L461" s="252"/>
    </row>
    <row r="462" spans="1:12">
      <c r="A462" s="261"/>
      <c r="B462" s="261"/>
      <c r="C462" s="262"/>
      <c r="D462" s="262" t="s">
        <v>1331</v>
      </c>
      <c r="E462" s="262" t="s">
        <v>1362</v>
      </c>
      <c r="F462" s="261">
        <v>2</v>
      </c>
      <c r="G462" s="263"/>
      <c r="H462" s="261"/>
      <c r="I462" s="264" t="s">
        <v>2151</v>
      </c>
      <c r="L462" s="252"/>
    </row>
    <row r="463" spans="1:12">
      <c r="A463" s="261"/>
      <c r="B463" s="261"/>
      <c r="C463" s="262"/>
      <c r="D463" s="262" t="s">
        <v>1332</v>
      </c>
      <c r="E463" s="262" t="s">
        <v>1363</v>
      </c>
      <c r="F463" s="261">
        <v>1</v>
      </c>
      <c r="G463" s="263"/>
      <c r="H463" s="261"/>
      <c r="I463" s="264" t="s">
        <v>2151</v>
      </c>
      <c r="L463" s="252"/>
    </row>
    <row r="464" spans="1:12">
      <c r="A464" s="261"/>
      <c r="B464" s="261"/>
      <c r="C464" s="262"/>
      <c r="D464" s="262" t="s">
        <v>1333</v>
      </c>
      <c r="E464" s="262" t="s">
        <v>1364</v>
      </c>
      <c r="F464" s="261">
        <v>2</v>
      </c>
      <c r="G464" s="263"/>
      <c r="H464" s="261"/>
      <c r="I464" s="264" t="s">
        <v>2151</v>
      </c>
      <c r="L464" s="252"/>
    </row>
    <row r="465" spans="1:12">
      <c r="A465" s="280">
        <v>71848</v>
      </c>
      <c r="B465" s="280" t="s">
        <v>130</v>
      </c>
      <c r="C465" s="281" t="s">
        <v>20</v>
      </c>
      <c r="D465" s="281" t="s">
        <v>93</v>
      </c>
      <c r="E465" s="281" t="s">
        <v>92</v>
      </c>
      <c r="F465" s="280">
        <v>4</v>
      </c>
      <c r="G465" s="282">
        <v>45861</v>
      </c>
      <c r="H465" s="325">
        <v>45894</v>
      </c>
      <c r="I465" s="264" t="s">
        <v>2151</v>
      </c>
      <c r="L465" s="252"/>
    </row>
    <row r="466" spans="1:12">
      <c r="A466" s="261"/>
      <c r="B466" s="261"/>
      <c r="C466" s="262"/>
      <c r="D466" s="262" t="s">
        <v>1199</v>
      </c>
      <c r="E466" s="262" t="s">
        <v>1369</v>
      </c>
      <c r="F466" s="261">
        <v>1</v>
      </c>
      <c r="G466" s="263"/>
      <c r="H466" s="261"/>
      <c r="I466" s="264" t="s">
        <v>2151</v>
      </c>
      <c r="J466" s="243" t="s">
        <v>2248</v>
      </c>
      <c r="L466" s="252"/>
    </row>
    <row r="467" spans="1:12">
      <c r="A467" s="261"/>
      <c r="B467" s="261"/>
      <c r="C467" s="262"/>
      <c r="D467" s="262" t="s">
        <v>1365</v>
      </c>
      <c r="E467" s="262" t="s">
        <v>1370</v>
      </c>
      <c r="F467" s="261">
        <v>1</v>
      </c>
      <c r="G467" s="263"/>
      <c r="H467" s="261"/>
      <c r="I467" s="264" t="s">
        <v>2151</v>
      </c>
      <c r="L467" s="252"/>
    </row>
    <row r="468" spans="1:12">
      <c r="A468" s="261"/>
      <c r="B468" s="261"/>
      <c r="C468" s="262"/>
      <c r="D468" s="262" t="s">
        <v>1366</v>
      </c>
      <c r="E468" s="262" t="s">
        <v>1371</v>
      </c>
      <c r="F468" s="261">
        <v>1</v>
      </c>
      <c r="G468" s="263"/>
      <c r="H468" s="261"/>
      <c r="I468" s="264" t="s">
        <v>2151</v>
      </c>
      <c r="L468" s="252"/>
    </row>
    <row r="469" spans="1:12">
      <c r="A469" s="261"/>
      <c r="B469" s="261"/>
      <c r="C469" s="262"/>
      <c r="D469" s="262" t="s">
        <v>1367</v>
      </c>
      <c r="E469" s="262" t="s">
        <v>1372</v>
      </c>
      <c r="F469" s="261">
        <v>1</v>
      </c>
      <c r="G469" s="263"/>
      <c r="H469" s="261"/>
      <c r="I469" s="264" t="s">
        <v>2151</v>
      </c>
      <c r="L469" s="252"/>
    </row>
    <row r="470" spans="1:12">
      <c r="A470" s="261"/>
      <c r="B470" s="261"/>
      <c r="C470" s="262"/>
      <c r="D470" s="262" t="s">
        <v>1176</v>
      </c>
      <c r="E470" s="262" t="s">
        <v>1373</v>
      </c>
      <c r="F470" s="261">
        <v>1</v>
      </c>
      <c r="G470" s="263"/>
      <c r="H470" s="261"/>
      <c r="I470" s="264" t="s">
        <v>2151</v>
      </c>
      <c r="L470" s="252"/>
    </row>
    <row r="471" spans="1:12">
      <c r="A471" s="261"/>
      <c r="B471" s="261"/>
      <c r="C471" s="262"/>
      <c r="D471" s="262" t="s">
        <v>1331</v>
      </c>
      <c r="E471" s="262" t="s">
        <v>1374</v>
      </c>
      <c r="F471" s="261">
        <v>1</v>
      </c>
      <c r="G471" s="263"/>
      <c r="H471" s="261"/>
      <c r="I471" s="264" t="s">
        <v>2151</v>
      </c>
      <c r="L471" s="252"/>
    </row>
    <row r="472" spans="1:12">
      <c r="A472" s="261"/>
      <c r="B472" s="261"/>
      <c r="C472" s="262"/>
      <c r="D472" s="262" t="s">
        <v>1368</v>
      </c>
      <c r="E472" s="262" t="s">
        <v>1375</v>
      </c>
      <c r="F472" s="261">
        <v>2</v>
      </c>
      <c r="G472" s="263"/>
      <c r="H472" s="261"/>
      <c r="I472" s="264" t="s">
        <v>2151</v>
      </c>
      <c r="L472" s="252"/>
    </row>
    <row r="473" spans="1:12">
      <c r="A473" s="280">
        <v>71849</v>
      </c>
      <c r="B473" s="280" t="s">
        <v>130</v>
      </c>
      <c r="C473" s="281" t="s">
        <v>20</v>
      </c>
      <c r="D473" s="281" t="s">
        <v>95</v>
      </c>
      <c r="E473" s="281" t="s">
        <v>94</v>
      </c>
      <c r="F473" s="280">
        <v>3</v>
      </c>
      <c r="G473" s="282">
        <v>45861</v>
      </c>
      <c r="H473" s="325">
        <v>45894</v>
      </c>
      <c r="I473" s="283" t="s">
        <v>2151</v>
      </c>
      <c r="L473" s="252"/>
    </row>
    <row r="474" spans="1:12">
      <c r="A474" s="239"/>
      <c r="B474" s="239"/>
      <c r="C474" s="264"/>
      <c r="D474" s="284" t="s">
        <v>1376</v>
      </c>
      <c r="E474" s="284" t="s">
        <v>1379</v>
      </c>
      <c r="F474" s="285">
        <v>1</v>
      </c>
      <c r="G474" s="286"/>
      <c r="H474" s="285"/>
      <c r="I474" s="283" t="s">
        <v>2151</v>
      </c>
      <c r="L474" s="252"/>
    </row>
    <row r="475" spans="1:12">
      <c r="A475" s="261"/>
      <c r="B475" s="261"/>
      <c r="C475" s="262"/>
      <c r="D475" s="262" t="s">
        <v>1382</v>
      </c>
      <c r="E475" s="262" t="s">
        <v>1384</v>
      </c>
      <c r="F475" s="261">
        <v>1</v>
      </c>
      <c r="G475" s="263"/>
      <c r="H475" s="261"/>
      <c r="I475" s="283" t="s">
        <v>2151</v>
      </c>
      <c r="L475" s="252"/>
    </row>
    <row r="476" spans="1:12">
      <c r="A476" s="261"/>
      <c r="B476" s="261"/>
      <c r="C476" s="262"/>
      <c r="D476" s="262" t="s">
        <v>1383</v>
      </c>
      <c r="E476" s="262" t="s">
        <v>1385</v>
      </c>
      <c r="F476" s="261">
        <v>1</v>
      </c>
      <c r="G476" s="263"/>
      <c r="H476" s="261"/>
      <c r="I476" s="283" t="s">
        <v>2151</v>
      </c>
      <c r="L476" s="252"/>
    </row>
    <row r="477" spans="1:12">
      <c r="A477" s="239"/>
      <c r="B477" s="239"/>
      <c r="C477" s="264"/>
      <c r="D477" s="284" t="s">
        <v>1377</v>
      </c>
      <c r="E477" s="284" t="s">
        <v>1380</v>
      </c>
      <c r="F477" s="285">
        <v>1</v>
      </c>
      <c r="G477" s="286"/>
      <c r="H477" s="285"/>
      <c r="I477" s="283" t="s">
        <v>2151</v>
      </c>
      <c r="L477" s="252"/>
    </row>
    <row r="478" spans="1:12">
      <c r="A478" s="261"/>
      <c r="B478" s="261"/>
      <c r="C478" s="262"/>
      <c r="D478" s="262" t="s">
        <v>1189</v>
      </c>
      <c r="E478" s="262" t="s">
        <v>1387</v>
      </c>
      <c r="F478" s="261">
        <v>1</v>
      </c>
      <c r="G478" s="263"/>
      <c r="H478" s="261"/>
      <c r="I478" s="283" t="s">
        <v>2151</v>
      </c>
      <c r="L478" s="252"/>
    </row>
    <row r="479" spans="1:12">
      <c r="A479" s="261"/>
      <c r="B479" s="261"/>
      <c r="C479" s="262"/>
      <c r="D479" s="262" t="s">
        <v>1176</v>
      </c>
      <c r="E479" s="262" t="s">
        <v>1388</v>
      </c>
      <c r="F479" s="261">
        <v>1</v>
      </c>
      <c r="G479" s="263"/>
      <c r="H479" s="261"/>
      <c r="I479" s="283" t="s">
        <v>2151</v>
      </c>
      <c r="L479" s="252"/>
    </row>
    <row r="480" spans="1:12">
      <c r="A480" s="261"/>
      <c r="B480" s="261"/>
      <c r="C480" s="262"/>
      <c r="D480" s="262" t="s">
        <v>1386</v>
      </c>
      <c r="E480" s="262" t="s">
        <v>1389</v>
      </c>
      <c r="F480" s="261">
        <v>1</v>
      </c>
      <c r="G480" s="263"/>
      <c r="H480" s="261"/>
      <c r="I480" s="283" t="s">
        <v>2151</v>
      </c>
      <c r="L480" s="252"/>
    </row>
    <row r="481" spans="1:59">
      <c r="A481" s="280">
        <v>71850</v>
      </c>
      <c r="B481" s="280" t="s">
        <v>2641</v>
      </c>
      <c r="C481" s="281" t="s">
        <v>20</v>
      </c>
      <c r="D481" s="281" t="s">
        <v>134</v>
      </c>
      <c r="E481" s="281" t="s">
        <v>133</v>
      </c>
      <c r="F481" s="280">
        <v>10</v>
      </c>
      <c r="G481" s="282">
        <v>45919</v>
      </c>
      <c r="H481" s="321">
        <v>45919</v>
      </c>
      <c r="I481" s="264" t="s">
        <v>2427</v>
      </c>
      <c r="L481" s="252"/>
      <c r="U481" s="243" t="s">
        <v>2379</v>
      </c>
      <c r="BC481" s="243" t="s">
        <v>2427</v>
      </c>
      <c r="BD481" s="243" t="s">
        <v>2427</v>
      </c>
      <c r="BE481" s="243" t="s">
        <v>2427</v>
      </c>
      <c r="BF481" s="243" t="s">
        <v>2427</v>
      </c>
      <c r="BG481" s="243" t="s">
        <v>2427</v>
      </c>
    </row>
    <row r="482" spans="1:59">
      <c r="A482" s="261"/>
      <c r="B482" s="261"/>
      <c r="C482" s="262"/>
      <c r="D482" s="262" t="s">
        <v>2380</v>
      </c>
      <c r="E482" s="262" t="s">
        <v>1449</v>
      </c>
      <c r="F482" s="261">
        <v>10</v>
      </c>
      <c r="G482" s="263"/>
      <c r="H482" s="261"/>
      <c r="I482" s="264" t="s">
        <v>2151</v>
      </c>
      <c r="L482" s="252" t="s">
        <v>2248</v>
      </c>
    </row>
    <row r="483" spans="1:59">
      <c r="A483" s="261"/>
      <c r="B483" s="261"/>
      <c r="C483" s="262"/>
      <c r="D483" s="262" t="s">
        <v>1447</v>
      </c>
      <c r="E483" s="262" t="s">
        <v>1448</v>
      </c>
      <c r="F483" s="261">
        <v>1</v>
      </c>
      <c r="G483" s="263"/>
      <c r="H483" s="261"/>
      <c r="I483" s="264" t="s">
        <v>2151</v>
      </c>
      <c r="L483" s="252"/>
    </row>
    <row r="484" spans="1:59">
      <c r="A484" s="261"/>
      <c r="B484" s="261"/>
      <c r="C484" s="262"/>
      <c r="D484" s="288" t="s">
        <v>2275</v>
      </c>
      <c r="E484" s="262" t="s">
        <v>2276</v>
      </c>
      <c r="F484" s="261">
        <v>10</v>
      </c>
      <c r="G484" s="263"/>
      <c r="H484" s="261"/>
      <c r="I484" s="264" t="s">
        <v>2151</v>
      </c>
      <c r="L484" s="252"/>
    </row>
    <row r="485" spans="1:59">
      <c r="A485" s="261"/>
      <c r="B485" s="261"/>
      <c r="C485" s="262"/>
      <c r="D485" s="288" t="s">
        <v>2273</v>
      </c>
      <c r="E485" s="262" t="s">
        <v>2274</v>
      </c>
      <c r="F485" s="261">
        <v>10</v>
      </c>
      <c r="G485" s="263"/>
      <c r="H485" s="261"/>
      <c r="I485" s="264" t="s">
        <v>2151</v>
      </c>
      <c r="L485" s="252"/>
    </row>
    <row r="486" spans="1:59">
      <c r="A486" s="261"/>
      <c r="B486" s="261"/>
      <c r="C486" s="262"/>
      <c r="D486" s="262" t="s">
        <v>1331</v>
      </c>
      <c r="E486" s="262" t="s">
        <v>1450</v>
      </c>
      <c r="F486" s="261">
        <v>1</v>
      </c>
      <c r="G486" s="263"/>
      <c r="H486" s="261"/>
      <c r="I486" s="264" t="s">
        <v>2151</v>
      </c>
      <c r="L486" s="252"/>
    </row>
    <row r="487" spans="1:59">
      <c r="A487" s="261"/>
      <c r="B487" s="261"/>
      <c r="C487" s="262"/>
      <c r="D487" s="262" t="s">
        <v>1152</v>
      </c>
      <c r="E487" s="262" t="s">
        <v>1451</v>
      </c>
      <c r="F487" s="261">
        <v>1</v>
      </c>
      <c r="G487" s="263"/>
      <c r="H487" s="261"/>
      <c r="I487" s="264" t="s">
        <v>2151</v>
      </c>
      <c r="L487" s="252"/>
    </row>
    <row r="488" spans="1:59">
      <c r="A488" s="261"/>
      <c r="B488" s="261"/>
      <c r="C488" s="262"/>
      <c r="D488" s="262" t="s">
        <v>2277</v>
      </c>
      <c r="E488" s="262" t="s">
        <v>1448</v>
      </c>
      <c r="F488" s="261">
        <v>10</v>
      </c>
      <c r="G488" s="263"/>
      <c r="H488" s="261"/>
      <c r="I488" s="264" t="s">
        <v>2151</v>
      </c>
      <c r="L488" s="252"/>
    </row>
    <row r="489" spans="1:59">
      <c r="A489" s="280">
        <v>71851</v>
      </c>
      <c r="B489" s="280" t="s">
        <v>135</v>
      </c>
      <c r="C489" s="281" t="s">
        <v>20</v>
      </c>
      <c r="D489" s="281" t="s">
        <v>137</v>
      </c>
      <c r="E489" s="281" t="s">
        <v>136</v>
      </c>
      <c r="F489" s="280">
        <v>2</v>
      </c>
      <c r="G489" s="282">
        <v>45919</v>
      </c>
      <c r="H489" s="280"/>
      <c r="I489" s="264"/>
      <c r="L489" s="252"/>
    </row>
    <row r="490" spans="1:59">
      <c r="A490" s="261"/>
      <c r="B490" s="261"/>
      <c r="C490" s="262"/>
      <c r="D490" s="262" t="s">
        <v>1455</v>
      </c>
      <c r="E490" s="262" t="s">
        <v>1473</v>
      </c>
      <c r="F490" s="261">
        <v>4</v>
      </c>
      <c r="G490" s="263"/>
      <c r="H490" s="261"/>
      <c r="I490" s="264" t="s">
        <v>2151</v>
      </c>
      <c r="L490" s="252"/>
    </row>
    <row r="491" spans="1:59">
      <c r="A491" s="239"/>
      <c r="B491" s="239"/>
      <c r="C491" s="264"/>
      <c r="D491" s="264" t="s">
        <v>1461</v>
      </c>
      <c r="E491" s="264" t="s">
        <v>1475</v>
      </c>
      <c r="F491" s="239">
        <v>1</v>
      </c>
      <c r="G491" s="265"/>
      <c r="H491" s="239"/>
      <c r="I491" s="264" t="s">
        <v>2248</v>
      </c>
      <c r="J491" s="243" t="s">
        <v>2248</v>
      </c>
      <c r="L491" s="252"/>
    </row>
    <row r="492" spans="1:59">
      <c r="A492" s="239"/>
      <c r="B492" s="239"/>
      <c r="C492" s="264"/>
      <c r="D492" s="264" t="s">
        <v>1462</v>
      </c>
      <c r="E492" s="264" t="s">
        <v>1476</v>
      </c>
      <c r="F492" s="239">
        <v>1</v>
      </c>
      <c r="G492" s="265"/>
      <c r="H492" s="239"/>
      <c r="I492" s="264"/>
      <c r="L492" s="252"/>
    </row>
    <row r="493" spans="1:59">
      <c r="A493" s="239"/>
      <c r="B493" s="239"/>
      <c r="C493" s="264"/>
      <c r="D493" s="264" t="s">
        <v>1463</v>
      </c>
      <c r="E493" s="264" t="s">
        <v>540</v>
      </c>
      <c r="F493" s="239">
        <v>1</v>
      </c>
      <c r="G493" s="265"/>
      <c r="H493" s="239"/>
      <c r="I493" s="264"/>
      <c r="L493" s="252"/>
    </row>
    <row r="494" spans="1:59">
      <c r="A494" s="239"/>
      <c r="B494" s="239"/>
      <c r="C494" s="264"/>
      <c r="D494" s="264" t="s">
        <v>1464</v>
      </c>
      <c r="E494" s="264" t="s">
        <v>539</v>
      </c>
      <c r="F494" s="239">
        <v>1</v>
      </c>
      <c r="G494" s="265"/>
      <c r="H494" s="239"/>
      <c r="I494" s="264" t="s">
        <v>2252</v>
      </c>
      <c r="L494" s="252"/>
      <c r="X494" s="243" t="s">
        <v>2252</v>
      </c>
    </row>
    <row r="495" spans="1:59">
      <c r="A495" s="239"/>
      <c r="B495" s="239"/>
      <c r="C495" s="264"/>
      <c r="D495" s="264" t="s">
        <v>1465</v>
      </c>
      <c r="E495" s="264" t="s">
        <v>1477</v>
      </c>
      <c r="F495" s="239">
        <v>1</v>
      </c>
      <c r="G495" s="265"/>
      <c r="H495" s="239"/>
      <c r="I495" s="264" t="s">
        <v>2248</v>
      </c>
      <c r="L495" s="252"/>
      <c r="O495" s="243" t="s">
        <v>2248</v>
      </c>
    </row>
    <row r="496" spans="1:59">
      <c r="A496" s="239"/>
      <c r="B496" s="239"/>
      <c r="C496" s="264"/>
      <c r="D496" s="264" t="s">
        <v>1466</v>
      </c>
      <c r="E496" s="264" t="s">
        <v>541</v>
      </c>
      <c r="F496" s="239">
        <v>1</v>
      </c>
      <c r="G496" s="265"/>
      <c r="H496" s="239"/>
      <c r="I496" s="264" t="s">
        <v>2331</v>
      </c>
      <c r="L496" s="252"/>
      <c r="AJ496" s="243" t="s">
        <v>2331</v>
      </c>
    </row>
    <row r="497" spans="1:76" ht="42">
      <c r="A497" s="239"/>
      <c r="B497" s="239"/>
      <c r="C497" s="264"/>
      <c r="D497" s="287" t="s">
        <v>1452</v>
      </c>
      <c r="E497" s="284" t="s">
        <v>594</v>
      </c>
      <c r="F497" s="285">
        <v>1</v>
      </c>
      <c r="G497" s="286"/>
      <c r="H497" s="285" t="s">
        <v>2896</v>
      </c>
      <c r="I497" s="264" t="s">
        <v>2225</v>
      </c>
      <c r="L497" s="252"/>
    </row>
    <row r="498" spans="1:76" ht="90">
      <c r="A498" s="239"/>
      <c r="B498" s="239"/>
      <c r="C498" s="264"/>
      <c r="D498" s="283" t="s">
        <v>1152</v>
      </c>
      <c r="E498" s="264" t="s">
        <v>558</v>
      </c>
      <c r="F498" s="239">
        <v>2</v>
      </c>
      <c r="G498" s="265"/>
      <c r="H498" s="239"/>
      <c r="I498" s="264" t="s">
        <v>2412</v>
      </c>
      <c r="J498" s="243" t="s">
        <v>2187</v>
      </c>
      <c r="L498" s="252"/>
      <c r="AQ498" s="243" t="s">
        <v>2340</v>
      </c>
      <c r="AR498" s="243" t="s">
        <v>2331</v>
      </c>
      <c r="AS498" s="243" t="s">
        <v>2331</v>
      </c>
      <c r="AT498" s="243" t="s">
        <v>2579</v>
      </c>
      <c r="AU498" s="243" t="s">
        <v>2579</v>
      </c>
      <c r="AV498" s="243" t="s">
        <v>2389</v>
      </c>
      <c r="AW498" s="243" t="s">
        <v>2225</v>
      </c>
      <c r="AX498" s="243" t="s">
        <v>2225</v>
      </c>
      <c r="BO498" s="246" t="s">
        <v>2580</v>
      </c>
      <c r="BP498" s="246" t="s">
        <v>2580</v>
      </c>
      <c r="BQ498" s="246" t="s">
        <v>2580</v>
      </c>
      <c r="BR498" s="246" t="s">
        <v>2580</v>
      </c>
      <c r="BS498" s="246" t="s">
        <v>2580</v>
      </c>
      <c r="BT498" s="246" t="s">
        <v>2580</v>
      </c>
      <c r="BU498" s="246" t="s">
        <v>2580</v>
      </c>
      <c r="BV498" s="243" t="s">
        <v>2196</v>
      </c>
      <c r="BW498" s="243" t="s">
        <v>2427</v>
      </c>
      <c r="BX498" s="243" t="s">
        <v>2427</v>
      </c>
    </row>
    <row r="499" spans="1:76">
      <c r="A499" s="261"/>
      <c r="B499" s="261"/>
      <c r="C499" s="262"/>
      <c r="D499" s="288" t="s">
        <v>1478</v>
      </c>
      <c r="E499" s="262" t="s">
        <v>1490</v>
      </c>
      <c r="F499" s="261">
        <v>1</v>
      </c>
      <c r="G499" s="263"/>
      <c r="H499" s="261"/>
      <c r="I499" s="264" t="s">
        <v>2151</v>
      </c>
      <c r="L499" s="252"/>
    </row>
    <row r="500" spans="1:76">
      <c r="A500" s="261"/>
      <c r="B500" s="261"/>
      <c r="C500" s="262"/>
      <c r="D500" s="288" t="s">
        <v>1479</v>
      </c>
      <c r="E500" s="262" t="s">
        <v>573</v>
      </c>
      <c r="F500" s="261">
        <v>1</v>
      </c>
      <c r="G500" s="263"/>
      <c r="H500" s="261"/>
      <c r="I500" s="264" t="s">
        <v>2151</v>
      </c>
      <c r="J500" s="243" t="s">
        <v>2196</v>
      </c>
      <c r="L500" s="252"/>
    </row>
    <row r="501" spans="1:76">
      <c r="A501" s="261"/>
      <c r="B501" s="261"/>
      <c r="C501" s="262"/>
      <c r="D501" s="288" t="s">
        <v>1480</v>
      </c>
      <c r="E501" s="262" t="s">
        <v>551</v>
      </c>
      <c r="F501" s="261">
        <v>1</v>
      </c>
      <c r="G501" s="263"/>
      <c r="H501" s="261"/>
      <c r="I501" s="264" t="s">
        <v>2151</v>
      </c>
      <c r="J501" s="243" t="s">
        <v>2196</v>
      </c>
      <c r="L501" s="252"/>
      <c r="AM501" s="243" t="s">
        <v>2244</v>
      </c>
    </row>
    <row r="502" spans="1:76">
      <c r="A502" s="239"/>
      <c r="B502" s="239"/>
      <c r="C502" s="264"/>
      <c r="D502" s="304" t="s">
        <v>1481</v>
      </c>
      <c r="E502" s="298" t="s">
        <v>588</v>
      </c>
      <c r="F502" s="299">
        <v>1</v>
      </c>
      <c r="G502" s="300"/>
      <c r="H502" s="299"/>
      <c r="I502" s="264" t="s">
        <v>2151</v>
      </c>
      <c r="J502" s="243" t="s">
        <v>2196</v>
      </c>
      <c r="L502" s="252"/>
    </row>
    <row r="503" spans="1:76" ht="90">
      <c r="A503" s="239"/>
      <c r="B503" s="239"/>
      <c r="C503" s="264"/>
      <c r="D503" s="304" t="s">
        <v>1496</v>
      </c>
      <c r="E503" s="298" t="s">
        <v>1498</v>
      </c>
      <c r="F503" s="299">
        <v>1</v>
      </c>
      <c r="G503" s="300"/>
      <c r="H503" s="299" t="s">
        <v>2498</v>
      </c>
      <c r="I503" s="264" t="s">
        <v>2151</v>
      </c>
      <c r="L503" s="252"/>
      <c r="V503" s="244" t="s">
        <v>2406</v>
      </c>
      <c r="W503" s="244" t="s">
        <v>2406</v>
      </c>
      <c r="X503" s="244" t="s">
        <v>2406</v>
      </c>
      <c r="Y503" s="244" t="s">
        <v>2406</v>
      </c>
      <c r="Z503" s="244" t="s">
        <v>2406</v>
      </c>
      <c r="AA503" s="244" t="s">
        <v>2406</v>
      </c>
      <c r="AB503" s="244" t="s">
        <v>2406</v>
      </c>
      <c r="AC503" s="244" t="s">
        <v>2406</v>
      </c>
      <c r="AD503" s="244" t="s">
        <v>2406</v>
      </c>
      <c r="AE503" s="244" t="s">
        <v>2406</v>
      </c>
      <c r="AF503" s="244" t="s">
        <v>2406</v>
      </c>
      <c r="AG503" s="244" t="s">
        <v>2406</v>
      </c>
      <c r="AH503" s="244" t="s">
        <v>2406</v>
      </c>
      <c r="AI503" s="244" t="s">
        <v>2406</v>
      </c>
      <c r="AJ503" s="244" t="s">
        <v>2406</v>
      </c>
      <c r="AK503" s="244" t="s">
        <v>2406</v>
      </c>
      <c r="AL503" s="244" t="s">
        <v>2406</v>
      </c>
      <c r="AM503" s="244" t="s">
        <v>2406</v>
      </c>
      <c r="AN503" s="244" t="s">
        <v>2406</v>
      </c>
      <c r="AO503" s="244" t="s">
        <v>2406</v>
      </c>
      <c r="AP503" s="244" t="s">
        <v>2406</v>
      </c>
      <c r="AQ503" s="243" t="s">
        <v>2196</v>
      </c>
      <c r="AR503" s="243" t="s">
        <v>2340</v>
      </c>
      <c r="AS503" s="243" t="s">
        <v>2340</v>
      </c>
      <c r="AT503" s="243" t="s">
        <v>2417</v>
      </c>
      <c r="AU503" s="243" t="s">
        <v>2417</v>
      </c>
      <c r="AV503" s="243" t="s">
        <v>2182</v>
      </c>
      <c r="AW503" s="243" t="s">
        <v>2182</v>
      </c>
      <c r="AX503" s="243" t="s">
        <v>2225</v>
      </c>
      <c r="AY503" s="243" t="s">
        <v>2225</v>
      </c>
      <c r="AZ503" s="246" t="s">
        <v>2499</v>
      </c>
      <c r="BA503" s="246" t="s">
        <v>2499</v>
      </c>
      <c r="BB503" s="246" t="s">
        <v>2499</v>
      </c>
      <c r="BC503" s="246" t="s">
        <v>2499</v>
      </c>
      <c r="BD503" s="246" t="s">
        <v>2499</v>
      </c>
      <c r="BE503" s="246" t="s">
        <v>2499</v>
      </c>
      <c r="BF503" s="246" t="s">
        <v>2499</v>
      </c>
      <c r="BG503" s="243" t="s">
        <v>2196</v>
      </c>
      <c r="BH503" s="243" t="s">
        <v>2225</v>
      </c>
      <c r="BI503" s="243" t="s">
        <v>2225</v>
      </c>
    </row>
    <row r="504" spans="1:76">
      <c r="A504" s="239"/>
      <c r="B504" s="239"/>
      <c r="C504" s="264"/>
      <c r="D504" s="304" t="s">
        <v>1497</v>
      </c>
      <c r="E504" s="298" t="s">
        <v>1499</v>
      </c>
      <c r="F504" s="299">
        <v>1</v>
      </c>
      <c r="G504" s="300"/>
      <c r="H504" s="299"/>
      <c r="I504" s="264" t="s">
        <v>2151</v>
      </c>
      <c r="L504" s="252"/>
    </row>
    <row r="505" spans="1:76">
      <c r="A505" s="261"/>
      <c r="B505" s="261"/>
      <c r="C505" s="262"/>
      <c r="D505" s="288" t="s">
        <v>1482</v>
      </c>
      <c r="E505" s="262" t="s">
        <v>1491</v>
      </c>
      <c r="F505" s="261">
        <v>1</v>
      </c>
      <c r="G505" s="263"/>
      <c r="H505" s="261"/>
      <c r="I505" s="264" t="s">
        <v>2151</v>
      </c>
      <c r="L505" s="252" t="s">
        <v>2248</v>
      </c>
    </row>
    <row r="506" spans="1:76">
      <c r="A506" s="261"/>
      <c r="B506" s="261"/>
      <c r="C506" s="262"/>
      <c r="D506" s="288" t="s">
        <v>1244</v>
      </c>
      <c r="E506" s="262" t="s">
        <v>1492</v>
      </c>
      <c r="F506" s="261">
        <v>1</v>
      </c>
      <c r="G506" s="263"/>
      <c r="H506" s="261"/>
      <c r="I506" s="264" t="s">
        <v>2151</v>
      </c>
      <c r="L506" s="252"/>
    </row>
    <row r="507" spans="1:76">
      <c r="A507" s="261"/>
      <c r="B507" s="261"/>
      <c r="C507" s="262"/>
      <c r="D507" s="288" t="s">
        <v>1483</v>
      </c>
      <c r="E507" s="262" t="s">
        <v>1493</v>
      </c>
      <c r="F507" s="261">
        <v>1</v>
      </c>
      <c r="G507" s="263"/>
      <c r="H507" s="261"/>
      <c r="I507" s="264" t="s">
        <v>2151</v>
      </c>
      <c r="L507" s="252"/>
    </row>
    <row r="508" spans="1:76">
      <c r="A508" s="261"/>
      <c r="B508" s="261"/>
      <c r="C508" s="262"/>
      <c r="D508" s="288" t="s">
        <v>1484</v>
      </c>
      <c r="E508" s="262" t="s">
        <v>546</v>
      </c>
      <c r="F508" s="261">
        <v>2</v>
      </c>
      <c r="G508" s="263"/>
      <c r="H508" s="261"/>
      <c r="I508" s="264" t="s">
        <v>2151</v>
      </c>
      <c r="L508" s="252"/>
      <c r="AI508" s="243" t="s">
        <v>2244</v>
      </c>
    </row>
    <row r="509" spans="1:76" ht="42">
      <c r="A509" s="261"/>
      <c r="B509" s="261"/>
      <c r="C509" s="262"/>
      <c r="D509" s="288" t="s">
        <v>1485</v>
      </c>
      <c r="E509" s="262" t="s">
        <v>1494</v>
      </c>
      <c r="F509" s="261">
        <v>1</v>
      </c>
      <c r="G509" s="263"/>
      <c r="H509" s="261"/>
      <c r="I509" s="264" t="s">
        <v>2151</v>
      </c>
      <c r="L509" s="252"/>
    </row>
    <row r="510" spans="1:76">
      <c r="A510" s="261"/>
      <c r="B510" s="261"/>
      <c r="C510" s="262"/>
      <c r="D510" s="288" t="s">
        <v>1486</v>
      </c>
      <c r="E510" s="262" t="s">
        <v>543</v>
      </c>
      <c r="F510" s="261">
        <v>1</v>
      </c>
      <c r="G510" s="263"/>
      <c r="H510" s="261"/>
      <c r="I510" s="264" t="s">
        <v>2151</v>
      </c>
      <c r="L510" s="252"/>
      <c r="AK510" s="243" t="s">
        <v>2244</v>
      </c>
    </row>
    <row r="511" spans="1:76">
      <c r="A511" s="261"/>
      <c r="B511" s="261"/>
      <c r="C511" s="262"/>
      <c r="D511" s="288" t="s">
        <v>1487</v>
      </c>
      <c r="E511" s="262" t="s">
        <v>535</v>
      </c>
      <c r="F511" s="261">
        <v>1</v>
      </c>
      <c r="G511" s="263"/>
      <c r="H511" s="261"/>
      <c r="I511" s="264" t="s">
        <v>2151</v>
      </c>
      <c r="L511" s="252"/>
      <c r="X511" s="243" t="s">
        <v>2248</v>
      </c>
    </row>
    <row r="512" spans="1:76">
      <c r="A512" s="261"/>
      <c r="B512" s="261"/>
      <c r="C512" s="262"/>
      <c r="D512" s="288" t="s">
        <v>1488</v>
      </c>
      <c r="E512" s="262" t="s">
        <v>1495</v>
      </c>
      <c r="F512" s="261">
        <v>1</v>
      </c>
      <c r="G512" s="263"/>
      <c r="H512" s="261"/>
      <c r="I512" s="264" t="s">
        <v>2151</v>
      </c>
      <c r="L512" s="252"/>
    </row>
    <row r="513" spans="1:62">
      <c r="A513" s="261"/>
      <c r="B513" s="261"/>
      <c r="C513" s="262"/>
      <c r="D513" s="288" t="s">
        <v>1489</v>
      </c>
      <c r="E513" s="262" t="s">
        <v>549</v>
      </c>
      <c r="F513" s="261">
        <v>1</v>
      </c>
      <c r="G513" s="263"/>
      <c r="H513" s="261"/>
      <c r="I513" s="264" t="s">
        <v>2151</v>
      </c>
      <c r="L513" s="252"/>
    </row>
    <row r="514" spans="1:62">
      <c r="A514" s="239"/>
      <c r="B514" s="239"/>
      <c r="C514" s="264"/>
      <c r="D514" s="284" t="s">
        <v>1453</v>
      </c>
      <c r="E514" s="284" t="s">
        <v>595</v>
      </c>
      <c r="F514" s="285">
        <v>1</v>
      </c>
      <c r="G514" s="286"/>
      <c r="H514" s="285"/>
      <c r="I514" s="264" t="s">
        <v>2186</v>
      </c>
      <c r="L514" s="252"/>
    </row>
    <row r="515" spans="1:62">
      <c r="A515" s="239"/>
      <c r="B515" s="239"/>
      <c r="C515" s="264"/>
      <c r="D515" s="264" t="s">
        <v>1500</v>
      </c>
      <c r="E515" s="264" t="s">
        <v>1509</v>
      </c>
      <c r="F515" s="239">
        <v>1</v>
      </c>
      <c r="G515" s="265"/>
      <c r="H515" s="239"/>
      <c r="I515" s="264" t="s">
        <v>2389</v>
      </c>
      <c r="J515" s="243" t="s">
        <v>2329</v>
      </c>
      <c r="L515" s="252"/>
      <c r="BB515" s="243" t="s">
        <v>2389</v>
      </c>
      <c r="BI515" s="243" t="s">
        <v>2427</v>
      </c>
      <c r="BJ515" s="243" t="s">
        <v>2427</v>
      </c>
    </row>
    <row r="516" spans="1:62">
      <c r="A516" s="261"/>
      <c r="B516" s="261"/>
      <c r="C516" s="262"/>
      <c r="D516" s="262" t="s">
        <v>1501</v>
      </c>
      <c r="E516" s="262" t="s">
        <v>1510</v>
      </c>
      <c r="F516" s="261">
        <v>1</v>
      </c>
      <c r="G516" s="263"/>
      <c r="H516" s="261"/>
      <c r="I516" s="264" t="s">
        <v>2151</v>
      </c>
      <c r="L516" s="252"/>
    </row>
    <row r="517" spans="1:62">
      <c r="A517" s="261"/>
      <c r="B517" s="261"/>
      <c r="C517" s="262"/>
      <c r="D517" s="262" t="s">
        <v>1455</v>
      </c>
      <c r="E517" s="262" t="s">
        <v>1511</v>
      </c>
      <c r="F517" s="261">
        <v>1</v>
      </c>
      <c r="G517" s="263"/>
      <c r="H517" s="261"/>
      <c r="I517" s="264" t="s">
        <v>2151</v>
      </c>
      <c r="L517" s="252"/>
    </row>
    <row r="518" spans="1:62">
      <c r="A518" s="239"/>
      <c r="B518" s="239"/>
      <c r="C518" s="264"/>
      <c r="D518" s="264" t="s">
        <v>1502</v>
      </c>
      <c r="E518" s="264" t="s">
        <v>542</v>
      </c>
      <c r="F518" s="239">
        <v>1</v>
      </c>
      <c r="G518" s="265"/>
      <c r="H518" s="239"/>
      <c r="I518" s="264" t="s">
        <v>2338</v>
      </c>
      <c r="L518" s="252"/>
      <c r="AF518" s="243" t="s">
        <v>2338</v>
      </c>
    </row>
    <row r="519" spans="1:62" ht="180">
      <c r="A519" s="239"/>
      <c r="B519" s="239"/>
      <c r="C519" s="264"/>
      <c r="D519" s="264" t="s">
        <v>1503</v>
      </c>
      <c r="E519" s="264" t="s">
        <v>2175</v>
      </c>
      <c r="F519" s="239">
        <v>1</v>
      </c>
      <c r="G519" s="265"/>
      <c r="H519" s="239"/>
      <c r="I519" s="305" t="s">
        <v>2176</v>
      </c>
      <c r="L519" s="252"/>
      <c r="AH519" s="244" t="s">
        <v>2176</v>
      </c>
    </row>
    <row r="520" spans="1:62">
      <c r="A520" s="261"/>
      <c r="B520" s="261"/>
      <c r="C520" s="262"/>
      <c r="D520" s="262" t="s">
        <v>1504</v>
      </c>
      <c r="E520" s="262" t="s">
        <v>596</v>
      </c>
      <c r="F520" s="261">
        <v>3</v>
      </c>
      <c r="G520" s="263"/>
      <c r="H520" s="261"/>
      <c r="I520" s="264" t="s">
        <v>2151</v>
      </c>
      <c r="L520" s="252"/>
    </row>
    <row r="521" spans="1:62">
      <c r="A521" s="261"/>
      <c r="B521" s="261"/>
      <c r="C521" s="262"/>
      <c r="D521" s="262" t="s">
        <v>1505</v>
      </c>
      <c r="E521" s="262" t="s">
        <v>1513</v>
      </c>
      <c r="F521" s="261">
        <v>5</v>
      </c>
      <c r="G521" s="263"/>
      <c r="H521" s="261"/>
      <c r="I521" s="264" t="s">
        <v>2151</v>
      </c>
      <c r="L521" s="252"/>
    </row>
    <row r="522" spans="1:62" ht="42">
      <c r="A522" s="239"/>
      <c r="B522" s="239"/>
      <c r="C522" s="264"/>
      <c r="D522" s="283" t="s">
        <v>1506</v>
      </c>
      <c r="E522" s="264" t="s">
        <v>547</v>
      </c>
      <c r="F522" s="239">
        <v>2</v>
      </c>
      <c r="G522" s="265"/>
      <c r="H522" s="239"/>
      <c r="I522" s="264"/>
      <c r="L522" s="252"/>
    </row>
    <row r="523" spans="1:62" ht="42">
      <c r="A523" s="261"/>
      <c r="B523" s="261"/>
      <c r="C523" s="262"/>
      <c r="D523" s="288" t="s">
        <v>1507</v>
      </c>
      <c r="E523" s="262" t="s">
        <v>548</v>
      </c>
      <c r="F523" s="261">
        <v>3</v>
      </c>
      <c r="G523" s="263"/>
      <c r="H523" s="261"/>
      <c r="I523" s="264" t="s">
        <v>2151</v>
      </c>
      <c r="L523" s="252"/>
      <c r="AI523" s="243" t="s">
        <v>2244</v>
      </c>
    </row>
    <row r="524" spans="1:62">
      <c r="A524" s="261"/>
      <c r="B524" s="261"/>
      <c r="C524" s="262"/>
      <c r="D524" s="262" t="s">
        <v>1508</v>
      </c>
      <c r="E524" s="262" t="s">
        <v>1514</v>
      </c>
      <c r="F524" s="261">
        <v>3</v>
      </c>
      <c r="G524" s="263"/>
      <c r="H524" s="261"/>
      <c r="I524" s="264" t="s">
        <v>2151</v>
      </c>
      <c r="L524" s="252"/>
    </row>
    <row r="525" spans="1:62">
      <c r="A525" s="239"/>
      <c r="B525" s="239"/>
      <c r="C525" s="264"/>
      <c r="D525" s="284" t="s">
        <v>1454</v>
      </c>
      <c r="E525" s="284" t="s">
        <v>593</v>
      </c>
      <c r="F525" s="285">
        <v>1</v>
      </c>
      <c r="G525" s="286"/>
      <c r="H525" s="285"/>
      <c r="I525" s="264"/>
      <c r="L525" s="252"/>
    </row>
    <row r="526" spans="1:62">
      <c r="A526" s="239"/>
      <c r="B526" s="239"/>
      <c r="C526" s="264"/>
      <c r="D526" s="264" t="s">
        <v>1152</v>
      </c>
      <c r="E526" s="264" t="s">
        <v>1519</v>
      </c>
      <c r="F526" s="239">
        <v>1</v>
      </c>
      <c r="G526" s="265"/>
      <c r="H526" s="239"/>
      <c r="I526" s="264"/>
      <c r="L526" s="252"/>
    </row>
    <row r="527" spans="1:62">
      <c r="A527" s="239"/>
      <c r="B527" s="239"/>
      <c r="C527" s="264"/>
      <c r="D527" s="264" t="s">
        <v>1515</v>
      </c>
      <c r="E527" s="264" t="s">
        <v>1520</v>
      </c>
      <c r="F527" s="239">
        <v>1</v>
      </c>
      <c r="G527" s="265"/>
      <c r="H527" s="239"/>
      <c r="I527" s="264"/>
      <c r="L527" s="252"/>
    </row>
    <row r="528" spans="1:62">
      <c r="A528" s="239"/>
      <c r="B528" s="239"/>
      <c r="C528" s="264"/>
      <c r="D528" s="264" t="s">
        <v>1516</v>
      </c>
      <c r="E528" s="264" t="s">
        <v>1521</v>
      </c>
      <c r="F528" s="239">
        <v>1</v>
      </c>
      <c r="G528" s="265"/>
      <c r="H528" s="239"/>
      <c r="I528" s="264"/>
      <c r="L528" s="252"/>
    </row>
    <row r="529" spans="1:49">
      <c r="A529" s="239"/>
      <c r="B529" s="239"/>
      <c r="C529" s="264"/>
      <c r="D529" s="264" t="s">
        <v>1517</v>
      </c>
      <c r="E529" s="264" t="s">
        <v>1522</v>
      </c>
      <c r="F529" s="239">
        <v>1</v>
      </c>
      <c r="G529" s="265"/>
      <c r="H529" s="239"/>
      <c r="I529" s="264" t="s">
        <v>2248</v>
      </c>
      <c r="L529" s="252"/>
      <c r="S529" s="243" t="s">
        <v>2248</v>
      </c>
    </row>
    <row r="530" spans="1:49">
      <c r="A530" s="239"/>
      <c r="B530" s="239"/>
      <c r="C530" s="264"/>
      <c r="D530" s="264" t="s">
        <v>1152</v>
      </c>
      <c r="E530" s="264" t="s">
        <v>2377</v>
      </c>
      <c r="F530" s="239">
        <v>2</v>
      </c>
      <c r="G530" s="265"/>
      <c r="H530" s="239"/>
      <c r="I530" s="264" t="s">
        <v>2378</v>
      </c>
      <c r="L530" s="252"/>
      <c r="AH530" s="243" t="s">
        <v>2378</v>
      </c>
    </row>
    <row r="531" spans="1:49">
      <c r="A531" s="261"/>
      <c r="B531" s="261"/>
      <c r="C531" s="262"/>
      <c r="D531" s="262" t="s">
        <v>1518</v>
      </c>
      <c r="E531" s="262" t="s">
        <v>1523</v>
      </c>
      <c r="F531" s="261">
        <v>1</v>
      </c>
      <c r="G531" s="263"/>
      <c r="H531" s="261"/>
      <c r="I531" s="264" t="s">
        <v>2151</v>
      </c>
      <c r="L531" s="252"/>
    </row>
    <row r="532" spans="1:49">
      <c r="A532" s="239"/>
      <c r="B532" s="239"/>
      <c r="C532" s="264"/>
      <c r="D532" s="284" t="s">
        <v>1456</v>
      </c>
      <c r="E532" s="284" t="s">
        <v>533</v>
      </c>
      <c r="F532" s="285">
        <v>1</v>
      </c>
      <c r="G532" s="286"/>
      <c r="H532" s="285"/>
      <c r="I532" s="264" t="s">
        <v>2339</v>
      </c>
      <c r="J532" s="243" t="s">
        <v>2339</v>
      </c>
      <c r="L532" s="252"/>
    </row>
    <row r="533" spans="1:49">
      <c r="A533" s="239"/>
      <c r="B533" s="239"/>
      <c r="C533" s="264"/>
      <c r="D533" s="284" t="s">
        <v>1457</v>
      </c>
      <c r="E533" s="284" t="s">
        <v>587</v>
      </c>
      <c r="F533" s="285">
        <v>1</v>
      </c>
      <c r="G533" s="286"/>
      <c r="H533" s="285"/>
      <c r="I533" s="264" t="s">
        <v>2205</v>
      </c>
      <c r="L533" s="252"/>
    </row>
    <row r="534" spans="1:49">
      <c r="A534" s="239"/>
      <c r="B534" s="239"/>
      <c r="C534" s="264"/>
      <c r="D534" s="264" t="s">
        <v>1524</v>
      </c>
      <c r="E534" s="264" t="s">
        <v>529</v>
      </c>
      <c r="F534" s="239">
        <v>1</v>
      </c>
      <c r="G534" s="265"/>
      <c r="H534" s="239"/>
      <c r="I534" s="264" t="s">
        <v>2248</v>
      </c>
      <c r="L534" s="252"/>
      <c r="X534" s="243" t="s">
        <v>2248</v>
      </c>
    </row>
    <row r="535" spans="1:49">
      <c r="A535" s="261"/>
      <c r="B535" s="261"/>
      <c r="C535" s="262"/>
      <c r="D535" s="262" t="s">
        <v>1525</v>
      </c>
      <c r="E535" s="262" t="s">
        <v>1528</v>
      </c>
      <c r="F535" s="261">
        <v>1</v>
      </c>
      <c r="G535" s="263"/>
      <c r="H535" s="261"/>
      <c r="I535" s="264" t="s">
        <v>2151</v>
      </c>
      <c r="L535" s="252"/>
    </row>
    <row r="536" spans="1:49">
      <c r="A536" s="261"/>
      <c r="B536" s="261"/>
      <c r="C536" s="262"/>
      <c r="D536" s="262" t="s">
        <v>1526</v>
      </c>
      <c r="E536" s="262" t="s">
        <v>1529</v>
      </c>
      <c r="F536" s="261">
        <v>2</v>
      </c>
      <c r="G536" s="263"/>
      <c r="H536" s="261"/>
      <c r="I536" s="264" t="s">
        <v>2151</v>
      </c>
      <c r="L536" s="252"/>
    </row>
    <row r="537" spans="1:49">
      <c r="A537" s="261"/>
      <c r="B537" s="261"/>
      <c r="C537" s="262"/>
      <c r="D537" s="262" t="s">
        <v>1527</v>
      </c>
      <c r="E537" s="262" t="s">
        <v>1530</v>
      </c>
      <c r="F537" s="261">
        <v>1</v>
      </c>
      <c r="G537" s="263"/>
      <c r="H537" s="261"/>
      <c r="I537" s="264" t="s">
        <v>2151</v>
      </c>
      <c r="L537" s="252"/>
    </row>
    <row r="538" spans="1:49">
      <c r="A538" s="239"/>
      <c r="B538" s="239"/>
      <c r="C538" s="264"/>
      <c r="D538" s="284" t="s">
        <v>1458</v>
      </c>
      <c r="E538" s="284" t="s">
        <v>273</v>
      </c>
      <c r="F538" s="285">
        <v>1</v>
      </c>
      <c r="G538" s="286"/>
      <c r="H538" s="285"/>
      <c r="I538" s="264" t="s">
        <v>2204</v>
      </c>
      <c r="J538" s="243" t="s">
        <v>2204</v>
      </c>
      <c r="L538" s="252"/>
    </row>
    <row r="539" spans="1:49">
      <c r="A539" s="239"/>
      <c r="B539" s="239"/>
      <c r="C539" s="264"/>
      <c r="D539" s="298" t="s">
        <v>1531</v>
      </c>
      <c r="E539" s="298" t="s">
        <v>531</v>
      </c>
      <c r="F539" s="299">
        <v>1</v>
      </c>
      <c r="G539" s="300"/>
      <c r="H539" s="299"/>
      <c r="I539" s="264" t="s">
        <v>2389</v>
      </c>
      <c r="L539" s="252"/>
      <c r="AO539" s="243" t="s">
        <v>2558</v>
      </c>
      <c r="AU539" s="243" t="s">
        <v>2389</v>
      </c>
      <c r="AV539" s="243" t="s">
        <v>2427</v>
      </c>
      <c r="AW539" s="243" t="s">
        <v>2427</v>
      </c>
    </row>
    <row r="540" spans="1:49">
      <c r="A540" s="239"/>
      <c r="B540" s="239"/>
      <c r="C540" s="264"/>
      <c r="D540" s="264" t="s">
        <v>1532</v>
      </c>
      <c r="E540" s="264" t="s">
        <v>2272</v>
      </c>
      <c r="F540" s="239">
        <v>1</v>
      </c>
      <c r="G540" s="265"/>
      <c r="H540" s="239"/>
      <c r="I540" s="264" t="s">
        <v>2389</v>
      </c>
      <c r="L540" s="252"/>
      <c r="AN540" s="243" t="s">
        <v>2389</v>
      </c>
    </row>
    <row r="541" spans="1:49">
      <c r="A541" s="261"/>
      <c r="B541" s="261"/>
      <c r="C541" s="262"/>
      <c r="D541" s="262" t="s">
        <v>1182</v>
      </c>
      <c r="E541" s="262" t="s">
        <v>1534</v>
      </c>
      <c r="F541" s="261">
        <v>1</v>
      </c>
      <c r="G541" s="263"/>
      <c r="H541" s="261"/>
      <c r="I541" s="264" t="s">
        <v>2151</v>
      </c>
      <c r="L541" s="252"/>
    </row>
    <row r="542" spans="1:49">
      <c r="A542" s="239"/>
      <c r="B542" s="239"/>
      <c r="C542" s="264"/>
      <c r="D542" s="264" t="s">
        <v>1505</v>
      </c>
      <c r="E542" s="264" t="s">
        <v>1535</v>
      </c>
      <c r="F542" s="239">
        <v>1</v>
      </c>
      <c r="G542" s="265"/>
      <c r="H542" s="239"/>
      <c r="I542" s="264"/>
      <c r="L542" s="252"/>
    </row>
    <row r="543" spans="1:49">
      <c r="A543" s="239"/>
      <c r="B543" s="239"/>
      <c r="C543" s="264"/>
      <c r="D543" s="284" t="s">
        <v>1459</v>
      </c>
      <c r="E543" s="284" t="s">
        <v>1474</v>
      </c>
      <c r="F543" s="285">
        <v>1</v>
      </c>
      <c r="G543" s="286"/>
      <c r="H543" s="285"/>
      <c r="I543" s="264" t="s">
        <v>2196</v>
      </c>
      <c r="J543" s="243" t="s">
        <v>2196</v>
      </c>
      <c r="L543" s="252"/>
    </row>
    <row r="544" spans="1:49" ht="42">
      <c r="A544" s="239"/>
      <c r="B544" s="239"/>
      <c r="C544" s="264"/>
      <c r="D544" s="304" t="s">
        <v>1536</v>
      </c>
      <c r="E544" s="298" t="s">
        <v>1538</v>
      </c>
      <c r="F544" s="299">
        <v>1</v>
      </c>
      <c r="G544" s="300"/>
      <c r="H544" s="299"/>
      <c r="I544" s="264" t="s">
        <v>2151</v>
      </c>
      <c r="L544" s="252"/>
    </row>
    <row r="545" spans="1:70">
      <c r="A545" s="261"/>
      <c r="B545" s="261"/>
      <c r="C545" s="262"/>
      <c r="D545" s="262" t="s">
        <v>1537</v>
      </c>
      <c r="E545" s="262" t="s">
        <v>1539</v>
      </c>
      <c r="F545" s="261">
        <v>1</v>
      </c>
      <c r="G545" s="263"/>
      <c r="H545" s="261"/>
      <c r="I545" s="264" t="s">
        <v>2151</v>
      </c>
      <c r="L545" s="252"/>
    </row>
    <row r="546" spans="1:70">
      <c r="A546" s="239"/>
      <c r="B546" s="239"/>
      <c r="C546" s="264"/>
      <c r="D546" s="284" t="s">
        <v>1460</v>
      </c>
      <c r="E546" s="284" t="s">
        <v>586</v>
      </c>
      <c r="F546" s="285">
        <v>1</v>
      </c>
      <c r="G546" s="286"/>
      <c r="H546" s="285"/>
      <c r="I546" s="264" t="s">
        <v>2204</v>
      </c>
      <c r="J546" s="243" t="s">
        <v>2204</v>
      </c>
      <c r="L546" s="252"/>
    </row>
    <row r="547" spans="1:70">
      <c r="A547" s="239"/>
      <c r="B547" s="239"/>
      <c r="C547" s="264"/>
      <c r="D547" s="264" t="s">
        <v>1540</v>
      </c>
      <c r="E547" s="264" t="s">
        <v>1545</v>
      </c>
      <c r="F547" s="239">
        <v>1</v>
      </c>
      <c r="G547" s="265"/>
      <c r="H547" s="239"/>
      <c r="I547" s="264" t="s">
        <v>2400</v>
      </c>
      <c r="L547" s="252"/>
      <c r="AG547" s="243" t="s">
        <v>2400</v>
      </c>
    </row>
    <row r="548" spans="1:70">
      <c r="A548" s="239"/>
      <c r="B548" s="239"/>
      <c r="C548" s="264"/>
      <c r="D548" s="264" t="s">
        <v>1541</v>
      </c>
      <c r="E548" s="264" t="s">
        <v>1546</v>
      </c>
      <c r="F548" s="239">
        <v>1</v>
      </c>
      <c r="G548" s="265"/>
      <c r="H548" s="239"/>
      <c r="I548" s="264" t="s">
        <v>2693</v>
      </c>
      <c r="L548" s="252"/>
      <c r="AG548" s="243" t="s">
        <v>2400</v>
      </c>
      <c r="BI548" s="243" t="s">
        <v>2693</v>
      </c>
      <c r="BJ548" s="243" t="s">
        <v>2389</v>
      </c>
      <c r="BK548" s="243" t="s">
        <v>2225</v>
      </c>
    </row>
    <row r="549" spans="1:70">
      <c r="A549" s="261"/>
      <c r="B549" s="261"/>
      <c r="C549" s="262"/>
      <c r="D549" s="262" t="s">
        <v>1542</v>
      </c>
      <c r="E549" s="262" t="s">
        <v>1547</v>
      </c>
      <c r="F549" s="261">
        <v>1</v>
      </c>
      <c r="G549" s="263"/>
      <c r="H549" s="261"/>
      <c r="I549" s="264" t="s">
        <v>2151</v>
      </c>
      <c r="L549" s="252"/>
    </row>
    <row r="550" spans="1:70">
      <c r="A550" s="239"/>
      <c r="B550" s="239"/>
      <c r="C550" s="264"/>
      <c r="D550" s="264" t="s">
        <v>1543</v>
      </c>
      <c r="E550" s="264" t="s">
        <v>1548</v>
      </c>
      <c r="F550" s="239">
        <v>4</v>
      </c>
      <c r="G550" s="265"/>
      <c r="H550" s="239"/>
      <c r="I550" s="264" t="s">
        <v>2248</v>
      </c>
      <c r="J550" s="243" t="s">
        <v>2248</v>
      </c>
      <c r="L550" s="252"/>
    </row>
    <row r="551" spans="1:70">
      <c r="A551" s="239"/>
      <c r="B551" s="239"/>
      <c r="C551" s="264"/>
      <c r="D551" s="264" t="s">
        <v>1544</v>
      </c>
      <c r="E551" s="264" t="s">
        <v>1549</v>
      </c>
      <c r="F551" s="239">
        <v>4</v>
      </c>
      <c r="G551" s="265"/>
      <c r="H551" s="239"/>
      <c r="I551" s="264" t="s">
        <v>2248</v>
      </c>
      <c r="J551" s="243" t="s">
        <v>2248</v>
      </c>
      <c r="L551" s="252"/>
    </row>
    <row r="552" spans="1:70">
      <c r="A552" s="239"/>
      <c r="B552" s="239"/>
      <c r="C552" s="264"/>
      <c r="D552" s="284" t="s">
        <v>1467</v>
      </c>
      <c r="E552" s="284" t="s">
        <v>576</v>
      </c>
      <c r="F552" s="285">
        <v>1</v>
      </c>
      <c r="G552" s="286"/>
      <c r="H552" s="285"/>
      <c r="I552" s="264" t="s">
        <v>2204</v>
      </c>
      <c r="J552" s="243" t="s">
        <v>2204</v>
      </c>
      <c r="L552" s="252"/>
    </row>
    <row r="553" spans="1:70">
      <c r="A553" s="239"/>
      <c r="B553" s="239"/>
      <c r="C553" s="264"/>
      <c r="D553" s="298" t="s">
        <v>1550</v>
      </c>
      <c r="E553" s="298" t="s">
        <v>589</v>
      </c>
      <c r="F553" s="299">
        <v>1</v>
      </c>
      <c r="G553" s="300"/>
      <c r="H553" s="299"/>
      <c r="I553" s="264" t="s">
        <v>2203</v>
      </c>
      <c r="L553" s="252"/>
    </row>
    <row r="554" spans="1:70">
      <c r="A554" s="239"/>
      <c r="B554" s="239"/>
      <c r="C554" s="264"/>
      <c r="D554" s="298" t="s">
        <v>1149</v>
      </c>
      <c r="E554" s="298" t="s">
        <v>590</v>
      </c>
      <c r="F554" s="299">
        <v>1</v>
      </c>
      <c r="G554" s="300"/>
      <c r="H554" s="299"/>
      <c r="I554" s="264" t="s">
        <v>2186</v>
      </c>
      <c r="L554" s="252"/>
    </row>
    <row r="555" spans="1:70">
      <c r="A555" s="239"/>
      <c r="B555" s="239"/>
      <c r="C555" s="264"/>
      <c r="D555" s="298" t="s">
        <v>1551</v>
      </c>
      <c r="E555" s="298" t="s">
        <v>550</v>
      </c>
      <c r="F555" s="299">
        <v>1</v>
      </c>
      <c r="G555" s="300"/>
      <c r="H555" s="299"/>
      <c r="I555" s="264" t="s">
        <v>2340</v>
      </c>
      <c r="L555" s="252"/>
      <c r="AK555" s="243" t="s">
        <v>2340</v>
      </c>
      <c r="AR555" s="243" t="s">
        <v>2182</v>
      </c>
      <c r="AS555" s="243" t="s">
        <v>2389</v>
      </c>
      <c r="AT555" s="243" t="s">
        <v>2225</v>
      </c>
      <c r="AU555" s="243" t="s">
        <v>2225</v>
      </c>
    </row>
    <row r="556" spans="1:70">
      <c r="A556" s="239"/>
      <c r="B556" s="239"/>
      <c r="C556" s="264"/>
      <c r="D556" s="284" t="s">
        <v>1468</v>
      </c>
      <c r="E556" s="284" t="s">
        <v>577</v>
      </c>
      <c r="F556" s="285">
        <v>1</v>
      </c>
      <c r="G556" s="286"/>
      <c r="H556" s="285"/>
      <c r="I556" s="264" t="s">
        <v>2204</v>
      </c>
      <c r="J556" s="243" t="s">
        <v>2204</v>
      </c>
      <c r="L556" s="252"/>
    </row>
    <row r="557" spans="1:70">
      <c r="A557" s="239"/>
      <c r="B557" s="239"/>
      <c r="C557" s="264"/>
      <c r="D557" s="298" t="s">
        <v>1552</v>
      </c>
      <c r="E557" s="298" t="s">
        <v>544</v>
      </c>
      <c r="F557" s="299">
        <v>1</v>
      </c>
      <c r="G557" s="300"/>
      <c r="H557" s="299"/>
      <c r="I557" s="264" t="s">
        <v>2244</v>
      </c>
      <c r="L557" s="252"/>
      <c r="AL557" s="243" t="s">
        <v>2244</v>
      </c>
    </row>
    <row r="558" spans="1:70">
      <c r="A558" s="239"/>
      <c r="B558" s="239"/>
      <c r="C558" s="264"/>
      <c r="D558" s="264" t="s">
        <v>1553</v>
      </c>
      <c r="E558" s="264" t="s">
        <v>1554</v>
      </c>
      <c r="F558" s="239">
        <v>1</v>
      </c>
      <c r="G558" s="265"/>
      <c r="H558" s="239"/>
      <c r="I558" s="264"/>
      <c r="L558" s="252"/>
    </row>
    <row r="559" spans="1:70">
      <c r="A559" s="239"/>
      <c r="B559" s="239"/>
      <c r="C559" s="264"/>
      <c r="D559" s="284" t="s">
        <v>1469</v>
      </c>
      <c r="E559" s="284" t="s">
        <v>575</v>
      </c>
      <c r="F559" s="285">
        <v>1</v>
      </c>
      <c r="G559" s="286"/>
      <c r="H559" s="285"/>
      <c r="I559" s="264"/>
      <c r="L559" s="252"/>
    </row>
    <row r="560" spans="1:70">
      <c r="A560" s="239"/>
      <c r="B560" s="239"/>
      <c r="C560" s="264"/>
      <c r="D560" s="298" t="s">
        <v>1555</v>
      </c>
      <c r="E560" s="298" t="s">
        <v>545</v>
      </c>
      <c r="F560" s="299">
        <v>2</v>
      </c>
      <c r="G560" s="300"/>
      <c r="H560" s="299"/>
      <c r="I560" s="264" t="s">
        <v>2738</v>
      </c>
      <c r="L560" s="252"/>
      <c r="AL560" s="243" t="s">
        <v>2244</v>
      </c>
      <c r="BE560" s="243" t="s">
        <v>2738</v>
      </c>
      <c r="BI560" s="243" t="s">
        <v>2389</v>
      </c>
      <c r="BJ560" s="243" t="s">
        <v>2225</v>
      </c>
      <c r="BK560" s="243" t="s">
        <v>2225</v>
      </c>
      <c r="BL560" s="243" t="s">
        <v>2417</v>
      </c>
      <c r="BM560" s="243" t="s">
        <v>2417</v>
      </c>
      <c r="BN560" s="243" t="s">
        <v>2417</v>
      </c>
      <c r="BO560" s="243" t="s">
        <v>2417</v>
      </c>
      <c r="BP560" s="243" t="s">
        <v>2389</v>
      </c>
      <c r="BQ560" s="243" t="s">
        <v>2427</v>
      </c>
      <c r="BR560" s="243" t="s">
        <v>2427</v>
      </c>
    </row>
    <row r="561" spans="1:105">
      <c r="A561" s="261"/>
      <c r="B561" s="261"/>
      <c r="C561" s="262"/>
      <c r="D561" s="262" t="s">
        <v>1556</v>
      </c>
      <c r="E561" s="262" t="s">
        <v>1557</v>
      </c>
      <c r="F561" s="261">
        <v>1</v>
      </c>
      <c r="G561" s="263"/>
      <c r="H561" s="261"/>
      <c r="I561" s="264" t="s">
        <v>2151</v>
      </c>
      <c r="L561" s="252"/>
    </row>
    <row r="562" spans="1:105">
      <c r="A562" s="239"/>
      <c r="B562" s="239"/>
      <c r="C562" s="264"/>
      <c r="D562" s="284" t="s">
        <v>1470</v>
      </c>
      <c r="E562" s="284" t="s">
        <v>592</v>
      </c>
      <c r="F562" s="285">
        <v>1</v>
      </c>
      <c r="G562" s="286"/>
      <c r="H562" s="285"/>
      <c r="I562" s="264" t="s">
        <v>2558</v>
      </c>
      <c r="L562" s="252"/>
      <c r="BG562" s="243" t="s">
        <v>2558</v>
      </c>
      <c r="BK562" s="243" t="s">
        <v>2389</v>
      </c>
      <c r="BL562" s="243" t="s">
        <v>2518</v>
      </c>
      <c r="BM562" s="243" t="s">
        <v>2437</v>
      </c>
      <c r="BN562" s="243" t="s">
        <v>2437</v>
      </c>
      <c r="BO562" s="243" t="s">
        <v>2427</v>
      </c>
      <c r="BP562" s="243" t="s">
        <v>2427</v>
      </c>
    </row>
    <row r="563" spans="1:105">
      <c r="A563" s="239"/>
      <c r="B563" s="239"/>
      <c r="C563" s="264"/>
      <c r="D563" s="264" t="s">
        <v>1558</v>
      </c>
      <c r="E563" s="264" t="s">
        <v>560</v>
      </c>
      <c r="F563" s="239">
        <v>2</v>
      </c>
      <c r="G563" s="265"/>
      <c r="H563" s="239"/>
      <c r="I563" s="264" t="s">
        <v>2389</v>
      </c>
      <c r="L563" s="252"/>
      <c r="BE563" s="243" t="s">
        <v>2389</v>
      </c>
      <c r="BF563" s="243" t="s">
        <v>2427</v>
      </c>
      <c r="BG563" s="243" t="s">
        <v>2427</v>
      </c>
    </row>
    <row r="564" spans="1:105">
      <c r="A564" s="261"/>
      <c r="B564" s="261"/>
      <c r="C564" s="262"/>
      <c r="D564" s="262" t="s">
        <v>1559</v>
      </c>
      <c r="E564" s="262" t="s">
        <v>572</v>
      </c>
      <c r="F564" s="261">
        <v>2</v>
      </c>
      <c r="G564" s="263"/>
      <c r="H564" s="261"/>
      <c r="I564" s="264" t="s">
        <v>2151</v>
      </c>
      <c r="L564" s="252"/>
      <c r="AG564" s="243" t="s">
        <v>2386</v>
      </c>
      <c r="BC564" s="243" t="s">
        <v>2427</v>
      </c>
    </row>
    <row r="565" spans="1:105">
      <c r="A565" s="239"/>
      <c r="B565" s="239"/>
      <c r="C565" s="264"/>
      <c r="D565" s="284" t="s">
        <v>1471</v>
      </c>
      <c r="E565" s="284" t="s">
        <v>591</v>
      </c>
      <c r="F565" s="285">
        <v>1</v>
      </c>
      <c r="G565" s="286"/>
      <c r="H565" s="285"/>
      <c r="I565" s="264" t="s">
        <v>2558</v>
      </c>
      <c r="L565" s="252"/>
      <c r="BG565" s="243" t="s">
        <v>2558</v>
      </c>
      <c r="BH565" s="243" t="s">
        <v>2558</v>
      </c>
      <c r="BI565" s="243" t="s">
        <v>2558</v>
      </c>
      <c r="BJ565" s="243" t="s">
        <v>2558</v>
      </c>
      <c r="BK565" s="243" t="s">
        <v>2389</v>
      </c>
      <c r="BL565" s="243" t="s">
        <v>2518</v>
      </c>
      <c r="BM565" s="243" t="s">
        <v>2437</v>
      </c>
      <c r="BN565" s="243" t="s">
        <v>2437</v>
      </c>
      <c r="BO565" s="243" t="s">
        <v>2427</v>
      </c>
      <c r="BP565" s="243" t="s">
        <v>2427</v>
      </c>
    </row>
    <row r="566" spans="1:105">
      <c r="A566" s="261"/>
      <c r="B566" s="261"/>
      <c r="C566" s="262"/>
      <c r="D566" s="262" t="s">
        <v>1560</v>
      </c>
      <c r="E566" s="262" t="s">
        <v>559</v>
      </c>
      <c r="F566" s="261">
        <v>2</v>
      </c>
      <c r="G566" s="263"/>
      <c r="H566" s="261"/>
      <c r="I566" s="264" t="s">
        <v>2151</v>
      </c>
      <c r="L566" s="252"/>
      <c r="BE566" s="243" t="s">
        <v>2389</v>
      </c>
      <c r="BF566" s="243" t="s">
        <v>2427</v>
      </c>
      <c r="BG566" s="243" t="s">
        <v>2427</v>
      </c>
    </row>
    <row r="567" spans="1:105">
      <c r="A567" s="261"/>
      <c r="B567" s="261"/>
      <c r="C567" s="262"/>
      <c r="D567" s="262" t="s">
        <v>1561</v>
      </c>
      <c r="E567" s="262" t="s">
        <v>571</v>
      </c>
      <c r="F567" s="261">
        <v>1</v>
      </c>
      <c r="G567" s="263"/>
      <c r="H567" s="261"/>
      <c r="I567" s="264" t="s">
        <v>2151</v>
      </c>
      <c r="L567" s="252"/>
      <c r="AG567" s="243" t="s">
        <v>2385</v>
      </c>
      <c r="AX567" s="243" t="s">
        <v>2389</v>
      </c>
      <c r="AY567" s="243" t="s">
        <v>2427</v>
      </c>
      <c r="AZ567" s="243" t="s">
        <v>2427</v>
      </c>
    </row>
    <row r="568" spans="1:105">
      <c r="A568" s="239"/>
      <c r="B568" s="239"/>
      <c r="C568" s="264"/>
      <c r="D568" s="284" t="s">
        <v>1472</v>
      </c>
      <c r="E568" s="284" t="s">
        <v>574</v>
      </c>
      <c r="F568" s="285">
        <v>1</v>
      </c>
      <c r="G568" s="286"/>
      <c r="H568" s="285"/>
      <c r="I568" s="264"/>
      <c r="L568" s="252"/>
    </row>
    <row r="569" spans="1:105">
      <c r="A569" s="261"/>
      <c r="B569" s="261"/>
      <c r="C569" s="262"/>
      <c r="D569" s="262" t="s">
        <v>1161</v>
      </c>
      <c r="E569" s="262" t="s">
        <v>532</v>
      </c>
      <c r="F569" s="261">
        <v>1</v>
      </c>
      <c r="G569" s="263"/>
      <c r="H569" s="261"/>
      <c r="I569" s="264" t="s">
        <v>2151</v>
      </c>
      <c r="L569" s="252"/>
      <c r="AI569" s="243" t="s">
        <v>2225</v>
      </c>
    </row>
    <row r="570" spans="1:105">
      <c r="A570" s="261"/>
      <c r="B570" s="261"/>
      <c r="C570" s="262"/>
      <c r="D570" s="262" t="s">
        <v>1562</v>
      </c>
      <c r="E570" s="262" t="s">
        <v>1567</v>
      </c>
      <c r="F570" s="261">
        <v>1</v>
      </c>
      <c r="G570" s="263"/>
      <c r="H570" s="261"/>
      <c r="I570" s="264" t="s">
        <v>2151</v>
      </c>
      <c r="L570" s="252"/>
    </row>
    <row r="571" spans="1:105">
      <c r="A571" s="261"/>
      <c r="B571" s="261"/>
      <c r="C571" s="262"/>
      <c r="D571" s="262" t="s">
        <v>1563</v>
      </c>
      <c r="E571" s="262" t="s">
        <v>1568</v>
      </c>
      <c r="F571" s="261">
        <v>1</v>
      </c>
      <c r="G571" s="263"/>
      <c r="H571" s="261"/>
      <c r="I571" s="264" t="s">
        <v>2151</v>
      </c>
      <c r="L571" s="252"/>
    </row>
    <row r="572" spans="1:105">
      <c r="A572" s="261"/>
      <c r="B572" s="261"/>
      <c r="C572" s="262"/>
      <c r="D572" s="262" t="s">
        <v>1564</v>
      </c>
      <c r="E572" s="262" t="s">
        <v>1569</v>
      </c>
      <c r="F572" s="261">
        <v>1</v>
      </c>
      <c r="G572" s="263"/>
      <c r="H572" s="261"/>
      <c r="I572" s="264" t="s">
        <v>2151</v>
      </c>
      <c r="L572" s="252"/>
    </row>
    <row r="573" spans="1:105">
      <c r="A573" s="261"/>
      <c r="B573" s="261"/>
      <c r="C573" s="262"/>
      <c r="D573" s="262" t="s">
        <v>1508</v>
      </c>
      <c r="E573" s="262" t="s">
        <v>1570</v>
      </c>
      <c r="F573" s="261">
        <v>1</v>
      </c>
      <c r="G573" s="263"/>
      <c r="H573" s="261"/>
      <c r="I573" s="264" t="s">
        <v>2151</v>
      </c>
      <c r="L573" s="252"/>
    </row>
    <row r="574" spans="1:105">
      <c r="A574" s="261"/>
      <c r="B574" s="261"/>
      <c r="C574" s="262"/>
      <c r="D574" s="262" t="s">
        <v>1565</v>
      </c>
      <c r="E574" s="262" t="s">
        <v>1571</v>
      </c>
      <c r="F574" s="261">
        <v>1</v>
      </c>
      <c r="G574" s="263"/>
      <c r="H574" s="261"/>
      <c r="I574" s="264" t="s">
        <v>2151</v>
      </c>
      <c r="L574" s="252"/>
    </row>
    <row r="575" spans="1:105">
      <c r="A575" s="261"/>
      <c r="B575" s="261"/>
      <c r="C575" s="262"/>
      <c r="D575" s="262" t="s">
        <v>1566</v>
      </c>
      <c r="E575" s="262" t="s">
        <v>1572</v>
      </c>
      <c r="F575" s="261">
        <v>1</v>
      </c>
      <c r="G575" s="263"/>
      <c r="H575" s="261"/>
      <c r="I575" s="264" t="s">
        <v>2151</v>
      </c>
      <c r="L575" s="252"/>
    </row>
    <row r="576" spans="1:105" ht="42">
      <c r="A576" s="280">
        <v>71852</v>
      </c>
      <c r="B576" s="280" t="s">
        <v>138</v>
      </c>
      <c r="C576" s="281" t="s">
        <v>20</v>
      </c>
      <c r="D576" s="281" t="s">
        <v>140</v>
      </c>
      <c r="E576" s="281" t="s">
        <v>139</v>
      </c>
      <c r="F576" s="280">
        <v>3</v>
      </c>
      <c r="G576" s="282">
        <v>45884</v>
      </c>
      <c r="H576" s="301" t="s">
        <v>2696</v>
      </c>
      <c r="I576" s="264"/>
      <c r="J576" s="243" t="s">
        <v>2186</v>
      </c>
      <c r="L576" s="252"/>
      <c r="CZ576" s="243" t="s">
        <v>2343</v>
      </c>
      <c r="DA576" s="243" t="s">
        <v>2517</v>
      </c>
    </row>
    <row r="577" spans="1:103">
      <c r="A577" s="261"/>
      <c r="B577" s="261"/>
      <c r="C577" s="262"/>
      <c r="D577" s="262" t="s">
        <v>1573</v>
      </c>
      <c r="E577" s="262" t="s">
        <v>555</v>
      </c>
      <c r="F577" s="261">
        <v>1</v>
      </c>
      <c r="G577" s="263"/>
      <c r="H577" s="261"/>
      <c r="I577" s="264" t="s">
        <v>2151</v>
      </c>
      <c r="L577" s="252"/>
    </row>
    <row r="578" spans="1:103">
      <c r="A578" s="239"/>
      <c r="B578" s="239"/>
      <c r="C578" s="264"/>
      <c r="D578" s="264" t="s">
        <v>1574</v>
      </c>
      <c r="E578" s="264" t="s">
        <v>1589</v>
      </c>
      <c r="F578" s="239">
        <v>9</v>
      </c>
      <c r="G578" s="265"/>
      <c r="H578" s="239"/>
      <c r="I578" s="264" t="s">
        <v>2340</v>
      </c>
      <c r="L578" s="252"/>
      <c r="CX578" s="243" t="s">
        <v>2340</v>
      </c>
      <c r="CY578" s="243" t="s">
        <v>2331</v>
      </c>
    </row>
    <row r="579" spans="1:103">
      <c r="A579" s="261"/>
      <c r="B579" s="261"/>
      <c r="C579" s="262"/>
      <c r="D579" s="262" t="s">
        <v>1575</v>
      </c>
      <c r="E579" s="262" t="s">
        <v>1590</v>
      </c>
      <c r="F579" s="261">
        <v>1</v>
      </c>
      <c r="G579" s="263"/>
      <c r="H579" s="261"/>
      <c r="I579" s="264" t="s">
        <v>2151</v>
      </c>
      <c r="L579" s="252"/>
      <c r="Y579" s="243" t="s">
        <v>2196</v>
      </c>
    </row>
    <row r="580" spans="1:103">
      <c r="A580" s="261"/>
      <c r="B580" s="261"/>
      <c r="C580" s="262"/>
      <c r="D580" s="262" t="s">
        <v>1576</v>
      </c>
      <c r="E580" s="262" t="s">
        <v>1591</v>
      </c>
      <c r="F580" s="261">
        <v>6</v>
      </c>
      <c r="G580" s="263"/>
      <c r="H580" s="261"/>
      <c r="I580" s="264" t="s">
        <v>2151</v>
      </c>
      <c r="L580" s="252"/>
    </row>
    <row r="581" spans="1:103">
      <c r="A581" s="261"/>
      <c r="B581" s="261"/>
      <c r="C581" s="262"/>
      <c r="D581" s="262" t="s">
        <v>1577</v>
      </c>
      <c r="E581" s="262" t="s">
        <v>1592</v>
      </c>
      <c r="F581" s="261">
        <v>1</v>
      </c>
      <c r="G581" s="263"/>
      <c r="H581" s="261"/>
      <c r="I581" s="264" t="s">
        <v>2151</v>
      </c>
      <c r="L581" s="252"/>
    </row>
    <row r="582" spans="1:103">
      <c r="A582" s="261"/>
      <c r="B582" s="261"/>
      <c r="C582" s="262"/>
      <c r="D582" s="262" t="s">
        <v>1578</v>
      </c>
      <c r="E582" s="262" t="s">
        <v>1593</v>
      </c>
      <c r="F582" s="261">
        <v>3</v>
      </c>
      <c r="G582" s="263"/>
      <c r="H582" s="306"/>
      <c r="I582" s="264" t="s">
        <v>2151</v>
      </c>
      <c r="L582" s="252"/>
      <c r="AG582" s="243" t="s">
        <v>2225</v>
      </c>
    </row>
    <row r="583" spans="1:103">
      <c r="A583" s="261"/>
      <c r="B583" s="261"/>
      <c r="C583" s="262"/>
      <c r="D583" s="262" t="s">
        <v>1579</v>
      </c>
      <c r="E583" s="262" t="s">
        <v>1591</v>
      </c>
      <c r="F583" s="261">
        <v>6</v>
      </c>
      <c r="G583" s="263"/>
      <c r="H583" s="261"/>
      <c r="I583" s="264" t="s">
        <v>2151</v>
      </c>
      <c r="L583" s="252"/>
    </row>
    <row r="584" spans="1:103">
      <c r="A584" s="261"/>
      <c r="B584" s="261"/>
      <c r="C584" s="262"/>
      <c r="D584" s="262" t="s">
        <v>1580</v>
      </c>
      <c r="E584" s="262" t="s">
        <v>1594</v>
      </c>
      <c r="F584" s="261">
        <v>1</v>
      </c>
      <c r="G584" s="263"/>
      <c r="H584" s="261"/>
      <c r="I584" s="264" t="s">
        <v>2151</v>
      </c>
      <c r="L584" s="252"/>
    </row>
    <row r="585" spans="1:103">
      <c r="A585" s="261"/>
      <c r="B585" s="261"/>
      <c r="C585" s="262"/>
      <c r="D585" s="262" t="s">
        <v>1581</v>
      </c>
      <c r="E585" s="262" t="s">
        <v>1595</v>
      </c>
      <c r="F585" s="261">
        <v>2</v>
      </c>
      <c r="G585" s="263"/>
      <c r="H585" s="261"/>
      <c r="I585" s="264" t="s">
        <v>2151</v>
      </c>
      <c r="L585" s="252"/>
    </row>
    <row r="586" spans="1:103">
      <c r="A586" s="261"/>
      <c r="B586" s="261"/>
      <c r="C586" s="262"/>
      <c r="D586" s="262" t="s">
        <v>1582</v>
      </c>
      <c r="E586" s="262" t="s">
        <v>1596</v>
      </c>
      <c r="F586" s="261">
        <v>1</v>
      </c>
      <c r="G586" s="263"/>
      <c r="H586" s="261"/>
      <c r="I586" s="264" t="s">
        <v>2151</v>
      </c>
      <c r="L586" s="252"/>
    </row>
    <row r="587" spans="1:103" ht="82.5">
      <c r="A587" s="261"/>
      <c r="B587" s="261"/>
      <c r="C587" s="262"/>
      <c r="D587" s="262" t="s">
        <v>1244</v>
      </c>
      <c r="E587" s="262" t="s">
        <v>1597</v>
      </c>
      <c r="F587" s="261">
        <v>1</v>
      </c>
      <c r="G587" s="263"/>
      <c r="H587" s="302" t="s">
        <v>2704</v>
      </c>
      <c r="I587" s="264" t="s">
        <v>2703</v>
      </c>
      <c r="L587" s="252"/>
      <c r="BD587" s="243" t="s">
        <v>2703</v>
      </c>
      <c r="BE587" s="243" t="s">
        <v>2703</v>
      </c>
      <c r="BF587" s="243" t="s">
        <v>2703</v>
      </c>
      <c r="BG587" s="243" t="s">
        <v>2703</v>
      </c>
      <c r="BH587" s="243" t="s">
        <v>2703</v>
      </c>
      <c r="BI587" s="243" t="s">
        <v>2703</v>
      </c>
      <c r="BJ587" s="243" t="s">
        <v>2703</v>
      </c>
    </row>
    <row r="588" spans="1:103">
      <c r="A588" s="261"/>
      <c r="B588" s="261"/>
      <c r="C588" s="262"/>
      <c r="D588" s="262" t="s">
        <v>1586</v>
      </c>
      <c r="E588" s="262" t="s">
        <v>554</v>
      </c>
      <c r="F588" s="261">
        <v>1</v>
      </c>
      <c r="G588" s="263"/>
      <c r="H588" s="261"/>
      <c r="I588" s="264" t="s">
        <v>2151</v>
      </c>
      <c r="L588" s="252"/>
    </row>
    <row r="589" spans="1:103">
      <c r="A589" s="261"/>
      <c r="B589" s="261"/>
      <c r="C589" s="262"/>
      <c r="D589" s="262" t="s">
        <v>1583</v>
      </c>
      <c r="E589" s="262" t="s">
        <v>1598</v>
      </c>
      <c r="F589" s="261">
        <v>1</v>
      </c>
      <c r="G589" s="263"/>
      <c r="H589" s="261"/>
      <c r="I589" s="264" t="s">
        <v>2151</v>
      </c>
      <c r="L589" s="252"/>
    </row>
    <row r="590" spans="1:103">
      <c r="A590" s="239"/>
      <c r="B590" s="239"/>
      <c r="C590" s="264"/>
      <c r="D590" s="284" t="s">
        <v>1584</v>
      </c>
      <c r="E590" s="284" t="s">
        <v>1599</v>
      </c>
      <c r="F590" s="285">
        <v>6</v>
      </c>
      <c r="G590" s="286"/>
      <c r="H590" s="285"/>
      <c r="I590" s="264" t="s">
        <v>2151</v>
      </c>
      <c r="J590" s="243" t="s">
        <v>2187</v>
      </c>
      <c r="L590" s="252"/>
    </row>
    <row r="591" spans="1:103">
      <c r="A591" s="261"/>
      <c r="B591" s="261"/>
      <c r="C591" s="262"/>
      <c r="D591" s="262" t="s">
        <v>1603</v>
      </c>
      <c r="E591" s="262" t="s">
        <v>1607</v>
      </c>
      <c r="F591" s="261"/>
      <c r="G591" s="263"/>
      <c r="H591" s="261"/>
      <c r="I591" s="264" t="s">
        <v>2151</v>
      </c>
      <c r="L591" s="252"/>
    </row>
    <row r="592" spans="1:103">
      <c r="A592" s="261"/>
      <c r="B592" s="261"/>
      <c r="C592" s="262"/>
      <c r="D592" s="262" t="s">
        <v>1604</v>
      </c>
      <c r="E592" s="262" t="s">
        <v>1608</v>
      </c>
      <c r="F592" s="261"/>
      <c r="G592" s="263"/>
      <c r="H592" s="261"/>
      <c r="I592" s="264" t="s">
        <v>2151</v>
      </c>
      <c r="L592" s="252"/>
    </row>
    <row r="593" spans="1:105">
      <c r="A593" s="261"/>
      <c r="B593" s="261"/>
      <c r="C593" s="262"/>
      <c r="D593" s="262" t="s">
        <v>1605</v>
      </c>
      <c r="E593" s="262" t="s">
        <v>1609</v>
      </c>
      <c r="F593" s="261"/>
      <c r="G593" s="263"/>
      <c r="H593" s="261"/>
      <c r="I593" s="264" t="s">
        <v>2151</v>
      </c>
      <c r="L593" s="252"/>
    </row>
    <row r="594" spans="1:105">
      <c r="A594" s="261"/>
      <c r="B594" s="261"/>
      <c r="C594" s="262"/>
      <c r="D594" s="262" t="s">
        <v>1606</v>
      </c>
      <c r="E594" s="262" t="s">
        <v>1610</v>
      </c>
      <c r="F594" s="261"/>
      <c r="G594" s="263"/>
      <c r="H594" s="261"/>
      <c r="I594" s="264" t="s">
        <v>2151</v>
      </c>
      <c r="L594" s="252"/>
    </row>
    <row r="595" spans="1:105">
      <c r="A595" s="239"/>
      <c r="B595" s="239"/>
      <c r="C595" s="264"/>
      <c r="D595" s="284" t="s">
        <v>1585</v>
      </c>
      <c r="E595" s="284" t="s">
        <v>1600</v>
      </c>
      <c r="F595" s="285">
        <v>2</v>
      </c>
      <c r="G595" s="286"/>
      <c r="H595" s="285"/>
      <c r="I595" s="264" t="s">
        <v>2151</v>
      </c>
      <c r="J595" s="243" t="s">
        <v>2187</v>
      </c>
      <c r="L595" s="252"/>
    </row>
    <row r="596" spans="1:105">
      <c r="A596" s="261"/>
      <c r="B596" s="261"/>
      <c r="C596" s="262"/>
      <c r="D596" s="262" t="s">
        <v>750</v>
      </c>
      <c r="E596" s="262" t="s">
        <v>1680</v>
      </c>
      <c r="F596" s="261">
        <v>1</v>
      </c>
      <c r="G596" s="263"/>
      <c r="H596" s="261"/>
      <c r="I596" s="264" t="s">
        <v>2151</v>
      </c>
      <c r="L596" s="252"/>
    </row>
    <row r="597" spans="1:105">
      <c r="A597" s="239"/>
      <c r="B597" s="239"/>
      <c r="C597" s="264"/>
      <c r="D597" s="284" t="s">
        <v>1587</v>
      </c>
      <c r="E597" s="284" t="s">
        <v>1601</v>
      </c>
      <c r="F597" s="285">
        <v>1</v>
      </c>
      <c r="G597" s="286"/>
      <c r="H597" s="285"/>
      <c r="I597" s="264" t="s">
        <v>2151</v>
      </c>
      <c r="L597" s="252"/>
    </row>
    <row r="598" spans="1:105">
      <c r="A598" s="261"/>
      <c r="B598" s="261"/>
      <c r="C598" s="262"/>
      <c r="D598" s="262" t="s">
        <v>1243</v>
      </c>
      <c r="E598" s="262" t="s">
        <v>1611</v>
      </c>
      <c r="F598" s="261">
        <v>1</v>
      </c>
      <c r="G598" s="263"/>
      <c r="H598" s="261"/>
      <c r="I598" s="264" t="s">
        <v>2151</v>
      </c>
      <c r="L598" s="252"/>
    </row>
    <row r="599" spans="1:105" ht="42">
      <c r="A599" s="239"/>
      <c r="B599" s="239"/>
      <c r="C599" s="264"/>
      <c r="D599" s="304" t="s">
        <v>1238</v>
      </c>
      <c r="E599" s="298" t="s">
        <v>1612</v>
      </c>
      <c r="F599" s="299">
        <v>3</v>
      </c>
      <c r="G599" s="300"/>
      <c r="H599" s="299"/>
      <c r="I599" s="264" t="s">
        <v>2151</v>
      </c>
      <c r="J599" s="243" t="s">
        <v>2187</v>
      </c>
      <c r="L599" s="252"/>
    </row>
    <row r="600" spans="1:105" ht="42">
      <c r="A600" s="239"/>
      <c r="B600" s="239"/>
      <c r="C600" s="264"/>
      <c r="D600" s="304" t="s">
        <v>1613</v>
      </c>
      <c r="E600" s="298" t="s">
        <v>1615</v>
      </c>
      <c r="F600" s="299">
        <v>1</v>
      </c>
      <c r="G600" s="300"/>
      <c r="H600" s="299"/>
      <c r="I600" s="264" t="s">
        <v>2151</v>
      </c>
      <c r="L600" s="252"/>
    </row>
    <row r="601" spans="1:105" ht="42">
      <c r="A601" s="239"/>
      <c r="B601" s="239"/>
      <c r="C601" s="264"/>
      <c r="D601" s="304" t="s">
        <v>1614</v>
      </c>
      <c r="E601" s="298" t="s">
        <v>1616</v>
      </c>
      <c r="F601" s="299">
        <v>1</v>
      </c>
      <c r="G601" s="300"/>
      <c r="H601" s="299"/>
      <c r="I601" s="264" t="s">
        <v>2151</v>
      </c>
      <c r="L601" s="252"/>
    </row>
    <row r="602" spans="1:105">
      <c r="A602" s="239"/>
      <c r="B602" s="239"/>
      <c r="C602" s="264"/>
      <c r="D602" s="284" t="s">
        <v>1588</v>
      </c>
      <c r="E602" s="284" t="s">
        <v>1602</v>
      </c>
      <c r="F602" s="285">
        <v>3</v>
      </c>
      <c r="G602" s="286"/>
      <c r="H602" s="285"/>
      <c r="I602" s="264" t="s">
        <v>2151</v>
      </c>
      <c r="J602" s="243" t="s">
        <v>2187</v>
      </c>
      <c r="L602" s="252"/>
    </row>
    <row r="603" spans="1:105">
      <c r="A603" s="261"/>
      <c r="B603" s="261"/>
      <c r="C603" s="262"/>
      <c r="D603" s="262" t="s">
        <v>1617</v>
      </c>
      <c r="E603" s="262" t="s">
        <v>530</v>
      </c>
      <c r="F603" s="261">
        <v>1</v>
      </c>
      <c r="G603" s="263"/>
      <c r="H603" s="261"/>
      <c r="I603" s="264" t="s">
        <v>2151</v>
      </c>
      <c r="L603" s="252"/>
      <c r="X603" s="243" t="s">
        <v>2183</v>
      </c>
    </row>
    <row r="604" spans="1:105">
      <c r="A604" s="261"/>
      <c r="B604" s="261"/>
      <c r="C604" s="262"/>
      <c r="D604" s="262" t="s">
        <v>1618</v>
      </c>
      <c r="E604" s="262" t="s">
        <v>1619</v>
      </c>
      <c r="F604" s="261">
        <v>1</v>
      </c>
      <c r="G604" s="263"/>
      <c r="H604" s="261"/>
      <c r="I604" s="264" t="s">
        <v>2151</v>
      </c>
      <c r="L604" s="252"/>
    </row>
    <row r="605" spans="1:105" ht="42">
      <c r="A605" s="280">
        <v>71853</v>
      </c>
      <c r="B605" s="280" t="s">
        <v>138</v>
      </c>
      <c r="C605" s="281" t="s">
        <v>20</v>
      </c>
      <c r="D605" s="281" t="s">
        <v>142</v>
      </c>
      <c r="E605" s="281" t="s">
        <v>141</v>
      </c>
      <c r="F605" s="280">
        <v>2</v>
      </c>
      <c r="G605" s="282">
        <v>45884</v>
      </c>
      <c r="H605" s="301" t="s">
        <v>2696</v>
      </c>
      <c r="I605" s="264" t="s">
        <v>2339</v>
      </c>
      <c r="J605" s="243" t="s">
        <v>2186</v>
      </c>
      <c r="L605" s="252"/>
      <c r="CZ605" s="243" t="s">
        <v>2343</v>
      </c>
      <c r="DA605" s="243" t="s">
        <v>2517</v>
      </c>
    </row>
    <row r="606" spans="1:105">
      <c r="A606" s="261"/>
      <c r="B606" s="261"/>
      <c r="C606" s="262"/>
      <c r="D606" s="262" t="s">
        <v>1676</v>
      </c>
      <c r="E606" s="262" t="s">
        <v>583</v>
      </c>
      <c r="F606" s="261">
        <v>1</v>
      </c>
      <c r="G606" s="263"/>
      <c r="H606" s="261"/>
      <c r="I606" s="264" t="s">
        <v>2151</v>
      </c>
      <c r="L606" s="252"/>
      <c r="AH606" s="243" t="s">
        <v>2248</v>
      </c>
    </row>
    <row r="607" spans="1:105">
      <c r="A607" s="239"/>
      <c r="B607" s="239"/>
      <c r="C607" s="264"/>
      <c r="D607" s="264" t="s">
        <v>1574</v>
      </c>
      <c r="E607" s="264" t="s">
        <v>1589</v>
      </c>
      <c r="F607" s="239">
        <v>6</v>
      </c>
      <c r="G607" s="265"/>
      <c r="H607" s="239"/>
      <c r="I607" s="264" t="s">
        <v>2340</v>
      </c>
      <c r="L607" s="252"/>
      <c r="CX607" s="243" t="s">
        <v>2340</v>
      </c>
      <c r="CY607" s="243" t="s">
        <v>2331</v>
      </c>
    </row>
    <row r="608" spans="1:105">
      <c r="A608" s="261"/>
      <c r="B608" s="261"/>
      <c r="C608" s="262"/>
      <c r="D608" s="262" t="s">
        <v>1575</v>
      </c>
      <c r="E608" s="262" t="s">
        <v>1590</v>
      </c>
      <c r="F608" s="261">
        <v>1</v>
      </c>
      <c r="G608" s="263"/>
      <c r="H608" s="261"/>
      <c r="I608" s="264" t="s">
        <v>2151</v>
      </c>
      <c r="L608" s="252"/>
    </row>
    <row r="609" spans="1:38" ht="42">
      <c r="A609" s="261"/>
      <c r="B609" s="261"/>
      <c r="C609" s="262"/>
      <c r="D609" s="288" t="s">
        <v>1677</v>
      </c>
      <c r="E609" s="262" t="s">
        <v>1591</v>
      </c>
      <c r="F609" s="261">
        <v>6</v>
      </c>
      <c r="G609" s="263"/>
      <c r="H609" s="261"/>
      <c r="I609" s="264" t="s">
        <v>2151</v>
      </c>
      <c r="L609" s="252"/>
    </row>
    <row r="610" spans="1:38">
      <c r="A610" s="261"/>
      <c r="B610" s="261"/>
      <c r="C610" s="262"/>
      <c r="D610" s="262" t="s">
        <v>1577</v>
      </c>
      <c r="E610" s="262" t="s">
        <v>1592</v>
      </c>
      <c r="F610" s="261">
        <v>1</v>
      </c>
      <c r="G610" s="263"/>
      <c r="H610" s="261"/>
      <c r="I610" s="264" t="s">
        <v>2151</v>
      </c>
      <c r="L610" s="252"/>
    </row>
    <row r="611" spans="1:38">
      <c r="A611" s="261"/>
      <c r="B611" s="261"/>
      <c r="C611" s="262"/>
      <c r="D611" s="262" t="s">
        <v>1578</v>
      </c>
      <c r="E611" s="262" t="s">
        <v>1593</v>
      </c>
      <c r="F611" s="261">
        <v>3</v>
      </c>
      <c r="G611" s="263"/>
      <c r="H611" s="261"/>
      <c r="I611" s="264" t="s">
        <v>2151</v>
      </c>
      <c r="L611" s="252"/>
      <c r="AG611" s="243" t="s">
        <v>2225</v>
      </c>
    </row>
    <row r="612" spans="1:38" ht="42">
      <c r="A612" s="261"/>
      <c r="B612" s="261"/>
      <c r="C612" s="262"/>
      <c r="D612" s="288" t="s">
        <v>1678</v>
      </c>
      <c r="E612" s="262" t="s">
        <v>1591</v>
      </c>
      <c r="F612" s="261">
        <v>6</v>
      </c>
      <c r="G612" s="263"/>
      <c r="H612" s="261"/>
      <c r="I612" s="264" t="s">
        <v>2151</v>
      </c>
      <c r="L612" s="252"/>
    </row>
    <row r="613" spans="1:38">
      <c r="A613" s="261"/>
      <c r="B613" s="261"/>
      <c r="C613" s="262"/>
      <c r="D613" s="262" t="s">
        <v>1580</v>
      </c>
      <c r="E613" s="262" t="s">
        <v>1594</v>
      </c>
      <c r="F613" s="261">
        <v>1</v>
      </c>
      <c r="G613" s="263"/>
      <c r="H613" s="261"/>
      <c r="I613" s="264" t="s">
        <v>2151</v>
      </c>
      <c r="L613" s="252"/>
    </row>
    <row r="614" spans="1:38">
      <c r="A614" s="261"/>
      <c r="B614" s="261"/>
      <c r="C614" s="262"/>
      <c r="D614" s="262" t="s">
        <v>1581</v>
      </c>
      <c r="E614" s="262" t="s">
        <v>1595</v>
      </c>
      <c r="F614" s="261">
        <v>2</v>
      </c>
      <c r="G614" s="263"/>
      <c r="H614" s="261"/>
      <c r="I614" s="264" t="s">
        <v>2151</v>
      </c>
      <c r="L614" s="252"/>
    </row>
    <row r="615" spans="1:38">
      <c r="A615" s="261"/>
      <c r="B615" s="261"/>
      <c r="C615" s="262"/>
      <c r="D615" s="262" t="s">
        <v>1582</v>
      </c>
      <c r="E615" s="262" t="s">
        <v>1596</v>
      </c>
      <c r="F615" s="261">
        <v>1</v>
      </c>
      <c r="G615" s="263"/>
      <c r="H615" s="261"/>
      <c r="I615" s="264" t="s">
        <v>2151</v>
      </c>
      <c r="L615" s="252"/>
    </row>
    <row r="616" spans="1:38">
      <c r="A616" s="261"/>
      <c r="B616" s="261"/>
      <c r="C616" s="262"/>
      <c r="D616" s="262" t="s">
        <v>1244</v>
      </c>
      <c r="E616" s="262" t="s">
        <v>1597</v>
      </c>
      <c r="F616" s="261">
        <v>1</v>
      </c>
      <c r="G616" s="263"/>
      <c r="H616" s="261"/>
      <c r="I616" s="264" t="s">
        <v>2151</v>
      </c>
      <c r="L616" s="252"/>
    </row>
    <row r="617" spans="1:38">
      <c r="A617" s="261"/>
      <c r="B617" s="261"/>
      <c r="C617" s="262"/>
      <c r="D617" s="262" t="s">
        <v>1679</v>
      </c>
      <c r="E617" s="262" t="s">
        <v>534</v>
      </c>
      <c r="F617" s="261">
        <v>1</v>
      </c>
      <c r="G617" s="263"/>
      <c r="H617" s="261"/>
      <c r="I617" s="264" t="s">
        <v>2151</v>
      </c>
      <c r="L617" s="252"/>
      <c r="AL617" s="243" t="s">
        <v>2225</v>
      </c>
    </row>
    <row r="618" spans="1:38">
      <c r="A618" s="261"/>
      <c r="B618" s="261"/>
      <c r="C618" s="262"/>
      <c r="D618" s="262" t="s">
        <v>1586</v>
      </c>
      <c r="E618" s="262" t="s">
        <v>554</v>
      </c>
      <c r="F618" s="261">
        <v>1</v>
      </c>
      <c r="G618" s="263"/>
      <c r="H618" s="261"/>
      <c r="I618" s="264" t="s">
        <v>2151</v>
      </c>
      <c r="L618" s="252"/>
    </row>
    <row r="619" spans="1:38">
      <c r="A619" s="261"/>
      <c r="B619" s="261"/>
      <c r="C619" s="262"/>
      <c r="D619" s="262" t="s">
        <v>1583</v>
      </c>
      <c r="E619" s="262" t="s">
        <v>1598</v>
      </c>
      <c r="F619" s="261">
        <v>1</v>
      </c>
      <c r="G619" s="263"/>
      <c r="H619" s="261"/>
      <c r="I619" s="264" t="s">
        <v>2151</v>
      </c>
      <c r="L619" s="252"/>
    </row>
    <row r="620" spans="1:38">
      <c r="A620" s="239"/>
      <c r="B620" s="239"/>
      <c r="C620" s="264"/>
      <c r="D620" s="284" t="s">
        <v>1584</v>
      </c>
      <c r="E620" s="284" t="s">
        <v>1599</v>
      </c>
      <c r="F620" s="285">
        <v>4</v>
      </c>
      <c r="G620" s="286"/>
      <c r="H620" s="285"/>
      <c r="I620" s="264" t="s">
        <v>2151</v>
      </c>
      <c r="J620" s="243" t="s">
        <v>2187</v>
      </c>
      <c r="L620" s="252"/>
    </row>
    <row r="621" spans="1:38">
      <c r="A621" s="261"/>
      <c r="B621" s="261"/>
      <c r="C621" s="262"/>
      <c r="D621" s="262" t="s">
        <v>1603</v>
      </c>
      <c r="E621" s="262" t="s">
        <v>1607</v>
      </c>
      <c r="F621" s="261">
        <v>1</v>
      </c>
      <c r="G621" s="263"/>
      <c r="H621" s="261"/>
      <c r="I621" s="264" t="s">
        <v>2151</v>
      </c>
      <c r="L621" s="252"/>
    </row>
    <row r="622" spans="1:38">
      <c r="A622" s="261"/>
      <c r="B622" s="261"/>
      <c r="C622" s="262"/>
      <c r="D622" s="262" t="s">
        <v>1604</v>
      </c>
      <c r="E622" s="262" t="s">
        <v>1608</v>
      </c>
      <c r="F622" s="261">
        <v>2</v>
      </c>
      <c r="G622" s="263"/>
      <c r="H622" s="261"/>
      <c r="I622" s="264" t="s">
        <v>2151</v>
      </c>
      <c r="L622" s="252"/>
    </row>
    <row r="623" spans="1:38">
      <c r="A623" s="261"/>
      <c r="B623" s="261"/>
      <c r="C623" s="262"/>
      <c r="D623" s="262" t="s">
        <v>1605</v>
      </c>
      <c r="E623" s="262" t="s">
        <v>1609</v>
      </c>
      <c r="F623" s="261">
        <v>2</v>
      </c>
      <c r="G623" s="263"/>
      <c r="H623" s="261"/>
      <c r="I623" s="264" t="s">
        <v>2151</v>
      </c>
      <c r="L623" s="252"/>
    </row>
    <row r="624" spans="1:38">
      <c r="A624" s="261"/>
      <c r="B624" s="261"/>
      <c r="C624" s="262"/>
      <c r="D624" s="262" t="s">
        <v>1606</v>
      </c>
      <c r="E624" s="262" t="s">
        <v>1610</v>
      </c>
      <c r="F624" s="261">
        <v>2</v>
      </c>
      <c r="G624" s="263"/>
      <c r="H624" s="261"/>
      <c r="I624" s="264" t="s">
        <v>2151</v>
      </c>
      <c r="L624" s="252"/>
    </row>
    <row r="625" spans="1:12">
      <c r="A625" s="239"/>
      <c r="B625" s="239"/>
      <c r="C625" s="264"/>
      <c r="D625" s="284" t="s">
        <v>1585</v>
      </c>
      <c r="E625" s="284" t="s">
        <v>1600</v>
      </c>
      <c r="F625" s="285">
        <v>2</v>
      </c>
      <c r="G625" s="286"/>
      <c r="H625" s="285"/>
      <c r="I625" s="264" t="s">
        <v>2151</v>
      </c>
      <c r="L625" s="252"/>
    </row>
    <row r="626" spans="1:12">
      <c r="A626" s="261"/>
      <c r="B626" s="261"/>
      <c r="C626" s="262"/>
      <c r="D626" s="262" t="s">
        <v>750</v>
      </c>
      <c r="E626" s="262" t="s">
        <v>1680</v>
      </c>
      <c r="F626" s="261">
        <v>1</v>
      </c>
      <c r="G626" s="263"/>
      <c r="H626" s="261"/>
      <c r="I626" s="264" t="s">
        <v>2151</v>
      </c>
      <c r="L626" s="252"/>
    </row>
    <row r="627" spans="1:12">
      <c r="A627" s="239"/>
      <c r="B627" s="239"/>
      <c r="C627" s="264"/>
      <c r="D627" s="284" t="s">
        <v>1587</v>
      </c>
      <c r="E627" s="284" t="s">
        <v>1601</v>
      </c>
      <c r="F627" s="285">
        <v>1</v>
      </c>
      <c r="G627" s="286"/>
      <c r="H627" s="285"/>
      <c r="I627" s="264" t="s">
        <v>2151</v>
      </c>
      <c r="L627" s="252"/>
    </row>
    <row r="628" spans="1:12">
      <c r="A628" s="261"/>
      <c r="B628" s="261"/>
      <c r="C628" s="262"/>
      <c r="D628" s="262" t="s">
        <v>1243</v>
      </c>
      <c r="E628" s="262" t="s">
        <v>1611</v>
      </c>
      <c r="F628" s="261">
        <v>1</v>
      </c>
      <c r="G628" s="263"/>
      <c r="H628" s="261"/>
      <c r="I628" s="264" t="s">
        <v>2151</v>
      </c>
      <c r="L628" s="252"/>
    </row>
    <row r="629" spans="1:12" ht="42">
      <c r="A629" s="239"/>
      <c r="B629" s="239"/>
      <c r="C629" s="264"/>
      <c r="D629" s="304" t="s">
        <v>1238</v>
      </c>
      <c r="E629" s="298" t="s">
        <v>1612</v>
      </c>
      <c r="F629" s="299">
        <v>3</v>
      </c>
      <c r="G629" s="300"/>
      <c r="H629" s="299"/>
      <c r="I629" s="264" t="s">
        <v>2151</v>
      </c>
      <c r="L629" s="252"/>
    </row>
    <row r="630" spans="1:12" ht="42">
      <c r="A630" s="239"/>
      <c r="B630" s="239"/>
      <c r="C630" s="264"/>
      <c r="D630" s="304" t="s">
        <v>1613</v>
      </c>
      <c r="E630" s="298" t="s">
        <v>1615</v>
      </c>
      <c r="F630" s="299">
        <v>1</v>
      </c>
      <c r="G630" s="300"/>
      <c r="H630" s="299"/>
      <c r="I630" s="264" t="s">
        <v>2151</v>
      </c>
      <c r="L630" s="252"/>
    </row>
    <row r="631" spans="1:12" ht="42">
      <c r="A631" s="239"/>
      <c r="B631" s="239"/>
      <c r="C631" s="264"/>
      <c r="D631" s="304" t="s">
        <v>1614</v>
      </c>
      <c r="E631" s="298" t="s">
        <v>1616</v>
      </c>
      <c r="F631" s="299">
        <v>1</v>
      </c>
      <c r="G631" s="300"/>
      <c r="H631" s="299"/>
      <c r="I631" s="264" t="s">
        <v>2151</v>
      </c>
      <c r="L631" s="252"/>
    </row>
    <row r="632" spans="1:12">
      <c r="A632" s="239"/>
      <c r="B632" s="239"/>
      <c r="C632" s="264"/>
      <c r="D632" s="284" t="s">
        <v>1588</v>
      </c>
      <c r="E632" s="284" t="s">
        <v>1602</v>
      </c>
      <c r="F632" s="285">
        <v>3</v>
      </c>
      <c r="G632" s="286"/>
      <c r="H632" s="285"/>
      <c r="I632" s="264" t="s">
        <v>2151</v>
      </c>
      <c r="L632" s="252"/>
    </row>
    <row r="633" spans="1:12">
      <c r="A633" s="261"/>
      <c r="B633" s="261"/>
      <c r="C633" s="262"/>
      <c r="D633" s="262" t="s">
        <v>1617</v>
      </c>
      <c r="E633" s="262" t="s">
        <v>530</v>
      </c>
      <c r="F633" s="261">
        <v>1</v>
      </c>
      <c r="G633" s="263"/>
      <c r="H633" s="261"/>
      <c r="I633" s="264" t="s">
        <v>2151</v>
      </c>
      <c r="L633" s="252"/>
    </row>
    <row r="634" spans="1:12">
      <c r="A634" s="261"/>
      <c r="B634" s="261"/>
      <c r="C634" s="262"/>
      <c r="D634" s="262" t="s">
        <v>1618</v>
      </c>
      <c r="E634" s="262" t="s">
        <v>1619</v>
      </c>
      <c r="F634" s="261">
        <v>1</v>
      </c>
      <c r="G634" s="263"/>
      <c r="H634" s="261"/>
      <c r="I634" s="264" t="s">
        <v>2151</v>
      </c>
      <c r="L634" s="252"/>
    </row>
    <row r="635" spans="1:12">
      <c r="A635" s="280">
        <v>71859</v>
      </c>
      <c r="B635" s="280" t="s">
        <v>143</v>
      </c>
      <c r="C635" s="281" t="s">
        <v>20</v>
      </c>
      <c r="D635" s="281" t="s">
        <v>145</v>
      </c>
      <c r="E635" s="281" t="s">
        <v>144</v>
      </c>
      <c r="F635" s="280">
        <v>3</v>
      </c>
      <c r="G635" s="282">
        <v>45849</v>
      </c>
      <c r="H635" s="280" t="s">
        <v>2640</v>
      </c>
      <c r="I635" s="264" t="s">
        <v>2151</v>
      </c>
      <c r="L635" s="252"/>
    </row>
    <row r="636" spans="1:12">
      <c r="A636" s="261"/>
      <c r="B636" s="261"/>
      <c r="C636" s="262"/>
      <c r="D636" s="262" t="s">
        <v>1681</v>
      </c>
      <c r="E636" s="262" t="s">
        <v>1695</v>
      </c>
      <c r="F636" s="261">
        <v>1</v>
      </c>
      <c r="G636" s="263"/>
      <c r="H636" s="261"/>
      <c r="I636" s="264" t="s">
        <v>2151</v>
      </c>
      <c r="L636" s="252"/>
    </row>
    <row r="637" spans="1:12">
      <c r="A637" s="261"/>
      <c r="B637" s="261"/>
      <c r="C637" s="262"/>
      <c r="D637" s="262" t="s">
        <v>1682</v>
      </c>
      <c r="E637" s="262" t="s">
        <v>1696</v>
      </c>
      <c r="F637" s="261">
        <v>1</v>
      </c>
      <c r="G637" s="263"/>
      <c r="H637" s="261"/>
      <c r="I637" s="264" t="s">
        <v>2151</v>
      </c>
      <c r="L637" s="252"/>
    </row>
    <row r="638" spans="1:12">
      <c r="A638" s="261"/>
      <c r="B638" s="261"/>
      <c r="C638" s="262"/>
      <c r="D638" s="262" t="s">
        <v>1683</v>
      </c>
      <c r="E638" s="262" t="s">
        <v>1697</v>
      </c>
      <c r="F638" s="261">
        <v>1</v>
      </c>
      <c r="G638" s="263"/>
      <c r="H638" s="261"/>
      <c r="I638" s="264" t="s">
        <v>2151</v>
      </c>
      <c r="L638" s="252"/>
    </row>
    <row r="639" spans="1:12">
      <c r="A639" s="261"/>
      <c r="B639" s="261"/>
      <c r="C639" s="262"/>
      <c r="D639" s="262" t="s">
        <v>1684</v>
      </c>
      <c r="E639" s="262" t="s">
        <v>1698</v>
      </c>
      <c r="F639" s="261">
        <v>1</v>
      </c>
      <c r="G639" s="263"/>
      <c r="H639" s="261"/>
      <c r="I639" s="264" t="s">
        <v>2151</v>
      </c>
      <c r="L639" s="252"/>
    </row>
    <row r="640" spans="1:12">
      <c r="A640" s="261"/>
      <c r="B640" s="261"/>
      <c r="C640" s="262"/>
      <c r="D640" s="262" t="s">
        <v>1685</v>
      </c>
      <c r="E640" s="262" t="s">
        <v>1699</v>
      </c>
      <c r="F640" s="261">
        <v>2</v>
      </c>
      <c r="G640" s="263"/>
      <c r="H640" s="261"/>
      <c r="I640" s="264" t="s">
        <v>2151</v>
      </c>
      <c r="L640" s="252"/>
    </row>
    <row r="641" spans="1:12">
      <c r="A641" s="261"/>
      <c r="B641" s="261"/>
      <c r="C641" s="262"/>
      <c r="D641" s="262" t="s">
        <v>1686</v>
      </c>
      <c r="E641" s="262" t="s">
        <v>1700</v>
      </c>
      <c r="F641" s="261">
        <v>1</v>
      </c>
      <c r="G641" s="263"/>
      <c r="H641" s="261"/>
      <c r="I641" s="264" t="s">
        <v>2151</v>
      </c>
      <c r="L641" s="252"/>
    </row>
    <row r="642" spans="1:12">
      <c r="A642" s="261"/>
      <c r="B642" s="261"/>
      <c r="C642" s="262"/>
      <c r="D642" s="262" t="s">
        <v>1687</v>
      </c>
      <c r="E642" s="262" t="s">
        <v>1701</v>
      </c>
      <c r="F642" s="261">
        <v>1</v>
      </c>
      <c r="G642" s="263"/>
      <c r="H642" s="261"/>
      <c r="I642" s="264" t="s">
        <v>2151</v>
      </c>
      <c r="L642" s="252"/>
    </row>
    <row r="643" spans="1:12">
      <c r="A643" s="261"/>
      <c r="B643" s="261"/>
      <c r="C643" s="262"/>
      <c r="D643" s="262" t="s">
        <v>1688</v>
      </c>
      <c r="E643" s="262" t="s">
        <v>1702</v>
      </c>
      <c r="F643" s="261">
        <v>1</v>
      </c>
      <c r="G643" s="263"/>
      <c r="H643" s="261"/>
      <c r="I643" s="264" t="s">
        <v>2151</v>
      </c>
      <c r="L643" s="252"/>
    </row>
    <row r="644" spans="1:12">
      <c r="A644" s="261"/>
      <c r="B644" s="261"/>
      <c r="C644" s="262"/>
      <c r="D644" s="262" t="s">
        <v>1689</v>
      </c>
      <c r="E644" s="262" t="s">
        <v>1703</v>
      </c>
      <c r="F644" s="261">
        <v>1</v>
      </c>
      <c r="G644" s="263"/>
      <c r="H644" s="261"/>
      <c r="I644" s="264" t="s">
        <v>2151</v>
      </c>
      <c r="L644" s="252"/>
    </row>
    <row r="645" spans="1:12">
      <c r="A645" s="261"/>
      <c r="B645" s="261"/>
      <c r="C645" s="262"/>
      <c r="D645" s="262" t="s">
        <v>1690</v>
      </c>
      <c r="E645" s="262" t="s">
        <v>1704</v>
      </c>
      <c r="F645" s="261">
        <v>1</v>
      </c>
      <c r="G645" s="263"/>
      <c r="H645" s="261"/>
      <c r="I645" s="264" t="s">
        <v>2151</v>
      </c>
      <c r="L645" s="252"/>
    </row>
    <row r="646" spans="1:12">
      <c r="A646" s="261"/>
      <c r="B646" s="261"/>
      <c r="C646" s="262"/>
      <c r="D646" s="262" t="s">
        <v>1691</v>
      </c>
      <c r="E646" s="262" t="s">
        <v>1705</v>
      </c>
      <c r="F646" s="261">
        <v>1</v>
      </c>
      <c r="G646" s="263"/>
      <c r="H646" s="261"/>
      <c r="I646" s="264" t="s">
        <v>2151</v>
      </c>
      <c r="L646" s="252"/>
    </row>
    <row r="647" spans="1:12">
      <c r="A647" s="261"/>
      <c r="B647" s="261"/>
      <c r="C647" s="262"/>
      <c r="D647" s="262" t="s">
        <v>1692</v>
      </c>
      <c r="E647" s="262" t="s">
        <v>1706</v>
      </c>
      <c r="F647" s="261">
        <v>2</v>
      </c>
      <c r="G647" s="263"/>
      <c r="H647" s="261"/>
      <c r="I647" s="264" t="s">
        <v>2151</v>
      </c>
      <c r="L647" s="252"/>
    </row>
    <row r="648" spans="1:12">
      <c r="A648" s="261"/>
      <c r="B648" s="261"/>
      <c r="C648" s="262"/>
      <c r="D648" s="262" t="s">
        <v>1693</v>
      </c>
      <c r="E648" s="262" t="s">
        <v>1707</v>
      </c>
      <c r="F648" s="261">
        <v>2</v>
      </c>
      <c r="G648" s="263"/>
      <c r="H648" s="261"/>
      <c r="I648" s="264" t="s">
        <v>2151</v>
      </c>
      <c r="L648" s="252"/>
    </row>
    <row r="649" spans="1:12">
      <c r="A649" s="261"/>
      <c r="B649" s="261"/>
      <c r="C649" s="262"/>
      <c r="D649" s="262" t="s">
        <v>1694</v>
      </c>
      <c r="E649" s="262" t="s">
        <v>1708</v>
      </c>
      <c r="F649" s="261">
        <v>2</v>
      </c>
      <c r="G649" s="263"/>
      <c r="H649" s="261"/>
      <c r="I649" s="264" t="s">
        <v>2151</v>
      </c>
      <c r="L649" s="252"/>
    </row>
    <row r="650" spans="1:12">
      <c r="A650" s="261">
        <v>71860</v>
      </c>
      <c r="B650" s="261" t="s">
        <v>130</v>
      </c>
      <c r="C650" s="262" t="s">
        <v>20</v>
      </c>
      <c r="D650" s="262" t="s">
        <v>102</v>
      </c>
      <c r="E650" s="262" t="s">
        <v>101</v>
      </c>
      <c r="F650" s="261">
        <v>3</v>
      </c>
      <c r="G650" s="263">
        <v>45849</v>
      </c>
      <c r="H650" s="261" t="s">
        <v>2639</v>
      </c>
      <c r="I650" s="264" t="s">
        <v>2151</v>
      </c>
      <c r="L650" s="252"/>
    </row>
    <row r="651" spans="1:12">
      <c r="A651" s="280">
        <v>71861</v>
      </c>
      <c r="B651" s="280" t="s">
        <v>130</v>
      </c>
      <c r="C651" s="281" t="s">
        <v>20</v>
      </c>
      <c r="D651" s="281" t="s">
        <v>104</v>
      </c>
      <c r="E651" s="281" t="s">
        <v>103</v>
      </c>
      <c r="F651" s="280">
        <v>3</v>
      </c>
      <c r="G651" s="282">
        <v>45849</v>
      </c>
      <c r="H651" s="280" t="s">
        <v>2639</v>
      </c>
      <c r="I651" s="264" t="s">
        <v>2151</v>
      </c>
      <c r="L651" s="252"/>
    </row>
    <row r="652" spans="1:12">
      <c r="A652" s="261"/>
      <c r="B652" s="261"/>
      <c r="C652" s="262"/>
      <c r="D652" s="262" t="s">
        <v>1199</v>
      </c>
      <c r="E652" s="262" t="s">
        <v>1233</v>
      </c>
      <c r="F652" s="261"/>
      <c r="G652" s="263"/>
      <c r="H652" s="261"/>
      <c r="I652" s="264" t="s">
        <v>2151</v>
      </c>
      <c r="L652" s="252"/>
    </row>
    <row r="653" spans="1:12">
      <c r="A653" s="261"/>
      <c r="B653" s="261"/>
      <c r="C653" s="262"/>
      <c r="D653" s="262" t="s">
        <v>1149</v>
      </c>
      <c r="E653" s="262" t="s">
        <v>1150</v>
      </c>
      <c r="F653" s="261"/>
      <c r="G653" s="263"/>
      <c r="H653" s="261"/>
      <c r="I653" s="264" t="s">
        <v>2151</v>
      </c>
      <c r="L653" s="252"/>
    </row>
    <row r="654" spans="1:12">
      <c r="A654" s="261"/>
      <c r="B654" s="261"/>
      <c r="C654" s="262"/>
      <c r="D654" s="262" t="s">
        <v>1231</v>
      </c>
      <c r="E654" s="262" t="s">
        <v>1234</v>
      </c>
      <c r="F654" s="261"/>
      <c r="G654" s="263"/>
      <c r="H654" s="261"/>
      <c r="I654" s="264" t="s">
        <v>2151</v>
      </c>
      <c r="L654" s="252"/>
    </row>
    <row r="655" spans="1:12">
      <c r="A655" s="261"/>
      <c r="B655" s="261"/>
      <c r="C655" s="262"/>
      <c r="D655" s="262" t="s">
        <v>1709</v>
      </c>
      <c r="E655" s="262" t="s">
        <v>1235</v>
      </c>
      <c r="F655" s="261"/>
      <c r="G655" s="263"/>
      <c r="H655" s="261"/>
      <c r="I655" s="264" t="s">
        <v>2151</v>
      </c>
      <c r="L655" s="252"/>
    </row>
    <row r="656" spans="1:12">
      <c r="A656" s="280">
        <v>71862</v>
      </c>
      <c r="B656" s="280" t="s">
        <v>130</v>
      </c>
      <c r="C656" s="281" t="s">
        <v>20</v>
      </c>
      <c r="D656" s="281" t="s">
        <v>106</v>
      </c>
      <c r="E656" s="281" t="s">
        <v>105</v>
      </c>
      <c r="F656" s="280">
        <v>3</v>
      </c>
      <c r="G656" s="282">
        <v>45849</v>
      </c>
      <c r="H656" s="280" t="s">
        <v>2639</v>
      </c>
      <c r="I656" s="264" t="s">
        <v>2151</v>
      </c>
      <c r="L656" s="252"/>
    </row>
    <row r="657" spans="1:12">
      <c r="A657" s="261"/>
      <c r="B657" s="261"/>
      <c r="C657" s="262"/>
      <c r="D657" s="262" t="s">
        <v>1141</v>
      </c>
      <c r="E657" s="262" t="s">
        <v>1223</v>
      </c>
      <c r="F657" s="261">
        <v>1</v>
      </c>
      <c r="G657" s="263"/>
      <c r="H657" s="261"/>
      <c r="I657" s="264" t="s">
        <v>2151</v>
      </c>
      <c r="L657" s="252"/>
    </row>
    <row r="658" spans="1:12">
      <c r="A658" s="261"/>
      <c r="B658" s="261"/>
      <c r="C658" s="262"/>
      <c r="D658" s="262" t="s">
        <v>1182</v>
      </c>
      <c r="E658" s="262" t="s">
        <v>1224</v>
      </c>
      <c r="F658" s="261">
        <v>1</v>
      </c>
      <c r="G658" s="263"/>
      <c r="H658" s="261"/>
      <c r="I658" s="264" t="s">
        <v>2151</v>
      </c>
      <c r="L658" s="252"/>
    </row>
    <row r="659" spans="1:12" ht="42">
      <c r="A659" s="261"/>
      <c r="B659" s="261"/>
      <c r="C659" s="262"/>
      <c r="D659" s="288" t="s">
        <v>1218</v>
      </c>
      <c r="E659" s="262" t="s">
        <v>1225</v>
      </c>
      <c r="F659" s="261">
        <v>1</v>
      </c>
      <c r="G659" s="263"/>
      <c r="H659" s="261"/>
      <c r="I659" s="264" t="s">
        <v>2151</v>
      </c>
      <c r="L659" s="252"/>
    </row>
    <row r="660" spans="1:12" ht="42">
      <c r="A660" s="261"/>
      <c r="B660" s="261"/>
      <c r="C660" s="262"/>
      <c r="D660" s="288" t="s">
        <v>1219</v>
      </c>
      <c r="E660" s="262" t="s">
        <v>1226</v>
      </c>
      <c r="F660" s="261">
        <v>1</v>
      </c>
      <c r="G660" s="263"/>
      <c r="H660" s="261"/>
      <c r="I660" s="264" t="s">
        <v>2151</v>
      </c>
      <c r="L660" s="252"/>
    </row>
    <row r="661" spans="1:12">
      <c r="A661" s="261"/>
      <c r="B661" s="261"/>
      <c r="C661" s="262"/>
      <c r="D661" s="262" t="s">
        <v>1220</v>
      </c>
      <c r="E661" s="262" t="s">
        <v>1227</v>
      </c>
      <c r="F661" s="261">
        <v>1</v>
      </c>
      <c r="G661" s="263"/>
      <c r="H661" s="261"/>
      <c r="I661" s="264" t="s">
        <v>2151</v>
      </c>
      <c r="L661" s="252"/>
    </row>
    <row r="662" spans="1:12" ht="42">
      <c r="A662" s="261"/>
      <c r="B662" s="261"/>
      <c r="C662" s="262"/>
      <c r="D662" s="288" t="s">
        <v>1221</v>
      </c>
      <c r="E662" s="262" t="s">
        <v>1228</v>
      </c>
      <c r="F662" s="261">
        <v>1</v>
      </c>
      <c r="G662" s="263"/>
      <c r="H662" s="261"/>
      <c r="I662" s="264" t="s">
        <v>2151</v>
      </c>
      <c r="L662" s="252"/>
    </row>
    <row r="663" spans="1:12">
      <c r="A663" s="261"/>
      <c r="B663" s="261"/>
      <c r="C663" s="262"/>
      <c r="D663" s="262" t="s">
        <v>1222</v>
      </c>
      <c r="E663" s="262" t="s">
        <v>1229</v>
      </c>
      <c r="F663" s="261">
        <v>1</v>
      </c>
      <c r="G663" s="263"/>
      <c r="H663" s="261"/>
      <c r="I663" s="264" t="s">
        <v>2151</v>
      </c>
      <c r="L663" s="252"/>
    </row>
    <row r="664" spans="1:12">
      <c r="A664" s="261">
        <v>71863</v>
      </c>
      <c r="B664" s="261" t="s">
        <v>130</v>
      </c>
      <c r="C664" s="262" t="s">
        <v>20</v>
      </c>
      <c r="D664" s="262" t="s">
        <v>108</v>
      </c>
      <c r="E664" s="262" t="s">
        <v>107</v>
      </c>
      <c r="F664" s="261">
        <v>3</v>
      </c>
      <c r="G664" s="263">
        <v>45849</v>
      </c>
      <c r="H664" s="261" t="s">
        <v>2639</v>
      </c>
      <c r="I664" s="264" t="s">
        <v>2151</v>
      </c>
      <c r="L664" s="252"/>
    </row>
    <row r="665" spans="1:12">
      <c r="A665" s="280">
        <v>71864</v>
      </c>
      <c r="B665" s="280" t="s">
        <v>130</v>
      </c>
      <c r="C665" s="281" t="s">
        <v>20</v>
      </c>
      <c r="D665" s="281" t="s">
        <v>110</v>
      </c>
      <c r="E665" s="281" t="s">
        <v>109</v>
      </c>
      <c r="F665" s="280">
        <v>7</v>
      </c>
      <c r="G665" s="282">
        <v>45849</v>
      </c>
      <c r="H665" s="280" t="s">
        <v>2639</v>
      </c>
      <c r="I665" s="264" t="s">
        <v>2151</v>
      </c>
      <c r="L665" s="252"/>
    </row>
    <row r="666" spans="1:12">
      <c r="A666" s="261"/>
      <c r="B666" s="261"/>
      <c r="C666" s="262"/>
      <c r="D666" s="262" t="s">
        <v>1209</v>
      </c>
      <c r="E666" s="262" t="s">
        <v>1212</v>
      </c>
      <c r="F666" s="261">
        <v>1</v>
      </c>
      <c r="G666" s="263"/>
      <c r="H666" s="261"/>
      <c r="I666" s="264" t="s">
        <v>2151</v>
      </c>
      <c r="L666" s="252"/>
    </row>
    <row r="667" spans="1:12">
      <c r="A667" s="239"/>
      <c r="B667" s="239"/>
      <c r="C667" s="264"/>
      <c r="D667" s="284" t="s">
        <v>1710</v>
      </c>
      <c r="E667" s="284" t="s">
        <v>1211</v>
      </c>
      <c r="F667" s="285">
        <v>1</v>
      </c>
      <c r="G667" s="286"/>
      <c r="H667" s="285"/>
      <c r="I667" s="264" t="s">
        <v>2151</v>
      </c>
      <c r="L667" s="252"/>
    </row>
    <row r="668" spans="1:12">
      <c r="A668" s="239"/>
      <c r="B668" s="239"/>
      <c r="C668" s="264"/>
      <c r="D668" s="284" t="s">
        <v>1210</v>
      </c>
      <c r="E668" s="284" t="s">
        <v>33</v>
      </c>
      <c r="F668" s="285">
        <v>1</v>
      </c>
      <c r="G668" s="286"/>
      <c r="H668" s="285"/>
      <c r="I668" s="264" t="s">
        <v>2151</v>
      </c>
      <c r="L668" s="252"/>
    </row>
    <row r="669" spans="1:12">
      <c r="A669" s="280">
        <v>71865</v>
      </c>
      <c r="B669" s="280" t="s">
        <v>130</v>
      </c>
      <c r="C669" s="281" t="s">
        <v>20</v>
      </c>
      <c r="D669" s="281" t="s">
        <v>112</v>
      </c>
      <c r="E669" s="281" t="s">
        <v>111</v>
      </c>
      <c r="F669" s="280">
        <v>7</v>
      </c>
      <c r="G669" s="282">
        <v>45849</v>
      </c>
      <c r="H669" s="280" t="s">
        <v>2639</v>
      </c>
      <c r="I669" s="264" t="s">
        <v>2151</v>
      </c>
      <c r="L669" s="252"/>
    </row>
    <row r="670" spans="1:12">
      <c r="A670" s="261"/>
      <c r="B670" s="261"/>
      <c r="C670" s="262"/>
      <c r="D670" s="262" t="s">
        <v>1711</v>
      </c>
      <c r="E670" s="262" t="s">
        <v>1215</v>
      </c>
      <c r="F670" s="261">
        <v>1</v>
      </c>
      <c r="G670" s="263"/>
      <c r="H670" s="261"/>
      <c r="I670" s="264" t="s">
        <v>2151</v>
      </c>
      <c r="L670" s="252"/>
    </row>
    <row r="671" spans="1:12">
      <c r="A671" s="261"/>
      <c r="B671" s="261"/>
      <c r="C671" s="262"/>
      <c r="D671" s="262" t="s">
        <v>1712</v>
      </c>
      <c r="E671" s="262" t="s">
        <v>1713</v>
      </c>
      <c r="F671" s="261">
        <v>1</v>
      </c>
      <c r="G671" s="263"/>
      <c r="H671" s="261"/>
      <c r="I671" s="264" t="s">
        <v>2151</v>
      </c>
      <c r="L671" s="252"/>
    </row>
    <row r="672" spans="1:12">
      <c r="A672" s="261"/>
      <c r="B672" s="261"/>
      <c r="C672" s="262"/>
      <c r="D672" s="262" t="s">
        <v>1214</v>
      </c>
      <c r="E672" s="262" t="s">
        <v>1714</v>
      </c>
      <c r="F672" s="261">
        <v>2</v>
      </c>
      <c r="G672" s="263"/>
      <c r="H672" s="261"/>
      <c r="I672" s="264" t="s">
        <v>2151</v>
      </c>
      <c r="L672" s="252"/>
    </row>
    <row r="673" spans="1:12">
      <c r="A673" s="280">
        <v>71866</v>
      </c>
      <c r="B673" s="280" t="s">
        <v>130</v>
      </c>
      <c r="C673" s="281" t="s">
        <v>20</v>
      </c>
      <c r="D673" s="281" t="s">
        <v>114</v>
      </c>
      <c r="E673" s="281" t="s">
        <v>113</v>
      </c>
      <c r="F673" s="280">
        <v>7</v>
      </c>
      <c r="G673" s="282">
        <v>45849</v>
      </c>
      <c r="H673" s="280" t="s">
        <v>2639</v>
      </c>
      <c r="I673" s="264" t="s">
        <v>2151</v>
      </c>
      <c r="L673" s="252"/>
    </row>
    <row r="674" spans="1:12">
      <c r="A674" s="261"/>
      <c r="B674" s="261"/>
      <c r="C674" s="262"/>
      <c r="D674" s="262" t="s">
        <v>1164</v>
      </c>
      <c r="E674" s="262" t="s">
        <v>1165</v>
      </c>
      <c r="F674" s="261">
        <v>1</v>
      </c>
      <c r="G674" s="263"/>
      <c r="H674" s="261"/>
      <c r="I674" s="264" t="s">
        <v>2151</v>
      </c>
      <c r="L674" s="252"/>
    </row>
    <row r="675" spans="1:12">
      <c r="A675" s="261"/>
      <c r="B675" s="261"/>
      <c r="C675" s="262"/>
      <c r="D675" s="262" t="s">
        <v>1166</v>
      </c>
      <c r="E675" s="262" t="s">
        <v>1167</v>
      </c>
      <c r="F675" s="261">
        <v>1</v>
      </c>
      <c r="G675" s="263"/>
      <c r="H675" s="261"/>
      <c r="I675" s="264" t="s">
        <v>2151</v>
      </c>
      <c r="L675" s="252"/>
    </row>
    <row r="676" spans="1:12">
      <c r="A676" s="261"/>
      <c r="B676" s="261"/>
      <c r="C676" s="262"/>
      <c r="D676" s="262" t="s">
        <v>1147</v>
      </c>
      <c r="E676" s="262" t="s">
        <v>1148</v>
      </c>
      <c r="F676" s="261">
        <v>1</v>
      </c>
      <c r="G676" s="263"/>
      <c r="H676" s="261"/>
      <c r="I676" s="264" t="s">
        <v>2151</v>
      </c>
      <c r="L676" s="252"/>
    </row>
    <row r="677" spans="1:12" ht="42">
      <c r="A677" s="261"/>
      <c r="B677" s="261"/>
      <c r="C677" s="262"/>
      <c r="D677" s="288" t="s">
        <v>1170</v>
      </c>
      <c r="E677" s="262" t="s">
        <v>1171</v>
      </c>
      <c r="F677" s="261">
        <v>1</v>
      </c>
      <c r="G677" s="263"/>
      <c r="H677" s="261"/>
      <c r="I677" s="264" t="s">
        <v>2151</v>
      </c>
      <c r="L677" s="252"/>
    </row>
    <row r="678" spans="1:12" ht="42">
      <c r="A678" s="261"/>
      <c r="B678" s="261"/>
      <c r="C678" s="262"/>
      <c r="D678" s="288" t="s">
        <v>1168</v>
      </c>
      <c r="E678" s="262" t="s">
        <v>1169</v>
      </c>
      <c r="F678" s="261">
        <v>1</v>
      </c>
      <c r="G678" s="263"/>
      <c r="H678" s="261"/>
      <c r="I678" s="264" t="s">
        <v>2151</v>
      </c>
      <c r="L678" s="252"/>
    </row>
    <row r="679" spans="1:12" ht="42">
      <c r="A679" s="261"/>
      <c r="B679" s="261"/>
      <c r="C679" s="262"/>
      <c r="D679" s="288" t="s">
        <v>1172</v>
      </c>
      <c r="E679" s="262" t="s">
        <v>1173</v>
      </c>
      <c r="F679" s="261">
        <v>1</v>
      </c>
      <c r="G679" s="263"/>
      <c r="H679" s="261"/>
      <c r="I679" s="264" t="s">
        <v>2151</v>
      </c>
      <c r="L679" s="252"/>
    </row>
    <row r="680" spans="1:12" ht="42">
      <c r="A680" s="261"/>
      <c r="B680" s="261"/>
      <c r="C680" s="262"/>
      <c r="D680" s="288" t="s">
        <v>1236</v>
      </c>
      <c r="E680" s="262" t="s">
        <v>1237</v>
      </c>
      <c r="F680" s="261">
        <v>1</v>
      </c>
      <c r="G680" s="263"/>
      <c r="H680" s="261"/>
      <c r="I680" s="264" t="s">
        <v>2151</v>
      </c>
      <c r="L680" s="252"/>
    </row>
    <row r="681" spans="1:12">
      <c r="A681" s="261">
        <v>71867</v>
      </c>
      <c r="B681" s="261" t="s">
        <v>130</v>
      </c>
      <c r="C681" s="262" t="s">
        <v>20</v>
      </c>
      <c r="D681" s="262" t="s">
        <v>116</v>
      </c>
      <c r="E681" s="262" t="s">
        <v>115</v>
      </c>
      <c r="F681" s="261">
        <v>14</v>
      </c>
      <c r="G681" s="263">
        <v>45849</v>
      </c>
      <c r="H681" s="261" t="s">
        <v>2639</v>
      </c>
      <c r="I681" s="264" t="s">
        <v>2151</v>
      </c>
      <c r="L681" s="252"/>
    </row>
    <row r="682" spans="1:12">
      <c r="A682" s="261">
        <v>71868</v>
      </c>
      <c r="B682" s="261" t="s">
        <v>130</v>
      </c>
      <c r="C682" s="262" t="s">
        <v>20</v>
      </c>
      <c r="D682" s="262" t="s">
        <v>118</v>
      </c>
      <c r="E682" s="262" t="s">
        <v>117</v>
      </c>
      <c r="F682" s="261">
        <v>14</v>
      </c>
      <c r="G682" s="263">
        <v>45849</v>
      </c>
      <c r="H682" s="261" t="s">
        <v>2639</v>
      </c>
      <c r="I682" s="264" t="s">
        <v>2151</v>
      </c>
      <c r="L682" s="252"/>
    </row>
    <row r="683" spans="1:12">
      <c r="A683" s="280">
        <v>71869</v>
      </c>
      <c r="B683" s="280" t="s">
        <v>130</v>
      </c>
      <c r="C683" s="281" t="s">
        <v>20</v>
      </c>
      <c r="D683" s="281" t="s">
        <v>120</v>
      </c>
      <c r="E683" s="281" t="s">
        <v>119</v>
      </c>
      <c r="F683" s="280">
        <v>1</v>
      </c>
      <c r="G683" s="282">
        <v>45849</v>
      </c>
      <c r="H683" s="280" t="s">
        <v>2639</v>
      </c>
      <c r="I683" s="264" t="s">
        <v>2151</v>
      </c>
      <c r="L683" s="252"/>
    </row>
    <row r="684" spans="1:12">
      <c r="A684" s="261"/>
      <c r="B684" s="261"/>
      <c r="C684" s="262"/>
      <c r="D684" s="262" t="s">
        <v>1390</v>
      </c>
      <c r="E684" s="262" t="s">
        <v>1406</v>
      </c>
      <c r="F684" s="261">
        <v>1</v>
      </c>
      <c r="G684" s="263"/>
      <c r="H684" s="261"/>
      <c r="I684" s="264" t="s">
        <v>2151</v>
      </c>
      <c r="L684" s="252"/>
    </row>
    <row r="685" spans="1:12">
      <c r="A685" s="261"/>
      <c r="B685" s="261"/>
      <c r="C685" s="262"/>
      <c r="D685" s="262" t="s">
        <v>1391</v>
      </c>
      <c r="E685" s="262" t="s">
        <v>1407</v>
      </c>
      <c r="F685" s="261">
        <v>1</v>
      </c>
      <c r="G685" s="263"/>
      <c r="H685" s="261"/>
      <c r="I685" s="264" t="s">
        <v>2151</v>
      </c>
      <c r="L685" s="252"/>
    </row>
    <row r="686" spans="1:12" ht="42">
      <c r="A686" s="261"/>
      <c r="B686" s="261"/>
      <c r="C686" s="262"/>
      <c r="D686" s="288" t="s">
        <v>1392</v>
      </c>
      <c r="E686" s="262" t="s">
        <v>1408</v>
      </c>
      <c r="F686" s="261">
        <v>1</v>
      </c>
      <c r="G686" s="263"/>
      <c r="H686" s="261"/>
      <c r="I686" s="264" t="s">
        <v>2151</v>
      </c>
      <c r="L686" s="252"/>
    </row>
    <row r="687" spans="1:12" ht="42">
      <c r="A687" s="261"/>
      <c r="B687" s="261"/>
      <c r="C687" s="262"/>
      <c r="D687" s="288" t="s">
        <v>1393</v>
      </c>
      <c r="E687" s="262" t="s">
        <v>1409</v>
      </c>
      <c r="F687" s="261">
        <v>1</v>
      </c>
      <c r="G687" s="263"/>
      <c r="H687" s="261"/>
      <c r="I687" s="264" t="s">
        <v>2151</v>
      </c>
      <c r="L687" s="252"/>
    </row>
    <row r="688" spans="1:12" ht="42">
      <c r="A688" s="261"/>
      <c r="B688" s="261"/>
      <c r="C688" s="262"/>
      <c r="D688" s="288" t="s">
        <v>1394</v>
      </c>
      <c r="E688" s="262" t="s">
        <v>1410</v>
      </c>
      <c r="F688" s="261">
        <v>1</v>
      </c>
      <c r="G688" s="263"/>
      <c r="H688" s="261"/>
      <c r="I688" s="264" t="s">
        <v>2151</v>
      </c>
      <c r="L688" s="252"/>
    </row>
    <row r="689" spans="1:12">
      <c r="A689" s="261"/>
      <c r="B689" s="261"/>
      <c r="C689" s="262"/>
      <c r="D689" s="262" t="s">
        <v>1395</v>
      </c>
      <c r="E689" s="262" t="s">
        <v>1411</v>
      </c>
      <c r="F689" s="261">
        <v>1</v>
      </c>
      <c r="G689" s="263"/>
      <c r="H689" s="261"/>
      <c r="I689" s="264" t="s">
        <v>2151</v>
      </c>
      <c r="L689" s="252"/>
    </row>
    <row r="690" spans="1:12">
      <c r="A690" s="261"/>
      <c r="B690" s="261"/>
      <c r="C690" s="262"/>
      <c r="D690" s="262" t="s">
        <v>1396</v>
      </c>
      <c r="E690" s="262" t="s">
        <v>1412</v>
      </c>
      <c r="F690" s="261">
        <v>2</v>
      </c>
      <c r="G690" s="263"/>
      <c r="H690" s="261"/>
      <c r="I690" s="264" t="s">
        <v>2151</v>
      </c>
      <c r="L690" s="252"/>
    </row>
    <row r="691" spans="1:12">
      <c r="A691" s="261"/>
      <c r="B691" s="261"/>
      <c r="C691" s="262"/>
      <c r="D691" s="262" t="s">
        <v>1142</v>
      </c>
      <c r="E691" s="262" t="s">
        <v>1715</v>
      </c>
      <c r="F691" s="261">
        <v>1</v>
      </c>
      <c r="G691" s="263"/>
      <c r="H691" s="261"/>
      <c r="I691" s="264" t="s">
        <v>2151</v>
      </c>
      <c r="L691" s="252"/>
    </row>
    <row r="692" spans="1:12">
      <c r="A692" s="261"/>
      <c r="B692" s="261"/>
      <c r="C692" s="262"/>
      <c r="D692" s="262" t="s">
        <v>1397</v>
      </c>
      <c r="E692" s="262" t="s">
        <v>1413</v>
      </c>
      <c r="F692" s="261">
        <v>2</v>
      </c>
      <c r="G692" s="263"/>
      <c r="H692" s="261"/>
      <c r="I692" s="264" t="s">
        <v>2151</v>
      </c>
      <c r="L692" s="252"/>
    </row>
    <row r="693" spans="1:12">
      <c r="A693" s="261"/>
      <c r="B693" s="261"/>
      <c r="C693" s="262"/>
      <c r="D693" s="262" t="s">
        <v>1398</v>
      </c>
      <c r="E693" s="262" t="s">
        <v>1414</v>
      </c>
      <c r="F693" s="261">
        <v>1</v>
      </c>
      <c r="G693" s="263"/>
      <c r="H693" s="261"/>
      <c r="I693" s="264" t="s">
        <v>2151</v>
      </c>
      <c r="L693" s="252"/>
    </row>
    <row r="694" spans="1:12">
      <c r="A694" s="261"/>
      <c r="B694" s="261"/>
      <c r="C694" s="262"/>
      <c r="D694" s="262" t="s">
        <v>1399</v>
      </c>
      <c r="E694" s="262" t="s">
        <v>1415</v>
      </c>
      <c r="F694" s="261">
        <v>1</v>
      </c>
      <c r="G694" s="263"/>
      <c r="H694" s="261"/>
      <c r="I694" s="264" t="s">
        <v>2151</v>
      </c>
      <c r="L694" s="252"/>
    </row>
    <row r="695" spans="1:12">
      <c r="A695" s="261"/>
      <c r="B695" s="261"/>
      <c r="C695" s="262"/>
      <c r="D695" s="262" t="s">
        <v>1400</v>
      </c>
      <c r="E695" s="262" t="s">
        <v>1416</v>
      </c>
      <c r="F695" s="261">
        <v>1</v>
      </c>
      <c r="G695" s="263"/>
      <c r="H695" s="261"/>
      <c r="I695" s="264" t="s">
        <v>2151</v>
      </c>
      <c r="L695" s="252"/>
    </row>
    <row r="696" spans="1:12">
      <c r="A696" s="261"/>
      <c r="B696" s="261"/>
      <c r="C696" s="262"/>
      <c r="D696" s="262" t="s">
        <v>1401</v>
      </c>
      <c r="E696" s="262" t="s">
        <v>1417</v>
      </c>
      <c r="F696" s="261">
        <v>1</v>
      </c>
      <c r="G696" s="263"/>
      <c r="H696" s="261"/>
      <c r="I696" s="264" t="s">
        <v>2151</v>
      </c>
      <c r="L696" s="252"/>
    </row>
    <row r="697" spans="1:12">
      <c r="A697" s="261"/>
      <c r="B697" s="261"/>
      <c r="C697" s="262"/>
      <c r="D697" s="262" t="s">
        <v>1402</v>
      </c>
      <c r="E697" s="262" t="s">
        <v>1418</v>
      </c>
      <c r="F697" s="261">
        <v>1</v>
      </c>
      <c r="G697" s="263"/>
      <c r="H697" s="261"/>
      <c r="I697" s="264" t="s">
        <v>2151</v>
      </c>
      <c r="L697" s="252"/>
    </row>
    <row r="698" spans="1:12">
      <c r="A698" s="261"/>
      <c r="B698" s="261"/>
      <c r="C698" s="262"/>
      <c r="D698" s="262" t="s">
        <v>1403</v>
      </c>
      <c r="E698" s="262" t="s">
        <v>1419</v>
      </c>
      <c r="F698" s="261">
        <v>2</v>
      </c>
      <c r="G698" s="263"/>
      <c r="H698" s="261"/>
      <c r="I698" s="264" t="s">
        <v>2151</v>
      </c>
      <c r="L698" s="252"/>
    </row>
    <row r="699" spans="1:12">
      <c r="A699" s="280">
        <v>71870</v>
      </c>
      <c r="B699" s="280" t="s">
        <v>130</v>
      </c>
      <c r="C699" s="281" t="s">
        <v>20</v>
      </c>
      <c r="D699" s="281" t="s">
        <v>147</v>
      </c>
      <c r="E699" s="281" t="s">
        <v>146</v>
      </c>
      <c r="F699" s="280">
        <v>4</v>
      </c>
      <c r="G699" s="282">
        <v>45849</v>
      </c>
      <c r="H699" s="280" t="s">
        <v>2639</v>
      </c>
      <c r="I699" s="264" t="s">
        <v>2151</v>
      </c>
      <c r="L699" s="252"/>
    </row>
    <row r="700" spans="1:12">
      <c r="A700" s="261"/>
      <c r="B700" s="261"/>
      <c r="C700" s="262"/>
      <c r="D700" s="262" t="s">
        <v>1717</v>
      </c>
      <c r="E700" s="262" t="s">
        <v>1721</v>
      </c>
      <c r="F700" s="261">
        <v>1</v>
      </c>
      <c r="G700" s="263"/>
      <c r="H700" s="261"/>
      <c r="I700" s="264" t="s">
        <v>2151</v>
      </c>
      <c r="L700" s="252"/>
    </row>
    <row r="701" spans="1:12">
      <c r="A701" s="261"/>
      <c r="B701" s="261"/>
      <c r="C701" s="262"/>
      <c r="D701" s="262" t="s">
        <v>1718</v>
      </c>
      <c r="E701" s="262" t="s">
        <v>1722</v>
      </c>
      <c r="F701" s="261">
        <v>1</v>
      </c>
      <c r="G701" s="263"/>
      <c r="H701" s="261"/>
      <c r="I701" s="264" t="s">
        <v>2151</v>
      </c>
      <c r="L701" s="252"/>
    </row>
    <row r="702" spans="1:12">
      <c r="A702" s="239"/>
      <c r="B702" s="239"/>
      <c r="C702" s="264"/>
      <c r="D702" s="284" t="s">
        <v>1164</v>
      </c>
      <c r="E702" s="284" t="s">
        <v>1719</v>
      </c>
      <c r="F702" s="285">
        <v>1</v>
      </c>
      <c r="G702" s="286"/>
      <c r="H702" s="285"/>
      <c r="I702" s="264" t="s">
        <v>2151</v>
      </c>
      <c r="L702" s="252"/>
    </row>
    <row r="703" spans="1:12">
      <c r="A703" s="261"/>
      <c r="B703" s="261"/>
      <c r="C703" s="262"/>
      <c r="D703" s="262" t="s">
        <v>1324</v>
      </c>
      <c r="E703" s="262" t="s">
        <v>1724</v>
      </c>
      <c r="F703" s="261">
        <v>1</v>
      </c>
      <c r="G703" s="263"/>
      <c r="H703" s="261"/>
      <c r="I703" s="264" t="s">
        <v>2151</v>
      </c>
      <c r="L703" s="252"/>
    </row>
    <row r="704" spans="1:12">
      <c r="A704" s="261"/>
      <c r="B704" s="261"/>
      <c r="C704" s="262"/>
      <c r="D704" s="262" t="s">
        <v>1723</v>
      </c>
      <c r="E704" s="262" t="s">
        <v>1725</v>
      </c>
      <c r="F704" s="261">
        <v>1</v>
      </c>
      <c r="G704" s="263"/>
      <c r="H704" s="261"/>
      <c r="I704" s="264" t="s">
        <v>2151</v>
      </c>
      <c r="L704" s="252"/>
    </row>
    <row r="705" spans="1:12">
      <c r="A705" s="261"/>
      <c r="B705" s="261"/>
      <c r="C705" s="262"/>
      <c r="D705" s="262" t="s">
        <v>1182</v>
      </c>
      <c r="E705" s="262" t="s">
        <v>1726</v>
      </c>
      <c r="F705" s="261">
        <v>1</v>
      </c>
      <c r="G705" s="263"/>
      <c r="H705" s="261"/>
      <c r="I705" s="264" t="s">
        <v>2151</v>
      </c>
      <c r="L705" s="252"/>
    </row>
    <row r="706" spans="1:12">
      <c r="A706" s="239"/>
      <c r="B706" s="239"/>
      <c r="C706" s="264"/>
      <c r="D706" s="284" t="s">
        <v>1716</v>
      </c>
      <c r="E706" s="284" t="s">
        <v>1720</v>
      </c>
      <c r="F706" s="285">
        <v>1</v>
      </c>
      <c r="G706" s="286"/>
      <c r="H706" s="285"/>
      <c r="I706" s="264" t="s">
        <v>2151</v>
      </c>
      <c r="L706" s="252"/>
    </row>
    <row r="707" spans="1:12">
      <c r="A707" s="261"/>
      <c r="B707" s="261"/>
      <c r="C707" s="262"/>
      <c r="D707" s="262" t="s">
        <v>1184</v>
      </c>
      <c r="E707" s="262" t="s">
        <v>1728</v>
      </c>
      <c r="F707" s="261">
        <v>1</v>
      </c>
      <c r="G707" s="263"/>
      <c r="H707" s="261"/>
      <c r="I707" s="264" t="s">
        <v>2151</v>
      </c>
      <c r="L707" s="252"/>
    </row>
    <row r="708" spans="1:12">
      <c r="A708" s="261"/>
      <c r="B708" s="261"/>
      <c r="C708" s="262"/>
      <c r="D708" s="262" t="s">
        <v>1565</v>
      </c>
      <c r="E708" s="262" t="s">
        <v>1729</v>
      </c>
      <c r="F708" s="261">
        <v>1</v>
      </c>
      <c r="G708" s="263"/>
      <c r="H708" s="261"/>
      <c r="I708" s="264" t="s">
        <v>2151</v>
      </c>
      <c r="L708" s="252"/>
    </row>
    <row r="709" spans="1:12">
      <c r="A709" s="261"/>
      <c r="B709" s="261"/>
      <c r="C709" s="262"/>
      <c r="D709" s="262" t="s">
        <v>1727</v>
      </c>
      <c r="E709" s="262" t="s">
        <v>1730</v>
      </c>
      <c r="F709" s="261">
        <v>2</v>
      </c>
      <c r="G709" s="263"/>
      <c r="H709" s="261"/>
      <c r="I709" s="264" t="s">
        <v>2151</v>
      </c>
      <c r="L709" s="252"/>
    </row>
    <row r="710" spans="1:12">
      <c r="A710" s="239">
        <v>71873</v>
      </c>
      <c r="B710" s="239" t="s">
        <v>135</v>
      </c>
      <c r="C710" s="264" t="s">
        <v>20</v>
      </c>
      <c r="D710" s="264" t="s">
        <v>149</v>
      </c>
      <c r="E710" s="264" t="s">
        <v>148</v>
      </c>
      <c r="F710" s="239" t="s">
        <v>150</v>
      </c>
      <c r="G710" s="265">
        <v>45919</v>
      </c>
      <c r="H710" s="239"/>
      <c r="I710" s="264" t="s">
        <v>2488</v>
      </c>
      <c r="L710" s="252"/>
    </row>
    <row r="711" spans="1:12">
      <c r="A711" s="280">
        <v>71879</v>
      </c>
      <c r="B711" s="280" t="s">
        <v>151</v>
      </c>
      <c r="C711" s="281" t="s">
        <v>20</v>
      </c>
      <c r="D711" s="281" t="s">
        <v>14</v>
      </c>
      <c r="E711" s="281" t="s">
        <v>15</v>
      </c>
      <c r="F711" s="280">
        <v>1</v>
      </c>
      <c r="G711" s="282">
        <v>45854</v>
      </c>
      <c r="H711" s="280" t="s">
        <v>2639</v>
      </c>
      <c r="I711" s="264" t="s">
        <v>2151</v>
      </c>
      <c r="L711" s="252"/>
    </row>
    <row r="712" spans="1:12">
      <c r="A712" s="261"/>
      <c r="B712" s="261"/>
      <c r="C712" s="262"/>
      <c r="D712" s="262" t="s">
        <v>1731</v>
      </c>
      <c r="E712" s="262" t="s">
        <v>1741</v>
      </c>
      <c r="F712" s="261"/>
      <c r="G712" s="263"/>
      <c r="H712" s="261"/>
      <c r="I712" s="264" t="s">
        <v>2151</v>
      </c>
      <c r="L712" s="252"/>
    </row>
    <row r="713" spans="1:12">
      <c r="A713" s="239"/>
      <c r="B713" s="239"/>
      <c r="C713" s="264"/>
      <c r="D713" s="284" t="s">
        <v>1732</v>
      </c>
      <c r="E713" s="284" t="s">
        <v>1740</v>
      </c>
      <c r="F713" s="285"/>
      <c r="G713" s="286"/>
      <c r="H713" s="285"/>
      <c r="I713" s="264" t="s">
        <v>2151</v>
      </c>
      <c r="L713" s="252"/>
    </row>
    <row r="714" spans="1:12">
      <c r="A714" s="261"/>
      <c r="B714" s="261"/>
      <c r="C714" s="262"/>
      <c r="D714" s="262" t="s">
        <v>1738</v>
      </c>
      <c r="E714" s="262" t="s">
        <v>1742</v>
      </c>
      <c r="F714" s="261">
        <v>1</v>
      </c>
      <c r="G714" s="263"/>
      <c r="H714" s="261"/>
      <c r="I714" s="264" t="s">
        <v>2151</v>
      </c>
      <c r="L714" s="252"/>
    </row>
    <row r="715" spans="1:12">
      <c r="A715" s="261"/>
      <c r="B715" s="261"/>
      <c r="C715" s="262"/>
      <c r="D715" s="262" t="s">
        <v>1739</v>
      </c>
      <c r="E715" s="262" t="s">
        <v>1743</v>
      </c>
      <c r="F715" s="261">
        <v>1</v>
      </c>
      <c r="G715" s="263"/>
      <c r="H715" s="261"/>
      <c r="I715" s="264" t="s">
        <v>2151</v>
      </c>
      <c r="L715" s="252"/>
    </row>
    <row r="716" spans="1:12">
      <c r="A716" s="239"/>
      <c r="B716" s="239"/>
      <c r="C716" s="264"/>
      <c r="D716" s="284" t="s">
        <v>1733</v>
      </c>
      <c r="E716" s="284" t="s">
        <v>1749</v>
      </c>
      <c r="F716" s="285"/>
      <c r="G716" s="286"/>
      <c r="H716" s="285"/>
      <c r="I716" s="264" t="s">
        <v>2151</v>
      </c>
      <c r="L716" s="252"/>
    </row>
    <row r="717" spans="1:12">
      <c r="A717" s="261"/>
      <c r="B717" s="261"/>
      <c r="C717" s="262"/>
      <c r="D717" s="262" t="s">
        <v>1744</v>
      </c>
      <c r="E717" s="262" t="s">
        <v>1750</v>
      </c>
      <c r="F717" s="261">
        <v>1</v>
      </c>
      <c r="G717" s="263"/>
      <c r="H717" s="261"/>
      <c r="I717" s="264" t="s">
        <v>2151</v>
      </c>
      <c r="L717" s="252"/>
    </row>
    <row r="718" spans="1:12">
      <c r="A718" s="261"/>
      <c r="B718" s="261"/>
      <c r="C718" s="262"/>
      <c r="D718" s="262" t="s">
        <v>1745</v>
      </c>
      <c r="E718" s="262" t="s">
        <v>1751</v>
      </c>
      <c r="F718" s="261">
        <v>1</v>
      </c>
      <c r="G718" s="263"/>
      <c r="H718" s="261"/>
      <c r="I718" s="264" t="s">
        <v>2151</v>
      </c>
      <c r="L718" s="252"/>
    </row>
    <row r="719" spans="1:12">
      <c r="A719" s="261"/>
      <c r="B719" s="261"/>
      <c r="C719" s="262"/>
      <c r="D719" s="262" t="s">
        <v>1746</v>
      </c>
      <c r="E719" s="262" t="s">
        <v>1752</v>
      </c>
      <c r="F719" s="261">
        <v>1</v>
      </c>
      <c r="G719" s="263"/>
      <c r="H719" s="261"/>
      <c r="I719" s="264" t="s">
        <v>2151</v>
      </c>
      <c r="L719" s="252"/>
    </row>
    <row r="720" spans="1:12">
      <c r="A720" s="261"/>
      <c r="B720" s="261"/>
      <c r="C720" s="262"/>
      <c r="D720" s="262" t="s">
        <v>1747</v>
      </c>
      <c r="E720" s="262" t="s">
        <v>1753</v>
      </c>
      <c r="F720" s="261">
        <v>1</v>
      </c>
      <c r="G720" s="263"/>
      <c r="H720" s="261"/>
      <c r="I720" s="264" t="s">
        <v>2151</v>
      </c>
      <c r="L720" s="252"/>
    </row>
    <row r="721" spans="1:12">
      <c r="A721" s="239"/>
      <c r="B721" s="239"/>
      <c r="C721" s="264"/>
      <c r="D721" s="298" t="s">
        <v>1748</v>
      </c>
      <c r="E721" s="298" t="s">
        <v>1754</v>
      </c>
      <c r="F721" s="299">
        <v>1</v>
      </c>
      <c r="G721" s="300"/>
      <c r="H721" s="299"/>
      <c r="I721" s="264" t="s">
        <v>2151</v>
      </c>
      <c r="L721" s="252"/>
    </row>
    <row r="722" spans="1:12">
      <c r="A722" s="239"/>
      <c r="B722" s="239"/>
      <c r="C722" s="264"/>
      <c r="D722" s="298" t="s">
        <v>1745</v>
      </c>
      <c r="E722" s="298" t="s">
        <v>1751</v>
      </c>
      <c r="F722" s="299">
        <v>1</v>
      </c>
      <c r="G722" s="300"/>
      <c r="H722" s="299"/>
      <c r="I722" s="264" t="s">
        <v>2151</v>
      </c>
      <c r="L722" s="252"/>
    </row>
    <row r="723" spans="1:12">
      <c r="A723" s="239"/>
      <c r="B723" s="239"/>
      <c r="C723" s="264"/>
      <c r="D723" s="298" t="s">
        <v>1746</v>
      </c>
      <c r="E723" s="298" t="s">
        <v>1752</v>
      </c>
      <c r="F723" s="299">
        <v>1</v>
      </c>
      <c r="G723" s="300"/>
      <c r="H723" s="299"/>
      <c r="I723" s="264" t="s">
        <v>2151</v>
      </c>
      <c r="L723" s="252"/>
    </row>
    <row r="724" spans="1:12">
      <c r="A724" s="239"/>
      <c r="B724" s="239"/>
      <c r="C724" s="264"/>
      <c r="D724" s="284" t="s">
        <v>1734</v>
      </c>
      <c r="E724" s="284" t="s">
        <v>1755</v>
      </c>
      <c r="F724" s="285"/>
      <c r="G724" s="286"/>
      <c r="H724" s="285"/>
      <c r="I724" s="264" t="s">
        <v>2151</v>
      </c>
      <c r="L724" s="252"/>
    </row>
    <row r="725" spans="1:12">
      <c r="A725" s="261"/>
      <c r="B725" s="261"/>
      <c r="C725" s="262"/>
      <c r="D725" s="262" t="s">
        <v>1756</v>
      </c>
      <c r="E725" s="262" t="s">
        <v>1761</v>
      </c>
      <c r="F725" s="261">
        <v>1</v>
      </c>
      <c r="G725" s="263"/>
      <c r="H725" s="261"/>
      <c r="I725" s="264" t="s">
        <v>2151</v>
      </c>
      <c r="L725" s="252"/>
    </row>
    <row r="726" spans="1:12">
      <c r="A726" s="261"/>
      <c r="B726" s="261"/>
      <c r="C726" s="262"/>
      <c r="D726" s="262" t="s">
        <v>1744</v>
      </c>
      <c r="E726" s="262" t="s">
        <v>1762</v>
      </c>
      <c r="F726" s="261">
        <v>1</v>
      </c>
      <c r="G726" s="263"/>
      <c r="H726" s="261"/>
      <c r="I726" s="264" t="s">
        <v>2151</v>
      </c>
      <c r="L726" s="252"/>
    </row>
    <row r="727" spans="1:12">
      <c r="A727" s="261"/>
      <c r="B727" s="261"/>
      <c r="C727" s="262"/>
      <c r="D727" s="262" t="s">
        <v>1757</v>
      </c>
      <c r="E727" s="262" t="s">
        <v>1763</v>
      </c>
      <c r="F727" s="261">
        <v>1</v>
      </c>
      <c r="G727" s="263"/>
      <c r="H727" s="261"/>
      <c r="I727" s="264" t="s">
        <v>2151</v>
      </c>
      <c r="L727" s="252"/>
    </row>
    <row r="728" spans="1:12">
      <c r="A728" s="261"/>
      <c r="B728" s="261"/>
      <c r="C728" s="262"/>
      <c r="D728" s="262" t="s">
        <v>1758</v>
      </c>
      <c r="E728" s="262" t="s">
        <v>1764</v>
      </c>
      <c r="F728" s="261">
        <v>1</v>
      </c>
      <c r="G728" s="263"/>
      <c r="H728" s="261"/>
      <c r="I728" s="264" t="s">
        <v>2151</v>
      </c>
      <c r="L728" s="252"/>
    </row>
    <row r="729" spans="1:12">
      <c r="A729" s="261"/>
      <c r="B729" s="261"/>
      <c r="C729" s="262"/>
      <c r="D729" s="262" t="s">
        <v>1759</v>
      </c>
      <c r="E729" s="262" t="s">
        <v>1765</v>
      </c>
      <c r="F729" s="261">
        <v>1</v>
      </c>
      <c r="G729" s="263"/>
      <c r="H729" s="261"/>
      <c r="I729" s="264" t="s">
        <v>2151</v>
      </c>
      <c r="L729" s="252"/>
    </row>
    <row r="730" spans="1:12">
      <c r="A730" s="261"/>
      <c r="B730" s="261"/>
      <c r="C730" s="262"/>
      <c r="D730" s="262" t="s">
        <v>1760</v>
      </c>
      <c r="E730" s="262" t="s">
        <v>1766</v>
      </c>
      <c r="F730" s="261">
        <v>1</v>
      </c>
      <c r="G730" s="263"/>
      <c r="H730" s="261"/>
      <c r="I730" s="264" t="s">
        <v>2151</v>
      </c>
      <c r="L730" s="252"/>
    </row>
    <row r="731" spans="1:12">
      <c r="A731" s="261"/>
      <c r="B731" s="261"/>
      <c r="C731" s="262"/>
      <c r="D731" s="262" t="s">
        <v>1748</v>
      </c>
      <c r="E731" s="262" t="s">
        <v>1767</v>
      </c>
      <c r="F731" s="261">
        <v>1</v>
      </c>
      <c r="G731" s="263"/>
      <c r="H731" s="261"/>
      <c r="I731" s="264" t="s">
        <v>2151</v>
      </c>
      <c r="L731" s="252"/>
    </row>
    <row r="732" spans="1:12">
      <c r="A732" s="239"/>
      <c r="B732" s="239"/>
      <c r="C732" s="264"/>
      <c r="D732" s="298" t="s">
        <v>1735</v>
      </c>
      <c r="E732" s="298" t="s">
        <v>1768</v>
      </c>
      <c r="F732" s="299"/>
      <c r="G732" s="300"/>
      <c r="H732" s="299"/>
      <c r="I732" s="264" t="s">
        <v>2151</v>
      </c>
      <c r="L732" s="252"/>
    </row>
    <row r="733" spans="1:12">
      <c r="A733" s="261"/>
      <c r="B733" s="261"/>
      <c r="C733" s="262"/>
      <c r="D733" s="262" t="s">
        <v>1736</v>
      </c>
      <c r="E733" s="262" t="s">
        <v>1769</v>
      </c>
      <c r="F733" s="261"/>
      <c r="G733" s="263"/>
      <c r="H733" s="261"/>
      <c r="I733" s="264" t="s">
        <v>2151</v>
      </c>
      <c r="L733" s="252"/>
    </row>
    <row r="734" spans="1:12">
      <c r="A734" s="261"/>
      <c r="B734" s="261"/>
      <c r="C734" s="262"/>
      <c r="D734" s="262" t="s">
        <v>1737</v>
      </c>
      <c r="E734" s="262" t="s">
        <v>1770</v>
      </c>
      <c r="F734" s="261"/>
      <c r="G734" s="263"/>
      <c r="H734" s="261"/>
      <c r="I734" s="264" t="s">
        <v>2151</v>
      </c>
      <c r="L734" s="252"/>
    </row>
    <row r="735" spans="1:12">
      <c r="A735" s="261"/>
      <c r="B735" s="261"/>
      <c r="C735" s="262"/>
      <c r="D735" s="262" t="s">
        <v>1738</v>
      </c>
      <c r="E735" s="262" t="s">
        <v>1771</v>
      </c>
      <c r="F735" s="261"/>
      <c r="G735" s="263"/>
      <c r="H735" s="261"/>
      <c r="I735" s="264" t="s">
        <v>2151</v>
      </c>
      <c r="L735" s="252"/>
    </row>
    <row r="736" spans="1:12">
      <c r="A736" s="261"/>
      <c r="B736" s="261"/>
      <c r="C736" s="262"/>
      <c r="D736" s="262" t="s">
        <v>1739</v>
      </c>
      <c r="E736" s="262" t="s">
        <v>1743</v>
      </c>
      <c r="F736" s="261"/>
      <c r="G736" s="263"/>
      <c r="H736" s="261"/>
      <c r="I736" s="264" t="s">
        <v>2151</v>
      </c>
      <c r="L736" s="252"/>
    </row>
    <row r="737" spans="1:12">
      <c r="A737" s="280">
        <v>71880</v>
      </c>
      <c r="B737" s="280" t="s">
        <v>151</v>
      </c>
      <c r="C737" s="281" t="s">
        <v>20</v>
      </c>
      <c r="D737" s="281" t="s">
        <v>52</v>
      </c>
      <c r="E737" s="281" t="s">
        <v>51</v>
      </c>
      <c r="F737" s="280">
        <v>7</v>
      </c>
      <c r="G737" s="282">
        <v>45854</v>
      </c>
      <c r="H737" s="280" t="s">
        <v>2639</v>
      </c>
      <c r="I737" s="264" t="s">
        <v>2151</v>
      </c>
      <c r="L737" s="252"/>
    </row>
    <row r="738" spans="1:12">
      <c r="A738" s="261"/>
      <c r="B738" s="261"/>
      <c r="C738" s="262"/>
      <c r="D738" s="262" t="s">
        <v>1772</v>
      </c>
      <c r="E738" s="262" t="s">
        <v>1175</v>
      </c>
      <c r="F738" s="261">
        <v>1</v>
      </c>
      <c r="G738" s="263"/>
      <c r="H738" s="261"/>
      <c r="I738" s="264" t="s">
        <v>2151</v>
      </c>
      <c r="L738" s="252"/>
    </row>
    <row r="739" spans="1:12">
      <c r="A739" s="261">
        <v>71881</v>
      </c>
      <c r="B739" s="261" t="s">
        <v>151</v>
      </c>
      <c r="C739" s="262" t="s">
        <v>20</v>
      </c>
      <c r="D739" s="262" t="s">
        <v>54</v>
      </c>
      <c r="E739" s="262" t="s">
        <v>53</v>
      </c>
      <c r="F739" s="261">
        <v>2</v>
      </c>
      <c r="G739" s="263">
        <v>45854</v>
      </c>
      <c r="H739" s="261" t="s">
        <v>2639</v>
      </c>
      <c r="I739" s="264" t="s">
        <v>2151</v>
      </c>
      <c r="L739" s="252"/>
    </row>
    <row r="740" spans="1:12">
      <c r="A740" s="261"/>
      <c r="B740" s="261"/>
      <c r="C740" s="262"/>
      <c r="D740" s="262" t="s">
        <v>1775</v>
      </c>
      <c r="E740" s="262" t="s">
        <v>1780</v>
      </c>
      <c r="F740" s="261">
        <v>1</v>
      </c>
      <c r="G740" s="263"/>
      <c r="H740" s="261"/>
      <c r="I740" s="264" t="s">
        <v>2151</v>
      </c>
      <c r="L740" s="252"/>
    </row>
    <row r="741" spans="1:12">
      <c r="A741" s="239"/>
      <c r="B741" s="239"/>
      <c r="C741" s="264"/>
      <c r="D741" s="284" t="s">
        <v>1773</v>
      </c>
      <c r="E741" s="284" t="s">
        <v>1776</v>
      </c>
      <c r="F741" s="285">
        <v>1</v>
      </c>
      <c r="G741" s="286"/>
      <c r="H741" s="285"/>
      <c r="I741" s="264" t="s">
        <v>2151</v>
      </c>
      <c r="L741" s="252"/>
    </row>
    <row r="742" spans="1:12">
      <c r="A742" s="239"/>
      <c r="B742" s="239"/>
      <c r="C742" s="264"/>
      <c r="D742" s="284" t="s">
        <v>1774</v>
      </c>
      <c r="E742" s="284" t="s">
        <v>1777</v>
      </c>
      <c r="F742" s="285">
        <v>1</v>
      </c>
      <c r="G742" s="286"/>
      <c r="H742" s="285"/>
      <c r="I742" s="264" t="s">
        <v>2151</v>
      </c>
      <c r="L742" s="252"/>
    </row>
    <row r="743" spans="1:12">
      <c r="A743" s="261"/>
      <c r="B743" s="261"/>
      <c r="C743" s="262"/>
      <c r="D743" s="262" t="s">
        <v>1774</v>
      </c>
      <c r="E743" s="262" t="s">
        <v>1777</v>
      </c>
      <c r="F743" s="261">
        <v>1</v>
      </c>
      <c r="G743" s="263"/>
      <c r="H743" s="261"/>
      <c r="I743" s="264" t="s">
        <v>2151</v>
      </c>
      <c r="L743" s="252"/>
    </row>
    <row r="744" spans="1:12">
      <c r="A744" s="261"/>
      <c r="B744" s="261"/>
      <c r="C744" s="262"/>
      <c r="D744" s="262" t="s">
        <v>1778</v>
      </c>
      <c r="E744" s="262" t="s">
        <v>1779</v>
      </c>
      <c r="F744" s="261">
        <v>1</v>
      </c>
      <c r="G744" s="263"/>
      <c r="H744" s="261"/>
      <c r="I744" s="264" t="s">
        <v>2151</v>
      </c>
      <c r="L744" s="252"/>
    </row>
    <row r="745" spans="1:12">
      <c r="A745" s="280">
        <v>71882</v>
      </c>
      <c r="B745" s="280" t="s">
        <v>151</v>
      </c>
      <c r="C745" s="281" t="s">
        <v>20</v>
      </c>
      <c r="D745" s="281" t="s">
        <v>56</v>
      </c>
      <c r="E745" s="281" t="s">
        <v>55</v>
      </c>
      <c r="F745" s="280">
        <v>17</v>
      </c>
      <c r="G745" s="282">
        <v>45854</v>
      </c>
      <c r="H745" s="280" t="s">
        <v>2639</v>
      </c>
      <c r="I745" s="264" t="s">
        <v>2151</v>
      </c>
      <c r="L745" s="252"/>
    </row>
    <row r="746" spans="1:12">
      <c r="A746" s="261"/>
      <c r="B746" s="261"/>
      <c r="C746" s="262"/>
      <c r="D746" s="262" t="s">
        <v>1781</v>
      </c>
      <c r="E746" s="262" t="s">
        <v>1786</v>
      </c>
      <c r="F746" s="261">
        <v>1</v>
      </c>
      <c r="G746" s="263"/>
      <c r="H746" s="261"/>
      <c r="I746" s="264" t="s">
        <v>2151</v>
      </c>
      <c r="L746" s="252"/>
    </row>
    <row r="747" spans="1:12">
      <c r="A747" s="261"/>
      <c r="B747" s="261"/>
      <c r="C747" s="262"/>
      <c r="D747" s="262" t="s">
        <v>1782</v>
      </c>
      <c r="E747" s="262" t="s">
        <v>1787</v>
      </c>
      <c r="F747" s="261">
        <v>1</v>
      </c>
      <c r="G747" s="263"/>
      <c r="H747" s="261"/>
      <c r="I747" s="264" t="s">
        <v>2151</v>
      </c>
      <c r="L747" s="252"/>
    </row>
    <row r="748" spans="1:12">
      <c r="A748" s="261"/>
      <c r="B748" s="261"/>
      <c r="C748" s="262"/>
      <c r="D748" s="262" t="s">
        <v>1782</v>
      </c>
      <c r="E748" s="262" t="s">
        <v>1788</v>
      </c>
      <c r="F748" s="261">
        <v>1</v>
      </c>
      <c r="G748" s="263"/>
      <c r="H748" s="261"/>
      <c r="I748" s="264" t="s">
        <v>2151</v>
      </c>
      <c r="L748" s="252"/>
    </row>
    <row r="749" spans="1:12">
      <c r="A749" s="261"/>
      <c r="B749" s="261"/>
      <c r="C749" s="262"/>
      <c r="D749" s="262" t="s">
        <v>1783</v>
      </c>
      <c r="E749" s="262" t="s">
        <v>1791</v>
      </c>
      <c r="F749" s="261">
        <v>1</v>
      </c>
      <c r="G749" s="263"/>
      <c r="H749" s="261"/>
      <c r="I749" s="264" t="s">
        <v>2151</v>
      </c>
      <c r="L749" s="252"/>
    </row>
    <row r="750" spans="1:12">
      <c r="A750" s="261"/>
      <c r="B750" s="261"/>
      <c r="C750" s="262"/>
      <c r="D750" s="262" t="s">
        <v>1785</v>
      </c>
      <c r="E750" s="262" t="s">
        <v>1790</v>
      </c>
      <c r="F750" s="261">
        <v>1</v>
      </c>
      <c r="G750" s="263"/>
      <c r="H750" s="261"/>
      <c r="I750" s="264" t="s">
        <v>2151</v>
      </c>
      <c r="L750" s="252"/>
    </row>
    <row r="751" spans="1:12">
      <c r="A751" s="239"/>
      <c r="B751" s="239"/>
      <c r="C751" s="264"/>
      <c r="D751" s="284" t="s">
        <v>1784</v>
      </c>
      <c r="E751" s="284" t="s">
        <v>1789</v>
      </c>
      <c r="F751" s="285">
        <v>1</v>
      </c>
      <c r="G751" s="286"/>
      <c r="H751" s="285"/>
      <c r="I751" s="264" t="s">
        <v>2151</v>
      </c>
      <c r="L751" s="252"/>
    </row>
    <row r="752" spans="1:12">
      <c r="A752" s="261"/>
      <c r="B752" s="261"/>
      <c r="C752" s="262"/>
      <c r="D752" s="262" t="s">
        <v>1783</v>
      </c>
      <c r="E752" s="262" t="s">
        <v>1791</v>
      </c>
      <c r="F752" s="261">
        <v>1</v>
      </c>
      <c r="G752" s="263"/>
      <c r="H752" s="261"/>
      <c r="I752" s="264" t="s">
        <v>2151</v>
      </c>
      <c r="L752" s="252"/>
    </row>
    <row r="753" spans="1:48">
      <c r="A753" s="261"/>
      <c r="B753" s="261"/>
      <c r="C753" s="262"/>
      <c r="D753" s="262" t="s">
        <v>1785</v>
      </c>
      <c r="E753" s="262" t="s">
        <v>1790</v>
      </c>
      <c r="F753" s="261">
        <v>1</v>
      </c>
      <c r="G753" s="263"/>
      <c r="H753" s="261"/>
      <c r="I753" s="264" t="s">
        <v>2151</v>
      </c>
      <c r="L753" s="252"/>
    </row>
    <row r="754" spans="1:48">
      <c r="A754" s="261">
        <v>71883</v>
      </c>
      <c r="B754" s="261" t="s">
        <v>151</v>
      </c>
      <c r="C754" s="262" t="s">
        <v>20</v>
      </c>
      <c r="D754" s="262" t="s">
        <v>58</v>
      </c>
      <c r="E754" s="262" t="s">
        <v>57</v>
      </c>
      <c r="F754" s="261">
        <v>4</v>
      </c>
      <c r="G754" s="263">
        <v>45854</v>
      </c>
      <c r="H754" s="261" t="s">
        <v>2639</v>
      </c>
      <c r="I754" s="264" t="s">
        <v>2151</v>
      </c>
      <c r="L754" s="252"/>
    </row>
    <row r="755" spans="1:48">
      <c r="A755" s="280">
        <v>71884</v>
      </c>
      <c r="B755" s="280" t="s">
        <v>151</v>
      </c>
      <c r="C755" s="281" t="s">
        <v>20</v>
      </c>
      <c r="D755" s="281" t="s">
        <v>60</v>
      </c>
      <c r="E755" s="281" t="s">
        <v>59</v>
      </c>
      <c r="F755" s="280">
        <v>2</v>
      </c>
      <c r="G755" s="282">
        <v>45854</v>
      </c>
      <c r="H755" s="280" t="s">
        <v>2639</v>
      </c>
      <c r="I755" s="264" t="s">
        <v>2151</v>
      </c>
      <c r="L755" s="252"/>
    </row>
    <row r="756" spans="1:48">
      <c r="A756" s="261"/>
      <c r="B756" s="261"/>
      <c r="C756" s="262"/>
      <c r="D756" s="262" t="s">
        <v>1792</v>
      </c>
      <c r="E756" s="262" t="s">
        <v>1794</v>
      </c>
      <c r="F756" s="261"/>
      <c r="G756" s="263"/>
      <c r="H756" s="261"/>
      <c r="I756" s="264" t="s">
        <v>2151</v>
      </c>
      <c r="L756" s="252"/>
    </row>
    <row r="757" spans="1:48">
      <c r="A757" s="261"/>
      <c r="B757" s="261"/>
      <c r="C757" s="262"/>
      <c r="D757" s="262" t="s">
        <v>1793</v>
      </c>
      <c r="E757" s="262" t="s">
        <v>1795</v>
      </c>
      <c r="F757" s="261"/>
      <c r="G757" s="263"/>
      <c r="H757" s="261"/>
      <c r="I757" s="264" t="s">
        <v>2151</v>
      </c>
      <c r="L757" s="252"/>
    </row>
    <row r="758" spans="1:48">
      <c r="A758" s="261">
        <v>71885</v>
      </c>
      <c r="B758" s="261" t="s">
        <v>151</v>
      </c>
      <c r="C758" s="262" t="s">
        <v>20</v>
      </c>
      <c r="D758" s="262" t="s">
        <v>16</v>
      </c>
      <c r="E758" s="262" t="s">
        <v>17</v>
      </c>
      <c r="F758" s="261">
        <v>5</v>
      </c>
      <c r="G758" s="263">
        <v>45854</v>
      </c>
      <c r="H758" s="261" t="s">
        <v>2639</v>
      </c>
      <c r="I758" s="264" t="s">
        <v>2151</v>
      </c>
      <c r="L758" s="252"/>
    </row>
    <row r="759" spans="1:48">
      <c r="A759" s="280">
        <v>71886</v>
      </c>
      <c r="B759" s="280" t="s">
        <v>151</v>
      </c>
      <c r="C759" s="281" t="s">
        <v>20</v>
      </c>
      <c r="D759" s="281" t="s">
        <v>62</v>
      </c>
      <c r="E759" s="281" t="s">
        <v>61</v>
      </c>
      <c r="F759" s="280">
        <v>2</v>
      </c>
      <c r="G759" s="282">
        <v>45877</v>
      </c>
      <c r="H759" s="280" t="s">
        <v>2639</v>
      </c>
      <c r="I759" s="264" t="s">
        <v>2151</v>
      </c>
      <c r="L759" s="251"/>
      <c r="AN759" s="243" t="s">
        <v>2431</v>
      </c>
      <c r="AO759" s="243" t="s">
        <v>2431</v>
      </c>
      <c r="AP759" s="243" t="s">
        <v>2432</v>
      </c>
      <c r="AQ759" s="243" t="s">
        <v>2432</v>
      </c>
      <c r="AR759" s="243" t="s">
        <v>2253</v>
      </c>
      <c r="AS759" s="243" t="s">
        <v>2427</v>
      </c>
      <c r="AT759" s="243" t="s">
        <v>2427</v>
      </c>
      <c r="AU759" s="243" t="s">
        <v>2426</v>
      </c>
      <c r="AV759" s="243" t="s">
        <v>2426</v>
      </c>
    </row>
    <row r="760" spans="1:48">
      <c r="A760" s="261"/>
      <c r="B760" s="261"/>
      <c r="C760" s="262"/>
      <c r="D760" s="262" t="s">
        <v>1796</v>
      </c>
      <c r="E760" s="262" t="s">
        <v>1118</v>
      </c>
      <c r="F760" s="261"/>
      <c r="G760" s="263"/>
      <c r="H760" s="261"/>
      <c r="I760" s="264" t="s">
        <v>2151</v>
      </c>
      <c r="L760" s="251"/>
    </row>
    <row r="761" spans="1:48">
      <c r="A761" s="261"/>
      <c r="B761" s="261"/>
      <c r="C761" s="262"/>
      <c r="D761" s="262" t="s">
        <v>1691</v>
      </c>
      <c r="E761" s="262" t="s">
        <v>1120</v>
      </c>
      <c r="F761" s="261"/>
      <c r="G761" s="263"/>
      <c r="H761" s="261"/>
      <c r="I761" s="264" t="s">
        <v>2151</v>
      </c>
      <c r="L761" s="251"/>
    </row>
    <row r="762" spans="1:48">
      <c r="A762" s="261"/>
      <c r="B762" s="261"/>
      <c r="C762" s="262"/>
      <c r="D762" s="262" t="s">
        <v>1797</v>
      </c>
      <c r="E762" s="262" t="s">
        <v>1122</v>
      </c>
      <c r="F762" s="261"/>
      <c r="G762" s="263"/>
      <c r="H762" s="261"/>
      <c r="I762" s="264" t="s">
        <v>2151</v>
      </c>
      <c r="L762" s="251"/>
    </row>
    <row r="763" spans="1:48">
      <c r="A763" s="239"/>
      <c r="B763" s="239"/>
      <c r="C763" s="264"/>
      <c r="D763" s="284" t="s">
        <v>1125</v>
      </c>
      <c r="E763" s="284" t="s">
        <v>1124</v>
      </c>
      <c r="F763" s="285"/>
      <c r="G763" s="286"/>
      <c r="H763" s="285"/>
      <c r="I763" s="264" t="s">
        <v>2151</v>
      </c>
      <c r="L763" s="251"/>
    </row>
    <row r="764" spans="1:48">
      <c r="A764" s="239"/>
      <c r="B764" s="239"/>
      <c r="C764" s="264"/>
      <c r="D764" s="284" t="s">
        <v>1125</v>
      </c>
      <c r="E764" s="284" t="s">
        <v>1126</v>
      </c>
      <c r="F764" s="285"/>
      <c r="G764" s="286"/>
      <c r="H764" s="285"/>
      <c r="I764" s="264" t="s">
        <v>2151</v>
      </c>
      <c r="L764" s="251"/>
    </row>
    <row r="765" spans="1:48">
      <c r="A765" s="239"/>
      <c r="B765" s="239"/>
      <c r="C765" s="264"/>
      <c r="D765" s="284" t="s">
        <v>1125</v>
      </c>
      <c r="E765" s="284" t="s">
        <v>1127</v>
      </c>
      <c r="F765" s="285"/>
      <c r="G765" s="286"/>
      <c r="H765" s="285"/>
      <c r="I765" s="264" t="s">
        <v>2151</v>
      </c>
      <c r="L765" s="251"/>
    </row>
    <row r="766" spans="1:48">
      <c r="A766" s="239"/>
      <c r="B766" s="239"/>
      <c r="C766" s="264"/>
      <c r="D766" s="284" t="s">
        <v>1125</v>
      </c>
      <c r="E766" s="284" t="s">
        <v>1128</v>
      </c>
      <c r="F766" s="285"/>
      <c r="G766" s="286"/>
      <c r="H766" s="285"/>
      <c r="I766" s="264" t="s">
        <v>2151</v>
      </c>
      <c r="L766" s="251"/>
    </row>
    <row r="767" spans="1:48">
      <c r="A767" s="280">
        <v>71888</v>
      </c>
      <c r="B767" s="280" t="s">
        <v>151</v>
      </c>
      <c r="C767" s="281" t="s">
        <v>20</v>
      </c>
      <c r="D767" s="281" t="s">
        <v>19</v>
      </c>
      <c r="E767" s="281" t="s">
        <v>18</v>
      </c>
      <c r="F767" s="280">
        <v>6</v>
      </c>
      <c r="G767" s="282">
        <v>45854</v>
      </c>
      <c r="H767" s="280" t="s">
        <v>2639</v>
      </c>
      <c r="I767" s="264" t="s">
        <v>2151</v>
      </c>
      <c r="L767" s="252"/>
    </row>
    <row r="768" spans="1:48">
      <c r="A768" s="261"/>
      <c r="B768" s="261"/>
      <c r="C768" s="262"/>
      <c r="D768" s="262" t="s">
        <v>1129</v>
      </c>
      <c r="E768" s="262" t="s">
        <v>1130</v>
      </c>
      <c r="F768" s="261">
        <v>1</v>
      </c>
      <c r="G768" s="263"/>
      <c r="H768" s="261"/>
      <c r="I768" s="264" t="s">
        <v>2151</v>
      </c>
      <c r="L768" s="252"/>
    </row>
    <row r="769" spans="1:76">
      <c r="A769" s="261"/>
      <c r="B769" s="261"/>
      <c r="C769" s="262"/>
      <c r="D769" s="262" t="s">
        <v>1131</v>
      </c>
      <c r="E769" s="262" t="s">
        <v>1132</v>
      </c>
      <c r="F769" s="261">
        <v>1</v>
      </c>
      <c r="G769" s="263"/>
      <c r="H769" s="261"/>
      <c r="I769" s="264" t="s">
        <v>2151</v>
      </c>
      <c r="L769" s="252"/>
    </row>
    <row r="770" spans="1:76">
      <c r="A770" s="261"/>
      <c r="B770" s="261"/>
      <c r="C770" s="262"/>
      <c r="D770" s="262" t="s">
        <v>1133</v>
      </c>
      <c r="E770" s="262" t="s">
        <v>1134</v>
      </c>
      <c r="F770" s="261">
        <v>1</v>
      </c>
      <c r="G770" s="263"/>
      <c r="H770" s="261"/>
      <c r="I770" s="264" t="s">
        <v>2151</v>
      </c>
      <c r="L770" s="252"/>
    </row>
    <row r="771" spans="1:76">
      <c r="A771" s="261"/>
      <c r="B771" s="261"/>
      <c r="C771" s="262"/>
      <c r="D771" s="262" t="s">
        <v>1135</v>
      </c>
      <c r="E771" s="262" t="s">
        <v>1136</v>
      </c>
      <c r="F771" s="261">
        <v>1</v>
      </c>
      <c r="G771" s="263"/>
      <c r="H771" s="261"/>
      <c r="I771" s="264" t="s">
        <v>2151</v>
      </c>
      <c r="L771" s="252"/>
    </row>
    <row r="772" spans="1:76">
      <c r="A772" s="261">
        <v>71999</v>
      </c>
      <c r="B772" s="261" t="s">
        <v>152</v>
      </c>
      <c r="C772" s="262" t="s">
        <v>20</v>
      </c>
      <c r="D772" s="262" t="s">
        <v>147</v>
      </c>
      <c r="E772" s="323" t="s">
        <v>1075</v>
      </c>
      <c r="F772" s="261">
        <v>4</v>
      </c>
      <c r="G772" s="263">
        <v>45919</v>
      </c>
      <c r="H772" s="261" t="s">
        <v>2639</v>
      </c>
      <c r="I772" s="264" t="s">
        <v>2151</v>
      </c>
      <c r="L772" s="252"/>
    </row>
    <row r="773" spans="1:76">
      <c r="A773" s="280">
        <v>72023</v>
      </c>
      <c r="B773" s="280" t="s">
        <v>153</v>
      </c>
      <c r="C773" s="281" t="s">
        <v>20</v>
      </c>
      <c r="D773" s="281" t="s">
        <v>137</v>
      </c>
      <c r="E773" s="281" t="s">
        <v>136</v>
      </c>
      <c r="F773" s="280">
        <v>2</v>
      </c>
      <c r="G773" s="282">
        <v>45919</v>
      </c>
      <c r="H773" s="280"/>
      <c r="I773" s="264" t="s">
        <v>2206</v>
      </c>
      <c r="L773" s="252"/>
    </row>
    <row r="774" spans="1:76">
      <c r="A774" s="239"/>
      <c r="B774" s="239"/>
      <c r="C774" s="264"/>
      <c r="D774" s="284" t="s">
        <v>1798</v>
      </c>
      <c r="E774" s="284" t="s">
        <v>594</v>
      </c>
      <c r="F774" s="285">
        <v>1</v>
      </c>
      <c r="G774" s="286"/>
      <c r="H774" s="285"/>
      <c r="I774" s="308" t="s">
        <v>2196</v>
      </c>
      <c r="J774" s="245" t="s">
        <v>2196</v>
      </c>
      <c r="L774" s="252"/>
    </row>
    <row r="775" spans="1:76" ht="90">
      <c r="A775" s="239"/>
      <c r="B775" s="239"/>
      <c r="C775" s="264"/>
      <c r="D775" s="264" t="s">
        <v>1152</v>
      </c>
      <c r="E775" s="264" t="s">
        <v>558</v>
      </c>
      <c r="F775" s="239">
        <v>2</v>
      </c>
      <c r="G775" s="265"/>
      <c r="H775" s="239"/>
      <c r="I775" s="264" t="s">
        <v>2412</v>
      </c>
      <c r="J775" s="243" t="s">
        <v>2187</v>
      </c>
      <c r="L775" s="252"/>
      <c r="AQ775" s="243" t="s">
        <v>2340</v>
      </c>
      <c r="AR775" s="243" t="s">
        <v>2331</v>
      </c>
      <c r="AS775" s="243" t="s">
        <v>2331</v>
      </c>
      <c r="AT775" s="243" t="s">
        <v>2579</v>
      </c>
      <c r="AU775" s="243" t="s">
        <v>2579</v>
      </c>
      <c r="AV775" s="243" t="s">
        <v>2389</v>
      </c>
      <c r="AW775" s="243" t="s">
        <v>2225</v>
      </c>
      <c r="AX775" s="243" t="s">
        <v>2225</v>
      </c>
      <c r="BO775" s="246" t="s">
        <v>2580</v>
      </c>
      <c r="BP775" s="246" t="s">
        <v>2580</v>
      </c>
      <c r="BQ775" s="246" t="s">
        <v>2580</v>
      </c>
      <c r="BR775" s="246" t="s">
        <v>2580</v>
      </c>
      <c r="BS775" s="246" t="s">
        <v>2580</v>
      </c>
      <c r="BT775" s="246" t="s">
        <v>2580</v>
      </c>
      <c r="BU775" s="246" t="s">
        <v>2580</v>
      </c>
      <c r="BV775" s="243" t="s">
        <v>2196</v>
      </c>
      <c r="BW775" s="243" t="s">
        <v>2427</v>
      </c>
      <c r="BX775" s="243" t="s">
        <v>2427</v>
      </c>
    </row>
    <row r="776" spans="1:76">
      <c r="A776" s="261"/>
      <c r="B776" s="261"/>
      <c r="C776" s="262"/>
      <c r="D776" s="262" t="s">
        <v>1478</v>
      </c>
      <c r="E776" s="262" t="s">
        <v>1490</v>
      </c>
      <c r="F776" s="261">
        <v>1</v>
      </c>
      <c r="G776" s="263"/>
      <c r="H776" s="261"/>
      <c r="I776" s="264" t="s">
        <v>2151</v>
      </c>
      <c r="L776" s="252"/>
    </row>
    <row r="777" spans="1:76">
      <c r="A777" s="239"/>
      <c r="B777" s="239"/>
      <c r="C777" s="264"/>
      <c r="D777" s="264" t="s">
        <v>1479</v>
      </c>
      <c r="E777" s="264" t="s">
        <v>573</v>
      </c>
      <c r="F777" s="239">
        <v>1</v>
      </c>
      <c r="G777" s="265"/>
      <c r="H777" s="239"/>
      <c r="I777" s="264"/>
      <c r="L777" s="252"/>
    </row>
    <row r="778" spans="1:76">
      <c r="A778" s="239"/>
      <c r="B778" s="239"/>
      <c r="C778" s="264"/>
      <c r="D778" s="264" t="s">
        <v>1480</v>
      </c>
      <c r="E778" s="264" t="s">
        <v>551</v>
      </c>
      <c r="F778" s="239">
        <v>1</v>
      </c>
      <c r="G778" s="265"/>
      <c r="H778" s="239"/>
      <c r="I778" s="264" t="s">
        <v>2244</v>
      </c>
      <c r="L778" s="252"/>
      <c r="AM778" s="243" t="s">
        <v>2244</v>
      </c>
    </row>
    <row r="779" spans="1:76">
      <c r="A779" s="239"/>
      <c r="B779" s="239"/>
      <c r="C779" s="264"/>
      <c r="D779" s="298" t="s">
        <v>1481</v>
      </c>
      <c r="E779" s="298" t="s">
        <v>588</v>
      </c>
      <c r="F779" s="299">
        <v>1</v>
      </c>
      <c r="G779" s="300"/>
      <c r="H779" s="299"/>
      <c r="I779" s="308" t="s">
        <v>2196</v>
      </c>
      <c r="L779" s="252"/>
    </row>
    <row r="780" spans="1:76" ht="90">
      <c r="A780" s="239"/>
      <c r="B780" s="239"/>
      <c r="C780" s="264"/>
      <c r="D780" s="298" t="s">
        <v>1496</v>
      </c>
      <c r="E780" s="298" t="s">
        <v>1498</v>
      </c>
      <c r="F780" s="299">
        <v>1</v>
      </c>
      <c r="G780" s="300"/>
      <c r="H780" s="299" t="s">
        <v>2498</v>
      </c>
      <c r="I780" s="264" t="s">
        <v>2404</v>
      </c>
      <c r="L780" s="252"/>
      <c r="V780" s="244" t="s">
        <v>2406</v>
      </c>
      <c r="W780" s="244" t="s">
        <v>2406</v>
      </c>
      <c r="X780" s="244" t="s">
        <v>2406</v>
      </c>
      <c r="Y780" s="244" t="s">
        <v>2406</v>
      </c>
      <c r="Z780" s="244" t="s">
        <v>2406</v>
      </c>
      <c r="AA780" s="244" t="s">
        <v>2406</v>
      </c>
      <c r="AB780" s="244" t="s">
        <v>2406</v>
      </c>
      <c r="AC780" s="244" t="s">
        <v>2406</v>
      </c>
      <c r="AD780" s="244" t="s">
        <v>2406</v>
      </c>
      <c r="AE780" s="244" t="s">
        <v>2406</v>
      </c>
      <c r="AF780" s="244" t="s">
        <v>2406</v>
      </c>
      <c r="AG780" s="244" t="s">
        <v>2406</v>
      </c>
      <c r="AH780" s="244" t="s">
        <v>2406</v>
      </c>
      <c r="AI780" s="244" t="s">
        <v>2406</v>
      </c>
      <c r="AJ780" s="244" t="s">
        <v>2406</v>
      </c>
      <c r="AK780" s="244" t="s">
        <v>2406</v>
      </c>
      <c r="AL780" s="244" t="s">
        <v>2406</v>
      </c>
      <c r="AM780" s="244" t="s">
        <v>2406</v>
      </c>
      <c r="AN780" s="244" t="s">
        <v>2406</v>
      </c>
      <c r="AO780" s="244" t="s">
        <v>2406</v>
      </c>
      <c r="AP780" s="244" t="s">
        <v>2406</v>
      </c>
      <c r="AQ780" s="243" t="s">
        <v>2196</v>
      </c>
      <c r="AR780" s="243" t="s">
        <v>2340</v>
      </c>
      <c r="AS780" s="243" t="s">
        <v>2340</v>
      </c>
      <c r="AT780" s="243" t="s">
        <v>2417</v>
      </c>
      <c r="AU780" s="243" t="s">
        <v>2417</v>
      </c>
      <c r="AV780" s="243" t="s">
        <v>2182</v>
      </c>
      <c r="AW780" s="243" t="s">
        <v>2182</v>
      </c>
      <c r="AX780" s="243" t="s">
        <v>2225</v>
      </c>
      <c r="AY780" s="243" t="s">
        <v>2225</v>
      </c>
      <c r="AZ780" s="246" t="s">
        <v>2499</v>
      </c>
      <c r="BA780" s="246" t="s">
        <v>2499</v>
      </c>
      <c r="BB780" s="246" t="s">
        <v>2499</v>
      </c>
      <c r="BC780" s="246" t="s">
        <v>2499</v>
      </c>
      <c r="BD780" s="246" t="s">
        <v>2499</v>
      </c>
      <c r="BE780" s="246" t="s">
        <v>2499</v>
      </c>
      <c r="BF780" s="246" t="s">
        <v>2499</v>
      </c>
      <c r="BG780" s="243" t="s">
        <v>2196</v>
      </c>
      <c r="BH780" s="243" t="s">
        <v>2225</v>
      </c>
      <c r="BI780" s="243" t="s">
        <v>2225</v>
      </c>
    </row>
    <row r="781" spans="1:76">
      <c r="A781" s="239"/>
      <c r="B781" s="239"/>
      <c r="C781" s="264"/>
      <c r="D781" s="298" t="s">
        <v>1497</v>
      </c>
      <c r="E781" s="298" t="s">
        <v>1499</v>
      </c>
      <c r="F781" s="299">
        <v>1</v>
      </c>
      <c r="G781" s="300"/>
      <c r="H781" s="299"/>
      <c r="I781" s="264"/>
      <c r="L781" s="252"/>
    </row>
    <row r="782" spans="1:76">
      <c r="A782" s="239"/>
      <c r="B782" s="239"/>
      <c r="C782" s="264"/>
      <c r="D782" s="264" t="s">
        <v>1482</v>
      </c>
      <c r="E782" s="264" t="s">
        <v>1491</v>
      </c>
      <c r="F782" s="239">
        <v>1</v>
      </c>
      <c r="G782" s="265"/>
      <c r="H782" s="239"/>
      <c r="I782" s="264" t="s">
        <v>2745</v>
      </c>
      <c r="L782" s="252"/>
    </row>
    <row r="783" spans="1:76">
      <c r="A783" s="261"/>
      <c r="B783" s="261"/>
      <c r="C783" s="262"/>
      <c r="D783" s="262" t="s">
        <v>1244</v>
      </c>
      <c r="E783" s="262" t="s">
        <v>1492</v>
      </c>
      <c r="F783" s="261">
        <v>1</v>
      </c>
      <c r="G783" s="263"/>
      <c r="H783" s="261"/>
      <c r="I783" s="264" t="s">
        <v>2151</v>
      </c>
      <c r="L783" s="252"/>
    </row>
    <row r="784" spans="1:76">
      <c r="A784" s="239"/>
      <c r="B784" s="239"/>
      <c r="C784" s="264"/>
      <c r="D784" s="264" t="s">
        <v>1483</v>
      </c>
      <c r="E784" s="264" t="s">
        <v>1493</v>
      </c>
      <c r="F784" s="239">
        <v>1</v>
      </c>
      <c r="G784" s="265"/>
      <c r="H784" s="239"/>
      <c r="I784" s="264"/>
      <c r="L784" s="252"/>
    </row>
    <row r="785" spans="1:62">
      <c r="A785" s="239"/>
      <c r="B785" s="239"/>
      <c r="C785" s="264"/>
      <c r="D785" s="264" t="s">
        <v>1484</v>
      </c>
      <c r="E785" s="264" t="s">
        <v>546</v>
      </c>
      <c r="F785" s="239">
        <v>2</v>
      </c>
      <c r="G785" s="265"/>
      <c r="H785" s="239"/>
      <c r="I785" s="264" t="s">
        <v>2244</v>
      </c>
      <c r="L785" s="252"/>
      <c r="AI785" s="243" t="s">
        <v>2244</v>
      </c>
    </row>
    <row r="786" spans="1:62" ht="42">
      <c r="A786" s="261"/>
      <c r="B786" s="261"/>
      <c r="C786" s="262"/>
      <c r="D786" s="288" t="s">
        <v>1485</v>
      </c>
      <c r="E786" s="262" t="s">
        <v>1494</v>
      </c>
      <c r="F786" s="261">
        <v>1</v>
      </c>
      <c r="G786" s="263"/>
      <c r="H786" s="261"/>
      <c r="I786" s="264" t="s">
        <v>2151</v>
      </c>
      <c r="L786" s="252"/>
    </row>
    <row r="787" spans="1:62">
      <c r="A787" s="239"/>
      <c r="B787" s="239"/>
      <c r="C787" s="264"/>
      <c r="D787" s="264" t="s">
        <v>1486</v>
      </c>
      <c r="E787" s="264" t="s">
        <v>543</v>
      </c>
      <c r="F787" s="239">
        <v>1</v>
      </c>
      <c r="G787" s="265"/>
      <c r="H787" s="239"/>
      <c r="I787" s="264"/>
      <c r="L787" s="252"/>
    </row>
    <row r="788" spans="1:62">
      <c r="A788" s="239"/>
      <c r="B788" s="239"/>
      <c r="C788" s="264"/>
      <c r="D788" s="264" t="s">
        <v>1487</v>
      </c>
      <c r="E788" s="264" t="s">
        <v>535</v>
      </c>
      <c r="F788" s="239">
        <v>1</v>
      </c>
      <c r="G788" s="265"/>
      <c r="H788" s="239"/>
      <c r="I788" s="264"/>
      <c r="L788" s="252"/>
    </row>
    <row r="789" spans="1:62">
      <c r="A789" s="261"/>
      <c r="B789" s="261"/>
      <c r="C789" s="262"/>
      <c r="D789" s="262" t="s">
        <v>1488</v>
      </c>
      <c r="E789" s="262" t="s">
        <v>1495</v>
      </c>
      <c r="F789" s="261">
        <v>1</v>
      </c>
      <c r="G789" s="263"/>
      <c r="H789" s="261"/>
      <c r="I789" s="264" t="s">
        <v>2151</v>
      </c>
      <c r="L789" s="252"/>
    </row>
    <row r="790" spans="1:62">
      <c r="A790" s="239"/>
      <c r="B790" s="239"/>
      <c r="C790" s="264"/>
      <c r="D790" s="264" t="s">
        <v>1489</v>
      </c>
      <c r="E790" s="264" t="s">
        <v>549</v>
      </c>
      <c r="F790" s="239">
        <v>1</v>
      </c>
      <c r="G790" s="265"/>
      <c r="H790" s="239"/>
      <c r="I790" s="264"/>
      <c r="L790" s="252"/>
    </row>
    <row r="791" spans="1:62">
      <c r="A791" s="239"/>
      <c r="B791" s="239"/>
      <c r="C791" s="264"/>
      <c r="D791" s="284" t="s">
        <v>1800</v>
      </c>
      <c r="E791" s="284" t="s">
        <v>595</v>
      </c>
      <c r="F791" s="285">
        <v>1</v>
      </c>
      <c r="G791" s="286"/>
      <c r="H791" s="285"/>
      <c r="I791" s="264" t="s">
        <v>2382</v>
      </c>
      <c r="L791" s="252"/>
    </row>
    <row r="792" spans="1:62">
      <c r="A792" s="239"/>
      <c r="B792" s="239"/>
      <c r="C792" s="264"/>
      <c r="D792" s="264" t="s">
        <v>1500</v>
      </c>
      <c r="E792" s="264" t="s">
        <v>1509</v>
      </c>
      <c r="F792" s="239">
        <v>1</v>
      </c>
      <c r="G792" s="265"/>
      <c r="H792" s="239"/>
      <c r="I792" s="264" t="s">
        <v>2389</v>
      </c>
      <c r="L792" s="252"/>
      <c r="BB792" s="243" t="s">
        <v>2389</v>
      </c>
      <c r="BI792" s="243" t="s">
        <v>2427</v>
      </c>
      <c r="BJ792" s="243" t="s">
        <v>2427</v>
      </c>
    </row>
    <row r="793" spans="1:62">
      <c r="A793" s="261"/>
      <c r="B793" s="261"/>
      <c r="C793" s="262"/>
      <c r="D793" s="262" t="s">
        <v>1501</v>
      </c>
      <c r="E793" s="262" t="s">
        <v>1510</v>
      </c>
      <c r="F793" s="261">
        <v>1</v>
      </c>
      <c r="G793" s="263"/>
      <c r="H793" s="261"/>
      <c r="I793" s="264" t="s">
        <v>2151</v>
      </c>
      <c r="L793" s="252"/>
    </row>
    <row r="794" spans="1:62">
      <c r="A794" s="261"/>
      <c r="B794" s="261"/>
      <c r="C794" s="262"/>
      <c r="D794" s="262" t="s">
        <v>1455</v>
      </c>
      <c r="E794" s="262" t="s">
        <v>1511</v>
      </c>
      <c r="F794" s="261">
        <v>1</v>
      </c>
      <c r="G794" s="263"/>
      <c r="H794" s="261"/>
      <c r="I794" s="264" t="s">
        <v>2151</v>
      </c>
      <c r="L794" s="252"/>
    </row>
    <row r="795" spans="1:62">
      <c r="A795" s="239"/>
      <c r="B795" s="239"/>
      <c r="C795" s="264"/>
      <c r="D795" s="264" t="s">
        <v>1502</v>
      </c>
      <c r="E795" s="264" t="s">
        <v>542</v>
      </c>
      <c r="F795" s="239">
        <v>1</v>
      </c>
      <c r="G795" s="265"/>
      <c r="H795" s="239"/>
      <c r="I795" s="264"/>
      <c r="L795" s="252"/>
    </row>
    <row r="796" spans="1:62">
      <c r="A796" s="239"/>
      <c r="B796" s="239"/>
      <c r="C796" s="264"/>
      <c r="D796" s="264" t="s">
        <v>1503</v>
      </c>
      <c r="E796" s="264" t="s">
        <v>1512</v>
      </c>
      <c r="F796" s="239">
        <v>1</v>
      </c>
      <c r="G796" s="265"/>
      <c r="H796" s="239"/>
      <c r="I796" s="264"/>
      <c r="L796" s="252"/>
    </row>
    <row r="797" spans="1:62">
      <c r="A797" s="239"/>
      <c r="B797" s="239"/>
      <c r="C797" s="264"/>
      <c r="D797" s="264" t="s">
        <v>1504</v>
      </c>
      <c r="E797" s="264" t="s">
        <v>596</v>
      </c>
      <c r="F797" s="239">
        <v>3</v>
      </c>
      <c r="G797" s="265"/>
      <c r="H797" s="239"/>
      <c r="I797" s="264"/>
      <c r="L797" s="252"/>
    </row>
    <row r="798" spans="1:62">
      <c r="A798" s="239"/>
      <c r="B798" s="239"/>
      <c r="C798" s="264"/>
      <c r="D798" s="264" t="s">
        <v>1505</v>
      </c>
      <c r="E798" s="264" t="s">
        <v>1513</v>
      </c>
      <c r="F798" s="239">
        <v>5</v>
      </c>
      <c r="G798" s="265"/>
      <c r="H798" s="239"/>
      <c r="I798" s="264"/>
      <c r="L798" s="252"/>
    </row>
    <row r="799" spans="1:62" ht="42">
      <c r="A799" s="239"/>
      <c r="B799" s="239"/>
      <c r="C799" s="264"/>
      <c r="D799" s="283" t="s">
        <v>1506</v>
      </c>
      <c r="E799" s="264" t="s">
        <v>547</v>
      </c>
      <c r="F799" s="239">
        <v>2</v>
      </c>
      <c r="G799" s="265"/>
      <c r="H799" s="239"/>
      <c r="I799" s="264"/>
      <c r="L799" s="252"/>
    </row>
    <row r="800" spans="1:62" ht="42">
      <c r="A800" s="239"/>
      <c r="B800" s="239"/>
      <c r="C800" s="264"/>
      <c r="D800" s="283" t="s">
        <v>1507</v>
      </c>
      <c r="E800" s="264" t="s">
        <v>548</v>
      </c>
      <c r="F800" s="239">
        <v>3</v>
      </c>
      <c r="G800" s="265"/>
      <c r="H800" s="239"/>
      <c r="I800" s="264"/>
      <c r="L800" s="252"/>
    </row>
    <row r="801" spans="1:12">
      <c r="A801" s="261"/>
      <c r="B801" s="261"/>
      <c r="C801" s="262"/>
      <c r="D801" s="262" t="s">
        <v>1508</v>
      </c>
      <c r="E801" s="262" t="s">
        <v>1514</v>
      </c>
      <c r="F801" s="261">
        <v>3</v>
      </c>
      <c r="G801" s="263"/>
      <c r="H801" s="261"/>
      <c r="I801" s="264" t="s">
        <v>2151</v>
      </c>
      <c r="L801" s="252"/>
    </row>
    <row r="802" spans="1:12">
      <c r="A802" s="239"/>
      <c r="B802" s="239"/>
      <c r="C802" s="264"/>
      <c r="D802" s="284" t="s">
        <v>1799</v>
      </c>
      <c r="E802" s="284" t="s">
        <v>593</v>
      </c>
      <c r="F802" s="285">
        <v>1</v>
      </c>
      <c r="G802" s="286"/>
      <c r="H802" s="285"/>
      <c r="I802" s="308" t="s">
        <v>2196</v>
      </c>
      <c r="J802" s="245" t="s">
        <v>2196</v>
      </c>
      <c r="L802" s="252"/>
    </row>
    <row r="803" spans="1:12">
      <c r="A803" s="239"/>
      <c r="B803" s="239"/>
      <c r="C803" s="264"/>
      <c r="D803" s="264" t="s">
        <v>1152</v>
      </c>
      <c r="E803" s="264" t="s">
        <v>1519</v>
      </c>
      <c r="F803" s="239">
        <v>1</v>
      </c>
      <c r="G803" s="265"/>
      <c r="H803" s="239"/>
      <c r="I803" s="308"/>
      <c r="J803" s="245"/>
      <c r="L803" s="252"/>
    </row>
    <row r="804" spans="1:12">
      <c r="A804" s="261"/>
      <c r="B804" s="261"/>
      <c r="C804" s="262"/>
      <c r="D804" s="262" t="s">
        <v>1515</v>
      </c>
      <c r="E804" s="262" t="s">
        <v>1520</v>
      </c>
      <c r="F804" s="261">
        <v>1</v>
      </c>
      <c r="G804" s="263"/>
      <c r="H804" s="261"/>
      <c r="I804" s="308" t="s">
        <v>2151</v>
      </c>
      <c r="J804" s="245"/>
      <c r="L804" s="252"/>
    </row>
    <row r="805" spans="1:12">
      <c r="A805" s="239"/>
      <c r="B805" s="239"/>
      <c r="C805" s="264"/>
      <c r="D805" s="264" t="s">
        <v>1516</v>
      </c>
      <c r="E805" s="264" t="s">
        <v>1521</v>
      </c>
      <c r="F805" s="239">
        <v>1</v>
      </c>
      <c r="G805" s="265"/>
      <c r="H805" s="239"/>
      <c r="I805" s="308"/>
      <c r="J805" s="245"/>
      <c r="L805" s="252"/>
    </row>
    <row r="806" spans="1:12">
      <c r="A806" s="239"/>
      <c r="B806" s="239"/>
      <c r="C806" s="264"/>
      <c r="D806" s="264" t="s">
        <v>1517</v>
      </c>
      <c r="E806" s="264" t="s">
        <v>1522</v>
      </c>
      <c r="F806" s="239">
        <v>1</v>
      </c>
      <c r="G806" s="265"/>
      <c r="H806" s="239"/>
      <c r="I806" s="308"/>
      <c r="J806" s="245"/>
      <c r="L806" s="252"/>
    </row>
    <row r="807" spans="1:12">
      <c r="A807" s="261"/>
      <c r="B807" s="261"/>
      <c r="C807" s="262"/>
      <c r="D807" s="262" t="s">
        <v>1518</v>
      </c>
      <c r="E807" s="262" t="s">
        <v>1523</v>
      </c>
      <c r="F807" s="261">
        <v>1</v>
      </c>
      <c r="G807" s="263"/>
      <c r="H807" s="261"/>
      <c r="I807" s="308" t="s">
        <v>2151</v>
      </c>
      <c r="J807" s="245"/>
      <c r="L807" s="252"/>
    </row>
    <row r="808" spans="1:12">
      <c r="A808" s="239"/>
      <c r="B808" s="239"/>
      <c r="C808" s="264"/>
      <c r="D808" s="264"/>
      <c r="E808" s="264"/>
      <c r="F808" s="239"/>
      <c r="G808" s="265"/>
      <c r="H808" s="239"/>
      <c r="I808" s="308"/>
      <c r="J808" s="245"/>
      <c r="L808" s="252"/>
    </row>
    <row r="809" spans="1:12">
      <c r="A809" s="261"/>
      <c r="B809" s="261"/>
      <c r="C809" s="262"/>
      <c r="D809" s="262" t="s">
        <v>1455</v>
      </c>
      <c r="E809" s="262" t="s">
        <v>1473</v>
      </c>
      <c r="F809" s="261">
        <v>4</v>
      </c>
      <c r="G809" s="263"/>
      <c r="H809" s="261"/>
      <c r="I809" s="308" t="s">
        <v>2151</v>
      </c>
      <c r="J809" s="245"/>
      <c r="L809" s="252"/>
    </row>
    <row r="810" spans="1:12">
      <c r="A810" s="239"/>
      <c r="B810" s="239"/>
      <c r="C810" s="264"/>
      <c r="D810" s="284" t="s">
        <v>1456</v>
      </c>
      <c r="E810" s="284" t="s">
        <v>533</v>
      </c>
      <c r="F810" s="285">
        <v>1</v>
      </c>
      <c r="G810" s="286"/>
      <c r="H810" s="285"/>
      <c r="I810" s="308" t="s">
        <v>2339</v>
      </c>
      <c r="J810" s="245"/>
      <c r="L810" s="252"/>
    </row>
    <row r="811" spans="1:12">
      <c r="A811" s="239"/>
      <c r="B811" s="239"/>
      <c r="C811" s="264"/>
      <c r="D811" s="284" t="s">
        <v>1457</v>
      </c>
      <c r="E811" s="284" t="s">
        <v>587</v>
      </c>
      <c r="F811" s="285">
        <v>1</v>
      </c>
      <c r="G811" s="286"/>
      <c r="H811" s="285"/>
      <c r="I811" s="308" t="s">
        <v>2205</v>
      </c>
      <c r="J811" s="245"/>
      <c r="L811" s="252"/>
    </row>
    <row r="812" spans="1:12">
      <c r="A812" s="239"/>
      <c r="B812" s="239"/>
      <c r="C812" s="264"/>
      <c r="D812" s="264" t="s">
        <v>1524</v>
      </c>
      <c r="E812" s="264" t="s">
        <v>529</v>
      </c>
      <c r="F812" s="239">
        <v>1</v>
      </c>
      <c r="G812" s="265"/>
      <c r="H812" s="239"/>
      <c r="I812" s="308"/>
      <c r="J812" s="245"/>
      <c r="L812" s="252"/>
    </row>
    <row r="813" spans="1:12">
      <c r="A813" s="239"/>
      <c r="B813" s="239"/>
      <c r="C813" s="264"/>
      <c r="D813" s="264" t="s">
        <v>1525</v>
      </c>
      <c r="E813" s="264" t="s">
        <v>1528</v>
      </c>
      <c r="F813" s="239">
        <v>1</v>
      </c>
      <c r="G813" s="265"/>
      <c r="H813" s="239"/>
      <c r="I813" s="308"/>
      <c r="J813" s="245"/>
      <c r="L813" s="252"/>
    </row>
    <row r="814" spans="1:12">
      <c r="A814" s="261"/>
      <c r="B814" s="261"/>
      <c r="C814" s="262"/>
      <c r="D814" s="262" t="s">
        <v>1526</v>
      </c>
      <c r="E814" s="262" t="s">
        <v>1529</v>
      </c>
      <c r="F814" s="261">
        <v>2</v>
      </c>
      <c r="G814" s="263"/>
      <c r="H814" s="261"/>
      <c r="I814" s="308" t="s">
        <v>2151</v>
      </c>
      <c r="J814" s="245"/>
      <c r="L814" s="252"/>
    </row>
    <row r="815" spans="1:12">
      <c r="A815" s="261"/>
      <c r="B815" s="261"/>
      <c r="C815" s="262"/>
      <c r="D815" s="262" t="s">
        <v>1527</v>
      </c>
      <c r="E815" s="262" t="s">
        <v>1530</v>
      </c>
      <c r="F815" s="261">
        <v>1</v>
      </c>
      <c r="G815" s="263"/>
      <c r="H815" s="261"/>
      <c r="I815" s="308" t="s">
        <v>2151</v>
      </c>
      <c r="J815" s="245"/>
      <c r="L815" s="252"/>
    </row>
    <row r="816" spans="1:12">
      <c r="A816" s="239"/>
      <c r="B816" s="239"/>
      <c r="C816" s="264"/>
      <c r="D816" s="284" t="s">
        <v>1458</v>
      </c>
      <c r="E816" s="284" t="s">
        <v>273</v>
      </c>
      <c r="F816" s="285">
        <v>1</v>
      </c>
      <c r="G816" s="286"/>
      <c r="H816" s="285"/>
      <c r="I816" s="308" t="s">
        <v>2196</v>
      </c>
      <c r="J816" s="245"/>
      <c r="L816" s="252"/>
    </row>
    <row r="817" spans="1:94">
      <c r="A817" s="239"/>
      <c r="B817" s="239"/>
      <c r="C817" s="264"/>
      <c r="D817" s="298" t="s">
        <v>1531</v>
      </c>
      <c r="E817" s="298" t="s">
        <v>531</v>
      </c>
      <c r="F817" s="299">
        <v>1</v>
      </c>
      <c r="G817" s="300"/>
      <c r="H817" s="299"/>
      <c r="I817" s="308" t="s">
        <v>2389</v>
      </c>
      <c r="J817" s="245"/>
      <c r="L817" s="252"/>
      <c r="AU817" s="243" t="s">
        <v>2389</v>
      </c>
      <c r="AV817" s="243" t="s">
        <v>2427</v>
      </c>
      <c r="AW817" s="243" t="s">
        <v>2427</v>
      </c>
    </row>
    <row r="818" spans="1:94">
      <c r="A818" s="239"/>
      <c r="B818" s="239"/>
      <c r="C818" s="264"/>
      <c r="D818" s="264" t="s">
        <v>1532</v>
      </c>
      <c r="E818" s="264" t="s">
        <v>2272</v>
      </c>
      <c r="F818" s="239">
        <v>1</v>
      </c>
      <c r="G818" s="265"/>
      <c r="H818" s="239"/>
      <c r="I818" s="308" t="s">
        <v>2389</v>
      </c>
      <c r="J818" s="245"/>
      <c r="L818" s="252"/>
      <c r="S818" s="243" t="s">
        <v>2389</v>
      </c>
    </row>
    <row r="819" spans="1:94">
      <c r="A819" s="261"/>
      <c r="B819" s="261"/>
      <c r="C819" s="262"/>
      <c r="D819" s="262" t="s">
        <v>1182</v>
      </c>
      <c r="E819" s="262" t="s">
        <v>1534</v>
      </c>
      <c r="F819" s="261">
        <v>1</v>
      </c>
      <c r="G819" s="263"/>
      <c r="H819" s="261"/>
      <c r="I819" s="308" t="s">
        <v>2151</v>
      </c>
      <c r="J819" s="245"/>
      <c r="L819" s="252"/>
    </row>
    <row r="820" spans="1:94">
      <c r="A820" s="261"/>
      <c r="B820" s="261"/>
      <c r="C820" s="262"/>
      <c r="D820" s="262" t="s">
        <v>1505</v>
      </c>
      <c r="E820" s="262" t="s">
        <v>1535</v>
      </c>
      <c r="F820" s="261">
        <v>1</v>
      </c>
      <c r="G820" s="263"/>
      <c r="H820" s="261"/>
      <c r="I820" s="308" t="s">
        <v>2151</v>
      </c>
      <c r="J820" s="245"/>
      <c r="L820" s="252"/>
    </row>
    <row r="821" spans="1:94">
      <c r="A821" s="239"/>
      <c r="B821" s="239"/>
      <c r="C821" s="264"/>
      <c r="D821" s="284" t="s">
        <v>1459</v>
      </c>
      <c r="E821" s="284" t="s">
        <v>1474</v>
      </c>
      <c r="F821" s="285">
        <v>1</v>
      </c>
      <c r="G821" s="286"/>
      <c r="H821" s="285"/>
      <c r="I821" s="308" t="s">
        <v>2196</v>
      </c>
      <c r="J821" s="245" t="s">
        <v>2196</v>
      </c>
      <c r="L821" s="252"/>
    </row>
    <row r="822" spans="1:94" ht="42">
      <c r="A822" s="239"/>
      <c r="B822" s="239"/>
      <c r="C822" s="264"/>
      <c r="D822" s="304" t="s">
        <v>1536</v>
      </c>
      <c r="E822" s="298" t="s">
        <v>1538</v>
      </c>
      <c r="F822" s="299">
        <v>1</v>
      </c>
      <c r="G822" s="300"/>
      <c r="H822" s="299"/>
      <c r="I822" s="308" t="s">
        <v>2151</v>
      </c>
      <c r="J822" s="245"/>
      <c r="L822" s="252"/>
    </row>
    <row r="823" spans="1:94">
      <c r="A823" s="261"/>
      <c r="B823" s="261"/>
      <c r="C823" s="262"/>
      <c r="D823" s="262" t="s">
        <v>1537</v>
      </c>
      <c r="E823" s="262" t="s">
        <v>1539</v>
      </c>
      <c r="F823" s="261">
        <v>1</v>
      </c>
      <c r="G823" s="263"/>
      <c r="H823" s="261"/>
      <c r="I823" s="264" t="s">
        <v>2151</v>
      </c>
      <c r="L823" s="252"/>
    </row>
    <row r="824" spans="1:94">
      <c r="A824" s="239"/>
      <c r="B824" s="239"/>
      <c r="C824" s="264"/>
      <c r="D824" s="284" t="s">
        <v>1460</v>
      </c>
      <c r="E824" s="284" t="s">
        <v>586</v>
      </c>
      <c r="F824" s="285">
        <v>1</v>
      </c>
      <c r="G824" s="286"/>
      <c r="H824" s="285"/>
      <c r="I824" s="308" t="s">
        <v>2196</v>
      </c>
      <c r="L824" s="252"/>
    </row>
    <row r="825" spans="1:94">
      <c r="A825" s="239"/>
      <c r="B825" s="239"/>
      <c r="C825" s="264"/>
      <c r="D825" s="264" t="s">
        <v>1540</v>
      </c>
      <c r="E825" s="264" t="s">
        <v>1545</v>
      </c>
      <c r="F825" s="239">
        <v>1</v>
      </c>
      <c r="G825" s="265"/>
      <c r="H825" s="239"/>
      <c r="I825" s="264"/>
      <c r="L825" s="252"/>
    </row>
    <row r="826" spans="1:94">
      <c r="A826" s="239"/>
      <c r="B826" s="239"/>
      <c r="C826" s="264"/>
      <c r="D826" s="264" t="s">
        <v>1541</v>
      </c>
      <c r="E826" s="264" t="s">
        <v>1546</v>
      </c>
      <c r="F826" s="239">
        <v>1</v>
      </c>
      <c r="G826" s="265"/>
      <c r="H826" s="239"/>
      <c r="I826" s="264" t="s">
        <v>2693</v>
      </c>
      <c r="L826" s="252"/>
      <c r="BI826" s="243" t="s">
        <v>2693</v>
      </c>
      <c r="BJ826" s="243" t="s">
        <v>2389</v>
      </c>
      <c r="BK826" s="243" t="s">
        <v>2225</v>
      </c>
      <c r="BL826" s="243" t="s">
        <v>2339</v>
      </c>
      <c r="BM826" s="243" t="s">
        <v>2339</v>
      </c>
      <c r="BN826" s="243" t="s">
        <v>2417</v>
      </c>
      <c r="BO826" s="243" t="s">
        <v>2417</v>
      </c>
      <c r="BP826" s="243" t="s">
        <v>2340</v>
      </c>
      <c r="BQ826" s="243" t="s">
        <v>2340</v>
      </c>
      <c r="BR826" s="243" t="s">
        <v>2331</v>
      </c>
      <c r="BS826" s="243" t="s">
        <v>2331</v>
      </c>
      <c r="BT826" s="243" t="s">
        <v>2389</v>
      </c>
      <c r="BU826" s="243" t="s">
        <v>2225</v>
      </c>
      <c r="BV826" s="243" t="s">
        <v>2225</v>
      </c>
      <c r="BW826" s="243" t="s">
        <v>2765</v>
      </c>
      <c r="BX826" s="243" t="s">
        <v>2765</v>
      </c>
      <c r="BY826" s="243" t="s">
        <v>2765</v>
      </c>
      <c r="BZ826" s="243" t="s">
        <v>2765</v>
      </c>
      <c r="CA826" s="243" t="s">
        <v>2765</v>
      </c>
      <c r="CB826" s="243" t="s">
        <v>2765</v>
      </c>
      <c r="CC826" s="243" t="s">
        <v>2765</v>
      </c>
      <c r="CD826" s="243" t="s">
        <v>2196</v>
      </c>
      <c r="CE826" s="243" t="s">
        <v>2225</v>
      </c>
      <c r="CF826" s="243" t="s">
        <v>2225</v>
      </c>
      <c r="CG826" s="243" t="s">
        <v>2412</v>
      </c>
      <c r="CH826" s="243" t="s">
        <v>2412</v>
      </c>
      <c r="CI826" s="243" t="s">
        <v>2412</v>
      </c>
      <c r="CJ826" s="243" t="s">
        <v>2412</v>
      </c>
      <c r="CK826" s="243" t="s">
        <v>2412</v>
      </c>
      <c r="CL826" s="243" t="s">
        <v>2412</v>
      </c>
      <c r="CM826" s="243" t="s">
        <v>2412</v>
      </c>
      <c r="CN826" s="243" t="s">
        <v>2196</v>
      </c>
      <c r="CO826" s="243" t="s">
        <v>2427</v>
      </c>
      <c r="CP826" s="243" t="s">
        <v>2427</v>
      </c>
    </row>
    <row r="827" spans="1:94">
      <c r="A827" s="261"/>
      <c r="B827" s="261"/>
      <c r="C827" s="262"/>
      <c r="D827" s="262" t="s">
        <v>1542</v>
      </c>
      <c r="E827" s="262" t="s">
        <v>1547</v>
      </c>
      <c r="F827" s="261">
        <v>1</v>
      </c>
      <c r="G827" s="263"/>
      <c r="H827" s="261"/>
      <c r="I827" s="264" t="s">
        <v>2151</v>
      </c>
      <c r="L827" s="252"/>
    </row>
    <row r="828" spans="1:94">
      <c r="A828" s="239"/>
      <c r="B828" s="239"/>
      <c r="C828" s="264"/>
      <c r="D828" s="264" t="s">
        <v>1543</v>
      </c>
      <c r="E828" s="264" t="s">
        <v>1548</v>
      </c>
      <c r="F828" s="239">
        <v>4</v>
      </c>
      <c r="G828" s="265"/>
      <c r="H828" s="239"/>
      <c r="I828" s="264"/>
      <c r="L828" s="252"/>
    </row>
    <row r="829" spans="1:94">
      <c r="A829" s="239"/>
      <c r="B829" s="239"/>
      <c r="C829" s="264"/>
      <c r="D829" s="264" t="s">
        <v>1544</v>
      </c>
      <c r="E829" s="264" t="s">
        <v>1549</v>
      </c>
      <c r="F829" s="239">
        <v>4</v>
      </c>
      <c r="G829" s="265"/>
      <c r="H829" s="239"/>
      <c r="I829" s="264"/>
      <c r="L829" s="252"/>
    </row>
    <row r="830" spans="1:94">
      <c r="A830" s="239"/>
      <c r="B830" s="239"/>
      <c r="C830" s="264"/>
      <c r="D830" s="283"/>
      <c r="E830" s="264"/>
      <c r="F830" s="239"/>
      <c r="G830" s="265"/>
      <c r="H830" s="239"/>
      <c r="I830" s="264"/>
      <c r="L830" s="252"/>
    </row>
    <row r="831" spans="1:94">
      <c r="A831" s="239"/>
      <c r="B831" s="239"/>
      <c r="C831" s="264"/>
      <c r="D831" s="264" t="s">
        <v>1461</v>
      </c>
      <c r="E831" s="264" t="s">
        <v>1475</v>
      </c>
      <c r="F831" s="239">
        <v>1</v>
      </c>
      <c r="G831" s="265"/>
      <c r="H831" s="239"/>
      <c r="I831" s="264"/>
      <c r="L831" s="252"/>
    </row>
    <row r="832" spans="1:94">
      <c r="A832" s="239"/>
      <c r="B832" s="239"/>
      <c r="C832" s="264"/>
      <c r="D832" s="264" t="s">
        <v>1462</v>
      </c>
      <c r="E832" s="264" t="s">
        <v>1476</v>
      </c>
      <c r="F832" s="239">
        <v>1</v>
      </c>
      <c r="G832" s="265"/>
      <c r="H832" s="239"/>
      <c r="I832" s="264" t="s">
        <v>2248</v>
      </c>
      <c r="L832" s="252"/>
      <c r="O832" s="243" t="s">
        <v>2248</v>
      </c>
    </row>
    <row r="833" spans="1:70">
      <c r="A833" s="239"/>
      <c r="B833" s="239"/>
      <c r="C833" s="264"/>
      <c r="D833" s="264" t="s">
        <v>1463</v>
      </c>
      <c r="E833" s="264" t="s">
        <v>540</v>
      </c>
      <c r="F833" s="239">
        <v>1</v>
      </c>
      <c r="G833" s="265"/>
      <c r="H833" s="239"/>
      <c r="I833" s="264"/>
      <c r="L833" s="252"/>
    </row>
    <row r="834" spans="1:70">
      <c r="A834" s="239"/>
      <c r="B834" s="239"/>
      <c r="C834" s="264"/>
      <c r="D834" s="264" t="s">
        <v>1464</v>
      </c>
      <c r="E834" s="264" t="s">
        <v>539</v>
      </c>
      <c r="F834" s="239">
        <v>1</v>
      </c>
      <c r="G834" s="265"/>
      <c r="H834" s="239"/>
      <c r="I834" s="264"/>
      <c r="L834" s="252"/>
    </row>
    <row r="835" spans="1:70">
      <c r="A835" s="239"/>
      <c r="B835" s="239"/>
      <c r="C835" s="264"/>
      <c r="D835" s="264" t="s">
        <v>1465</v>
      </c>
      <c r="E835" s="283" t="s">
        <v>1477</v>
      </c>
      <c r="F835" s="239">
        <v>1</v>
      </c>
      <c r="G835" s="265"/>
      <c r="H835" s="239"/>
      <c r="I835" s="264"/>
      <c r="L835" s="252"/>
    </row>
    <row r="836" spans="1:70">
      <c r="A836" s="239"/>
      <c r="B836" s="239"/>
      <c r="C836" s="264"/>
      <c r="D836" s="264" t="s">
        <v>1466</v>
      </c>
      <c r="E836" s="264" t="s">
        <v>541</v>
      </c>
      <c r="F836" s="239">
        <v>1</v>
      </c>
      <c r="G836" s="265"/>
      <c r="H836" s="239"/>
      <c r="I836" s="264" t="s">
        <v>2331</v>
      </c>
      <c r="L836" s="252"/>
      <c r="AJ836" s="243" t="s">
        <v>2331</v>
      </c>
    </row>
    <row r="837" spans="1:70">
      <c r="A837" s="239"/>
      <c r="B837" s="239"/>
      <c r="C837" s="264"/>
      <c r="D837" s="284" t="s">
        <v>1467</v>
      </c>
      <c r="E837" s="284" t="s">
        <v>576</v>
      </c>
      <c r="F837" s="285">
        <v>1</v>
      </c>
      <c r="G837" s="286"/>
      <c r="H837" s="285"/>
      <c r="I837" s="308" t="s">
        <v>2196</v>
      </c>
      <c r="L837" s="252"/>
    </row>
    <row r="838" spans="1:70">
      <c r="A838" s="239"/>
      <c r="B838" s="239"/>
      <c r="C838" s="264"/>
      <c r="D838" s="298" t="s">
        <v>1550</v>
      </c>
      <c r="E838" s="298" t="s">
        <v>589</v>
      </c>
      <c r="F838" s="299">
        <v>1</v>
      </c>
      <c r="G838" s="300"/>
      <c r="H838" s="299"/>
      <c r="I838" s="264" t="s">
        <v>2203</v>
      </c>
      <c r="L838" s="252"/>
    </row>
    <row r="839" spans="1:70">
      <c r="A839" s="239"/>
      <c r="B839" s="239"/>
      <c r="C839" s="264"/>
      <c r="D839" s="298" t="s">
        <v>1149</v>
      </c>
      <c r="E839" s="298" t="s">
        <v>590</v>
      </c>
      <c r="F839" s="299">
        <v>1</v>
      </c>
      <c r="G839" s="300"/>
      <c r="H839" s="299"/>
      <c r="I839" s="264"/>
      <c r="L839" s="252"/>
    </row>
    <row r="840" spans="1:70">
      <c r="A840" s="239"/>
      <c r="B840" s="239"/>
      <c r="C840" s="264"/>
      <c r="D840" s="298" t="s">
        <v>1551</v>
      </c>
      <c r="E840" s="298" t="s">
        <v>550</v>
      </c>
      <c r="F840" s="299">
        <v>1</v>
      </c>
      <c r="G840" s="300"/>
      <c r="H840" s="299"/>
      <c r="I840" s="264" t="s">
        <v>2244</v>
      </c>
      <c r="L840" s="252"/>
      <c r="AK840" s="243" t="s">
        <v>2244</v>
      </c>
      <c r="AR840" s="243" t="s">
        <v>2182</v>
      </c>
      <c r="AS840" s="243" t="s">
        <v>2389</v>
      </c>
      <c r="AT840" s="243" t="s">
        <v>2225</v>
      </c>
      <c r="AU840" s="243" t="s">
        <v>2225</v>
      </c>
    </row>
    <row r="841" spans="1:70">
      <c r="A841" s="239"/>
      <c r="B841" s="239"/>
      <c r="C841" s="264"/>
      <c r="D841" s="284" t="s">
        <v>1468</v>
      </c>
      <c r="E841" s="284" t="s">
        <v>577</v>
      </c>
      <c r="F841" s="285">
        <v>1</v>
      </c>
      <c r="G841" s="286"/>
      <c r="H841" s="285"/>
      <c r="I841" s="308" t="s">
        <v>2196</v>
      </c>
      <c r="L841" s="252"/>
    </row>
    <row r="842" spans="1:70">
      <c r="A842" s="239"/>
      <c r="B842" s="239"/>
      <c r="C842" s="264"/>
      <c r="D842" s="298" t="s">
        <v>1552</v>
      </c>
      <c r="E842" s="298" t="s">
        <v>544</v>
      </c>
      <c r="F842" s="299">
        <v>1</v>
      </c>
      <c r="G842" s="300"/>
      <c r="H842" s="299"/>
      <c r="I842" s="264" t="s">
        <v>2244</v>
      </c>
      <c r="L842" s="252"/>
      <c r="AL842" s="243" t="s">
        <v>2244</v>
      </c>
    </row>
    <row r="843" spans="1:70">
      <c r="A843" s="239"/>
      <c r="B843" s="239"/>
      <c r="C843" s="264"/>
      <c r="D843" s="264" t="s">
        <v>1553</v>
      </c>
      <c r="E843" s="264" t="s">
        <v>1554</v>
      </c>
      <c r="F843" s="239">
        <v>1</v>
      </c>
      <c r="G843" s="265"/>
      <c r="H843" s="239"/>
      <c r="I843" s="264"/>
      <c r="L843" s="252"/>
    </row>
    <row r="844" spans="1:70">
      <c r="A844" s="239"/>
      <c r="B844" s="239"/>
      <c r="C844" s="264"/>
      <c r="D844" s="284" t="s">
        <v>1469</v>
      </c>
      <c r="E844" s="284" t="s">
        <v>575</v>
      </c>
      <c r="F844" s="285">
        <v>1</v>
      </c>
      <c r="G844" s="286"/>
      <c r="H844" s="285"/>
      <c r="I844" s="308" t="s">
        <v>2196</v>
      </c>
      <c r="J844" s="245" t="s">
        <v>2196</v>
      </c>
      <c r="L844" s="252"/>
    </row>
    <row r="845" spans="1:70">
      <c r="A845" s="239"/>
      <c r="B845" s="239"/>
      <c r="C845" s="264"/>
      <c r="D845" s="298" t="s">
        <v>1555</v>
      </c>
      <c r="E845" s="298" t="s">
        <v>545</v>
      </c>
      <c r="F845" s="299">
        <v>1</v>
      </c>
      <c r="G845" s="300"/>
      <c r="H845" s="299"/>
      <c r="I845" s="308" t="s">
        <v>2738</v>
      </c>
      <c r="J845" s="245"/>
      <c r="L845" s="252"/>
      <c r="AL845" s="243" t="s">
        <v>2244</v>
      </c>
      <c r="BE845" s="243" t="s">
        <v>2738</v>
      </c>
      <c r="BI845" s="243" t="s">
        <v>2389</v>
      </c>
      <c r="BJ845" s="243" t="s">
        <v>2225</v>
      </c>
      <c r="BK845" s="243" t="s">
        <v>2225</v>
      </c>
      <c r="BL845" s="243" t="s">
        <v>2417</v>
      </c>
      <c r="BM845" s="243" t="s">
        <v>2417</v>
      </c>
      <c r="BN845" s="243" t="s">
        <v>2417</v>
      </c>
      <c r="BO845" s="243" t="s">
        <v>2417</v>
      </c>
      <c r="BP845" s="243" t="s">
        <v>2389</v>
      </c>
      <c r="BQ845" s="243" t="s">
        <v>2427</v>
      </c>
      <c r="BR845" s="243" t="s">
        <v>2427</v>
      </c>
    </row>
    <row r="846" spans="1:70">
      <c r="A846" s="239"/>
      <c r="B846" s="239"/>
      <c r="C846" s="264"/>
      <c r="D846" s="264" t="s">
        <v>1556</v>
      </c>
      <c r="E846" s="264" t="s">
        <v>1557</v>
      </c>
      <c r="F846" s="239">
        <v>1</v>
      </c>
      <c r="G846" s="265"/>
      <c r="H846" s="239"/>
      <c r="I846" s="308"/>
      <c r="J846" s="245"/>
      <c r="L846" s="252"/>
    </row>
    <row r="847" spans="1:70">
      <c r="A847" s="239"/>
      <c r="B847" s="239"/>
      <c r="C847" s="264"/>
      <c r="D847" s="284" t="s">
        <v>1470</v>
      </c>
      <c r="E847" s="284" t="s">
        <v>592</v>
      </c>
      <c r="F847" s="285">
        <v>1</v>
      </c>
      <c r="G847" s="286"/>
      <c r="H847" s="285"/>
      <c r="I847" s="308" t="s">
        <v>2558</v>
      </c>
      <c r="J847" s="245"/>
      <c r="L847" s="252"/>
      <c r="BG847" s="243" t="s">
        <v>2558</v>
      </c>
      <c r="BK847" s="243" t="s">
        <v>2389</v>
      </c>
      <c r="BL847" s="243" t="s">
        <v>2518</v>
      </c>
      <c r="BM847" s="243" t="s">
        <v>2437</v>
      </c>
      <c r="BN847" s="243" t="s">
        <v>2437</v>
      </c>
      <c r="BO847" s="243" t="s">
        <v>2427</v>
      </c>
      <c r="BP847" s="243" t="s">
        <v>2427</v>
      </c>
    </row>
    <row r="848" spans="1:70">
      <c r="A848" s="239"/>
      <c r="B848" s="239"/>
      <c r="C848" s="264"/>
      <c r="D848" s="264" t="s">
        <v>1558</v>
      </c>
      <c r="E848" s="264" t="s">
        <v>560</v>
      </c>
      <c r="F848" s="239">
        <v>2</v>
      </c>
      <c r="G848" s="265"/>
      <c r="H848" s="239"/>
      <c r="I848" s="308" t="s">
        <v>2389</v>
      </c>
      <c r="J848" s="245"/>
      <c r="L848" s="252"/>
      <c r="BE848" s="243" t="s">
        <v>2389</v>
      </c>
      <c r="BF848" s="243" t="s">
        <v>2427</v>
      </c>
      <c r="BG848" s="243" t="s">
        <v>2427</v>
      </c>
    </row>
    <row r="849" spans="1:69">
      <c r="A849" s="261"/>
      <c r="B849" s="261"/>
      <c r="C849" s="262"/>
      <c r="D849" s="262" t="s">
        <v>1559</v>
      </c>
      <c r="E849" s="262" t="s">
        <v>572</v>
      </c>
      <c r="F849" s="261">
        <v>2</v>
      </c>
      <c r="G849" s="263"/>
      <c r="H849" s="261"/>
      <c r="I849" s="308" t="s">
        <v>2151</v>
      </c>
      <c r="J849" s="245"/>
      <c r="L849" s="252"/>
      <c r="AG849" s="243" t="s">
        <v>2386</v>
      </c>
    </row>
    <row r="850" spans="1:69">
      <c r="A850" s="239"/>
      <c r="B850" s="239"/>
      <c r="C850" s="264"/>
      <c r="D850" s="284" t="s">
        <v>1471</v>
      </c>
      <c r="E850" s="284" t="s">
        <v>591</v>
      </c>
      <c r="F850" s="285">
        <v>1</v>
      </c>
      <c r="G850" s="286"/>
      <c r="H850" s="285"/>
      <c r="I850" s="308" t="s">
        <v>2558</v>
      </c>
      <c r="J850" s="245"/>
      <c r="L850" s="252"/>
      <c r="BG850" s="243" t="s">
        <v>2558</v>
      </c>
      <c r="BH850" s="243" t="s">
        <v>2558</v>
      </c>
      <c r="BI850" s="243" t="s">
        <v>2558</v>
      </c>
      <c r="BJ850" s="243" t="s">
        <v>2558</v>
      </c>
      <c r="BK850" s="243" t="s">
        <v>2389</v>
      </c>
      <c r="BL850" s="243" t="s">
        <v>2518</v>
      </c>
      <c r="BM850" s="243" t="s">
        <v>2518</v>
      </c>
      <c r="BN850" s="243" t="s">
        <v>2437</v>
      </c>
      <c r="BO850" s="243" t="s">
        <v>2437</v>
      </c>
      <c r="BP850" s="243" t="s">
        <v>2427</v>
      </c>
      <c r="BQ850" s="243" t="s">
        <v>2427</v>
      </c>
    </row>
    <row r="851" spans="1:69">
      <c r="A851" s="261"/>
      <c r="B851" s="261"/>
      <c r="C851" s="262"/>
      <c r="D851" s="262" t="s">
        <v>1560</v>
      </c>
      <c r="E851" s="262" t="s">
        <v>559</v>
      </c>
      <c r="F851" s="261">
        <v>2</v>
      </c>
      <c r="G851" s="263"/>
      <c r="H851" s="261"/>
      <c r="I851" s="308" t="s">
        <v>2151</v>
      </c>
      <c r="J851" s="245"/>
      <c r="L851" s="252"/>
      <c r="BE851" s="243" t="s">
        <v>2389</v>
      </c>
      <c r="BF851" s="243" t="s">
        <v>2427</v>
      </c>
      <c r="BG851" s="243" t="s">
        <v>2427</v>
      </c>
    </row>
    <row r="852" spans="1:69">
      <c r="A852" s="261"/>
      <c r="B852" s="261"/>
      <c r="C852" s="262"/>
      <c r="D852" s="262" t="s">
        <v>1561</v>
      </c>
      <c r="E852" s="262" t="s">
        <v>571</v>
      </c>
      <c r="F852" s="261">
        <v>1</v>
      </c>
      <c r="G852" s="263"/>
      <c r="H852" s="261"/>
      <c r="I852" s="308" t="s">
        <v>2151</v>
      </c>
      <c r="J852" s="245"/>
      <c r="L852" s="252"/>
      <c r="AX852" s="243" t="s">
        <v>2389</v>
      </c>
      <c r="AY852" s="243" t="s">
        <v>2427</v>
      </c>
      <c r="AZ852" s="243" t="s">
        <v>2427</v>
      </c>
    </row>
    <row r="853" spans="1:69">
      <c r="A853" s="239"/>
      <c r="B853" s="239"/>
      <c r="C853" s="264"/>
      <c r="D853" s="284" t="s">
        <v>1472</v>
      </c>
      <c r="E853" s="284" t="s">
        <v>574</v>
      </c>
      <c r="F853" s="285">
        <v>1</v>
      </c>
      <c r="G853" s="286"/>
      <c r="H853" s="285"/>
      <c r="I853" s="308" t="s">
        <v>2196</v>
      </c>
      <c r="J853" s="245" t="s">
        <v>2196</v>
      </c>
      <c r="L853" s="252"/>
    </row>
    <row r="854" spans="1:69">
      <c r="A854" s="261"/>
      <c r="B854" s="261"/>
      <c r="C854" s="262"/>
      <c r="D854" s="262" t="s">
        <v>1161</v>
      </c>
      <c r="E854" s="262" t="s">
        <v>532</v>
      </c>
      <c r="F854" s="261">
        <v>1</v>
      </c>
      <c r="G854" s="263"/>
      <c r="H854" s="261"/>
      <c r="I854" s="264" t="s">
        <v>2151</v>
      </c>
      <c r="L854" s="252"/>
    </row>
    <row r="855" spans="1:69">
      <c r="A855" s="261"/>
      <c r="B855" s="261"/>
      <c r="C855" s="262"/>
      <c r="D855" s="262" t="s">
        <v>1562</v>
      </c>
      <c r="E855" s="262" t="s">
        <v>1567</v>
      </c>
      <c r="F855" s="261">
        <v>1</v>
      </c>
      <c r="G855" s="263"/>
      <c r="H855" s="261"/>
      <c r="I855" s="264" t="s">
        <v>2151</v>
      </c>
      <c r="L855" s="252"/>
    </row>
    <row r="856" spans="1:69">
      <c r="A856" s="261"/>
      <c r="B856" s="261"/>
      <c r="C856" s="262"/>
      <c r="D856" s="262" t="s">
        <v>1563</v>
      </c>
      <c r="E856" s="262" t="s">
        <v>1568</v>
      </c>
      <c r="F856" s="261">
        <v>1</v>
      </c>
      <c r="G856" s="263"/>
      <c r="H856" s="261"/>
      <c r="I856" s="264" t="s">
        <v>2151</v>
      </c>
      <c r="L856" s="252"/>
    </row>
    <row r="857" spans="1:69">
      <c r="A857" s="261"/>
      <c r="B857" s="261"/>
      <c r="C857" s="262"/>
      <c r="D857" s="262" t="s">
        <v>1564</v>
      </c>
      <c r="E857" s="262" t="s">
        <v>1569</v>
      </c>
      <c r="F857" s="261">
        <v>1</v>
      </c>
      <c r="G857" s="263"/>
      <c r="H857" s="261"/>
      <c r="I857" s="264" t="s">
        <v>2151</v>
      </c>
      <c r="L857" s="252"/>
    </row>
    <row r="858" spans="1:69">
      <c r="A858" s="261"/>
      <c r="B858" s="261"/>
      <c r="C858" s="262"/>
      <c r="D858" s="262" t="s">
        <v>1508</v>
      </c>
      <c r="E858" s="262" t="s">
        <v>1570</v>
      </c>
      <c r="F858" s="261">
        <v>1</v>
      </c>
      <c r="G858" s="263"/>
      <c r="H858" s="261"/>
      <c r="I858" s="264" t="s">
        <v>2151</v>
      </c>
      <c r="L858" s="252"/>
    </row>
    <row r="859" spans="1:69">
      <c r="A859" s="261"/>
      <c r="B859" s="261"/>
      <c r="C859" s="262"/>
      <c r="D859" s="262" t="s">
        <v>1565</v>
      </c>
      <c r="E859" s="262" t="s">
        <v>1571</v>
      </c>
      <c r="F859" s="261">
        <v>1</v>
      </c>
      <c r="G859" s="263"/>
      <c r="H859" s="261"/>
      <c r="I859" s="264" t="s">
        <v>2151</v>
      </c>
      <c r="L859" s="252"/>
    </row>
    <row r="860" spans="1:69">
      <c r="A860" s="261"/>
      <c r="B860" s="261"/>
      <c r="C860" s="262"/>
      <c r="D860" s="262" t="s">
        <v>1566</v>
      </c>
      <c r="E860" s="262" t="s">
        <v>1572</v>
      </c>
      <c r="F860" s="261">
        <v>1</v>
      </c>
      <c r="G860" s="263"/>
      <c r="H860" s="261"/>
      <c r="I860" s="264" t="s">
        <v>2151</v>
      </c>
      <c r="L860" s="252"/>
    </row>
    <row r="861" spans="1:69">
      <c r="A861" s="239">
        <v>72024</v>
      </c>
      <c r="B861" s="239" t="s">
        <v>1076</v>
      </c>
      <c r="C861" s="264" t="s">
        <v>20</v>
      </c>
      <c r="D861" s="264" t="s">
        <v>149</v>
      </c>
      <c r="E861" s="264" t="s">
        <v>148</v>
      </c>
      <c r="F861" s="239" t="s">
        <v>150</v>
      </c>
      <c r="G861" s="265">
        <v>45919</v>
      </c>
      <c r="H861" s="239"/>
      <c r="I861" s="264"/>
      <c r="L861" s="252"/>
    </row>
    <row r="862" spans="1:69">
      <c r="A862" s="239">
        <v>72028</v>
      </c>
      <c r="B862" s="239" t="s">
        <v>882</v>
      </c>
      <c r="C862" s="264" t="s">
        <v>49</v>
      </c>
      <c r="D862" s="264" t="s">
        <v>155</v>
      </c>
      <c r="E862" s="264" t="s">
        <v>154</v>
      </c>
      <c r="F862" s="239">
        <v>1</v>
      </c>
      <c r="G862" s="265">
        <v>45709</v>
      </c>
      <c r="H862" s="239"/>
      <c r="I862" s="264"/>
      <c r="L862" s="252"/>
    </row>
    <row r="863" spans="1:69">
      <c r="A863" s="280">
        <v>72045</v>
      </c>
      <c r="B863" s="280" t="s">
        <v>156</v>
      </c>
      <c r="C863" s="281" t="s">
        <v>20</v>
      </c>
      <c r="D863" s="281" t="s">
        <v>123</v>
      </c>
      <c r="E863" s="281" t="s">
        <v>122</v>
      </c>
      <c r="F863" s="280">
        <v>3</v>
      </c>
      <c r="G863" s="282">
        <v>45869</v>
      </c>
      <c r="H863" s="321">
        <v>45889</v>
      </c>
      <c r="I863" s="264" t="s">
        <v>2225</v>
      </c>
      <c r="L863" s="252"/>
      <c r="AD863" s="243" t="s">
        <v>2381</v>
      </c>
      <c r="BB863" s="243" t="s">
        <v>2225</v>
      </c>
      <c r="BC863" s="243" t="s">
        <v>2426</v>
      </c>
      <c r="BD863" s="243" t="s">
        <v>2426</v>
      </c>
    </row>
    <row r="864" spans="1:69">
      <c r="A864" s="239"/>
      <c r="B864" s="239"/>
      <c r="C864" s="264"/>
      <c r="D864" s="284" t="s">
        <v>1424</v>
      </c>
      <c r="E864" s="284" t="s">
        <v>157</v>
      </c>
      <c r="F864" s="285"/>
      <c r="G864" s="286"/>
      <c r="H864" s="285"/>
      <c r="I864" s="264" t="s">
        <v>2151</v>
      </c>
      <c r="L864" s="252"/>
    </row>
    <row r="865" spans="1:56">
      <c r="A865" s="239"/>
      <c r="B865" s="239"/>
      <c r="C865" s="264"/>
      <c r="D865" s="264"/>
      <c r="E865" s="264"/>
      <c r="F865" s="239"/>
      <c r="G865" s="265"/>
      <c r="H865" s="239"/>
      <c r="I865" s="264"/>
      <c r="L865" s="252"/>
    </row>
    <row r="866" spans="1:56">
      <c r="A866" s="261"/>
      <c r="B866" s="261"/>
      <c r="C866" s="262"/>
      <c r="D866" s="262" t="s">
        <v>1182</v>
      </c>
      <c r="E866" s="262" t="s">
        <v>1425</v>
      </c>
      <c r="F866" s="261"/>
      <c r="G866" s="263"/>
      <c r="H866" s="261"/>
      <c r="I866" s="264" t="s">
        <v>2151</v>
      </c>
      <c r="L866" s="252"/>
    </row>
    <row r="867" spans="1:56">
      <c r="A867" s="239"/>
      <c r="B867" s="239"/>
      <c r="C867" s="264"/>
      <c r="D867" s="284" t="s">
        <v>1427</v>
      </c>
      <c r="E867" s="284" t="s">
        <v>127</v>
      </c>
      <c r="F867" s="285">
        <v>3</v>
      </c>
      <c r="G867" s="286"/>
      <c r="H867" s="285"/>
      <c r="I867" s="264" t="s">
        <v>2151</v>
      </c>
      <c r="L867" s="252"/>
      <c r="AB867" s="243" t="s">
        <v>2343</v>
      </c>
    </row>
    <row r="868" spans="1:56">
      <c r="A868" s="261"/>
      <c r="B868" s="261"/>
      <c r="C868" s="262"/>
      <c r="D868" s="262" t="s">
        <v>1430</v>
      </c>
      <c r="E868" s="262" t="s">
        <v>1441</v>
      </c>
      <c r="F868" s="261"/>
      <c r="G868" s="263"/>
      <c r="H868" s="261"/>
      <c r="I868" s="264" t="s">
        <v>2151</v>
      </c>
      <c r="L868" s="252"/>
    </row>
    <row r="869" spans="1:56">
      <c r="A869" s="261"/>
      <c r="B869" s="261"/>
      <c r="C869" s="262"/>
      <c r="D869" s="262" t="s">
        <v>1431</v>
      </c>
      <c r="E869" s="262" t="s">
        <v>1442</v>
      </c>
      <c r="F869" s="261"/>
      <c r="G869" s="263"/>
      <c r="H869" s="261"/>
      <c r="I869" s="264" t="s">
        <v>2151</v>
      </c>
      <c r="L869" s="252"/>
    </row>
    <row r="870" spans="1:56">
      <c r="A870" s="261"/>
      <c r="B870" s="261"/>
      <c r="C870" s="262"/>
      <c r="D870" s="262" t="s">
        <v>1438</v>
      </c>
      <c r="E870" s="262" t="s">
        <v>1443</v>
      </c>
      <c r="F870" s="261"/>
      <c r="G870" s="263"/>
      <c r="H870" s="261"/>
      <c r="I870" s="264" t="s">
        <v>2151</v>
      </c>
      <c r="L870" s="252"/>
    </row>
    <row r="871" spans="1:56">
      <c r="A871" s="261"/>
      <c r="B871" s="261"/>
      <c r="C871" s="262"/>
      <c r="D871" s="262" t="s">
        <v>1432</v>
      </c>
      <c r="E871" s="262" t="s">
        <v>1444</v>
      </c>
      <c r="F871" s="261"/>
      <c r="G871" s="263"/>
      <c r="H871" s="261"/>
      <c r="I871" s="264" t="s">
        <v>2151</v>
      </c>
      <c r="L871" s="252"/>
    </row>
    <row r="872" spans="1:56">
      <c r="A872" s="239"/>
      <c r="B872" s="239"/>
      <c r="C872" s="264"/>
      <c r="D872" s="298" t="s">
        <v>1439</v>
      </c>
      <c r="E872" s="298" t="s">
        <v>1445</v>
      </c>
      <c r="F872" s="299"/>
      <c r="G872" s="300"/>
      <c r="H872" s="299"/>
      <c r="I872" s="264" t="s">
        <v>2151</v>
      </c>
      <c r="L872" s="252"/>
    </row>
    <row r="873" spans="1:56">
      <c r="A873" s="239"/>
      <c r="B873" s="239"/>
      <c r="C873" s="264"/>
      <c r="D873" s="298" t="s">
        <v>1440</v>
      </c>
      <c r="E873" s="298" t="s">
        <v>1446</v>
      </c>
      <c r="F873" s="299"/>
      <c r="G873" s="300"/>
      <c r="H873" s="299"/>
      <c r="I873" s="264" t="s">
        <v>2151</v>
      </c>
      <c r="L873" s="252"/>
    </row>
    <row r="874" spans="1:56">
      <c r="A874" s="239"/>
      <c r="B874" s="239"/>
      <c r="C874" s="264"/>
      <c r="D874" s="264"/>
      <c r="E874" s="264"/>
      <c r="F874" s="239"/>
      <c r="G874" s="265"/>
      <c r="H874" s="239"/>
      <c r="I874" s="264"/>
      <c r="L874" s="252"/>
    </row>
    <row r="875" spans="1:56">
      <c r="A875" s="280">
        <v>72046</v>
      </c>
      <c r="B875" s="280" t="s">
        <v>156</v>
      </c>
      <c r="C875" s="281" t="s">
        <v>20</v>
      </c>
      <c r="D875" s="281" t="s">
        <v>124</v>
      </c>
      <c r="E875" s="281" t="s">
        <v>159</v>
      </c>
      <c r="F875" s="280">
        <v>4</v>
      </c>
      <c r="G875" s="282">
        <v>45869</v>
      </c>
      <c r="H875" s="321">
        <v>45889</v>
      </c>
      <c r="I875" s="264" t="s">
        <v>2151</v>
      </c>
      <c r="L875" s="255"/>
      <c r="AD875" s="243" t="s">
        <v>2381</v>
      </c>
      <c r="BB875" s="243" t="s">
        <v>2225</v>
      </c>
      <c r="BC875" s="243" t="s">
        <v>2426</v>
      </c>
      <c r="BD875" s="243" t="s">
        <v>2426</v>
      </c>
    </row>
    <row r="876" spans="1:56">
      <c r="A876" s="239"/>
      <c r="B876" s="239"/>
      <c r="C876" s="264"/>
      <c r="D876" s="284" t="s">
        <v>1428</v>
      </c>
      <c r="E876" s="284" t="s">
        <v>1429</v>
      </c>
      <c r="F876" s="285">
        <v>1</v>
      </c>
      <c r="G876" s="286"/>
      <c r="H876" s="285"/>
      <c r="I876" s="264" t="s">
        <v>2151</v>
      </c>
      <c r="L876" s="255"/>
      <c r="AA876" s="243" t="s">
        <v>2343</v>
      </c>
    </row>
    <row r="877" spans="1:56">
      <c r="A877" s="261"/>
      <c r="B877" s="261"/>
      <c r="C877" s="262"/>
      <c r="D877" s="262" t="s">
        <v>1430</v>
      </c>
      <c r="E877" s="262" t="s">
        <v>1434</v>
      </c>
      <c r="F877" s="261">
        <v>1</v>
      </c>
      <c r="G877" s="263"/>
      <c r="H877" s="261"/>
      <c r="I877" s="264" t="s">
        <v>2151</v>
      </c>
      <c r="L877" s="255"/>
    </row>
    <row r="878" spans="1:56">
      <c r="A878" s="261"/>
      <c r="B878" s="261"/>
      <c r="C878" s="262"/>
      <c r="D878" s="262" t="s">
        <v>1431</v>
      </c>
      <c r="E878" s="262" t="s">
        <v>1435</v>
      </c>
      <c r="F878" s="261">
        <v>1</v>
      </c>
      <c r="G878" s="263"/>
      <c r="H878" s="261"/>
      <c r="I878" s="264" t="s">
        <v>2151</v>
      </c>
      <c r="L878" s="255"/>
    </row>
    <row r="879" spans="1:56">
      <c r="A879" s="261"/>
      <c r="B879" s="261"/>
      <c r="C879" s="262"/>
      <c r="D879" s="262" t="s">
        <v>1182</v>
      </c>
      <c r="E879" s="262" t="s">
        <v>158</v>
      </c>
      <c r="F879" s="261">
        <v>2</v>
      </c>
      <c r="G879" s="263"/>
      <c r="H879" s="261"/>
      <c r="I879" s="264" t="s">
        <v>2271</v>
      </c>
      <c r="L879" s="255"/>
    </row>
    <row r="880" spans="1:56">
      <c r="A880" s="261"/>
      <c r="B880" s="261"/>
      <c r="C880" s="262"/>
      <c r="D880" s="262" t="s">
        <v>1432</v>
      </c>
      <c r="E880" s="262" t="s">
        <v>1802</v>
      </c>
      <c r="F880" s="261">
        <v>1</v>
      </c>
      <c r="G880" s="263"/>
      <c r="H880" s="261"/>
      <c r="I880" s="264" t="s">
        <v>2151</v>
      </c>
      <c r="L880" s="255"/>
    </row>
    <row r="881" spans="1:63">
      <c r="A881" s="239"/>
      <c r="B881" s="239"/>
      <c r="C881" s="264"/>
      <c r="D881" s="298" t="s">
        <v>1433</v>
      </c>
      <c r="E881" s="298" t="s">
        <v>1437</v>
      </c>
      <c r="F881" s="299">
        <v>1</v>
      </c>
      <c r="G881" s="300"/>
      <c r="H881" s="299"/>
      <c r="I881" s="264" t="s">
        <v>2151</v>
      </c>
      <c r="L881" s="255"/>
    </row>
    <row r="882" spans="1:63">
      <c r="A882" s="239"/>
      <c r="B882" s="239"/>
      <c r="C882" s="264"/>
      <c r="D882" s="284" t="s">
        <v>1424</v>
      </c>
      <c r="E882" s="284" t="s">
        <v>157</v>
      </c>
      <c r="F882" s="285">
        <v>1</v>
      </c>
      <c r="G882" s="286"/>
      <c r="H882" s="285"/>
      <c r="I882" s="264" t="s">
        <v>2151</v>
      </c>
      <c r="L882" s="255"/>
    </row>
    <row r="883" spans="1:63">
      <c r="A883" s="280">
        <v>72047</v>
      </c>
      <c r="B883" s="280" t="s">
        <v>156</v>
      </c>
      <c r="C883" s="281" t="s">
        <v>20</v>
      </c>
      <c r="D883" s="281" t="s">
        <v>126</v>
      </c>
      <c r="E883" s="281" t="s">
        <v>160</v>
      </c>
      <c r="F883" s="280">
        <v>8</v>
      </c>
      <c r="G883" s="282">
        <v>45869</v>
      </c>
      <c r="H883" s="321">
        <v>45889</v>
      </c>
      <c r="I883" s="264" t="s">
        <v>2271</v>
      </c>
      <c r="L883" s="255"/>
    </row>
    <row r="884" spans="1:63">
      <c r="A884" s="261"/>
      <c r="B884" s="261"/>
      <c r="C884" s="262"/>
      <c r="D884" s="262" t="s">
        <v>1430</v>
      </c>
      <c r="E884" s="262" t="s">
        <v>1434</v>
      </c>
      <c r="F884" s="261">
        <v>1</v>
      </c>
      <c r="G884" s="263"/>
      <c r="H884" s="261"/>
      <c r="I884" s="264" t="s">
        <v>2271</v>
      </c>
      <c r="L884" s="255"/>
    </row>
    <row r="885" spans="1:63">
      <c r="A885" s="261"/>
      <c r="B885" s="261"/>
      <c r="C885" s="262"/>
      <c r="D885" s="262" t="s">
        <v>1431</v>
      </c>
      <c r="E885" s="262" t="s">
        <v>1435</v>
      </c>
      <c r="F885" s="261">
        <v>1</v>
      </c>
      <c r="G885" s="263"/>
      <c r="H885" s="261"/>
      <c r="I885" s="264" t="s">
        <v>2271</v>
      </c>
      <c r="L885" s="255"/>
    </row>
    <row r="886" spans="1:63">
      <c r="A886" s="261"/>
      <c r="B886" s="261"/>
      <c r="C886" s="262"/>
      <c r="D886" s="262" t="s">
        <v>1432</v>
      </c>
      <c r="E886" s="262" t="s">
        <v>1802</v>
      </c>
      <c r="F886" s="261">
        <v>1</v>
      </c>
      <c r="G886" s="263"/>
      <c r="H886" s="261"/>
      <c r="I886" s="264" t="s">
        <v>2271</v>
      </c>
      <c r="L886" s="255"/>
    </row>
    <row r="887" spans="1:63">
      <c r="A887" s="239"/>
      <c r="B887" s="239"/>
      <c r="C887" s="264"/>
      <c r="D887" s="298" t="s">
        <v>1433</v>
      </c>
      <c r="E887" s="298" t="s">
        <v>1437</v>
      </c>
      <c r="F887" s="299">
        <v>1</v>
      </c>
      <c r="G887" s="300"/>
      <c r="H887" s="299"/>
      <c r="I887" s="264" t="s">
        <v>2271</v>
      </c>
      <c r="L887" s="255"/>
    </row>
    <row r="888" spans="1:63">
      <c r="A888" s="280">
        <v>72048</v>
      </c>
      <c r="B888" s="280" t="s">
        <v>156</v>
      </c>
      <c r="C888" s="281" t="s">
        <v>20</v>
      </c>
      <c r="D888" s="281" t="s">
        <v>128</v>
      </c>
      <c r="E888" s="281" t="s">
        <v>127</v>
      </c>
      <c r="F888" s="280">
        <v>4</v>
      </c>
      <c r="G888" s="282">
        <v>45869</v>
      </c>
      <c r="H888" s="321">
        <v>45889</v>
      </c>
      <c r="I888" s="264" t="s">
        <v>2271</v>
      </c>
      <c r="L888" s="255"/>
      <c r="AB888" s="243" t="s">
        <v>2343</v>
      </c>
    </row>
    <row r="889" spans="1:63">
      <c r="A889" s="261"/>
      <c r="B889" s="261"/>
      <c r="C889" s="262"/>
      <c r="D889" s="262" t="s">
        <v>1430</v>
      </c>
      <c r="E889" s="262" t="s">
        <v>1441</v>
      </c>
      <c r="F889" s="261"/>
      <c r="G889" s="263"/>
      <c r="H889" s="261"/>
      <c r="I889" s="264" t="s">
        <v>2271</v>
      </c>
      <c r="L889" s="255"/>
    </row>
    <row r="890" spans="1:63">
      <c r="A890" s="261"/>
      <c r="B890" s="261"/>
      <c r="C890" s="262"/>
      <c r="D890" s="262" t="s">
        <v>1431</v>
      </c>
      <c r="E890" s="262" t="s">
        <v>1442</v>
      </c>
      <c r="F890" s="261"/>
      <c r="G890" s="263"/>
      <c r="H890" s="261"/>
      <c r="I890" s="264" t="s">
        <v>2271</v>
      </c>
      <c r="L890" s="255"/>
    </row>
    <row r="891" spans="1:63">
      <c r="A891" s="261"/>
      <c r="B891" s="261"/>
      <c r="C891" s="262"/>
      <c r="D891" s="262" t="s">
        <v>1438</v>
      </c>
      <c r="E891" s="262" t="s">
        <v>1443</v>
      </c>
      <c r="F891" s="261"/>
      <c r="G891" s="263"/>
      <c r="H891" s="261"/>
      <c r="I891" s="264" t="s">
        <v>2271</v>
      </c>
      <c r="L891" s="255"/>
    </row>
    <row r="892" spans="1:63">
      <c r="A892" s="261"/>
      <c r="B892" s="261"/>
      <c r="C892" s="262"/>
      <c r="D892" s="262" t="s">
        <v>1432</v>
      </c>
      <c r="E892" s="262" t="s">
        <v>1444</v>
      </c>
      <c r="F892" s="261"/>
      <c r="G892" s="263"/>
      <c r="H892" s="261"/>
      <c r="I892" s="264" t="s">
        <v>2271</v>
      </c>
      <c r="L892" s="255"/>
    </row>
    <row r="893" spans="1:63">
      <c r="A893" s="239"/>
      <c r="B893" s="239"/>
      <c r="C893" s="264"/>
      <c r="D893" s="298" t="s">
        <v>1439</v>
      </c>
      <c r="E893" s="298" t="s">
        <v>1445</v>
      </c>
      <c r="F893" s="299"/>
      <c r="G893" s="300"/>
      <c r="H893" s="299"/>
      <c r="I893" s="264" t="s">
        <v>2271</v>
      </c>
      <c r="L893" s="255"/>
    </row>
    <row r="894" spans="1:63">
      <c r="A894" s="239"/>
      <c r="B894" s="239"/>
      <c r="C894" s="264"/>
      <c r="D894" s="298" t="s">
        <v>1440</v>
      </c>
      <c r="E894" s="298" t="s">
        <v>1446</v>
      </c>
      <c r="F894" s="299"/>
      <c r="G894" s="300"/>
      <c r="H894" s="299"/>
      <c r="I894" s="264" t="s">
        <v>2151</v>
      </c>
      <c r="L894" s="255"/>
    </row>
    <row r="895" spans="1:63" ht="42">
      <c r="A895" s="280">
        <v>72057</v>
      </c>
      <c r="B895" s="280" t="s">
        <v>161</v>
      </c>
      <c r="C895" s="281" t="s">
        <v>164</v>
      </c>
      <c r="D895" s="281" t="s">
        <v>163</v>
      </c>
      <c r="E895" s="281" t="s">
        <v>162</v>
      </c>
      <c r="F895" s="280">
        <v>1</v>
      </c>
      <c r="G895" s="282">
        <v>45772</v>
      </c>
      <c r="H895" s="301" t="s">
        <v>2744</v>
      </c>
      <c r="I895" s="264" t="s">
        <v>2196</v>
      </c>
      <c r="J895" s="243" t="s">
        <v>2400</v>
      </c>
      <c r="L895" s="255"/>
      <c r="X895" s="243" t="s">
        <v>2196</v>
      </c>
      <c r="AU895" s="243" t="s">
        <v>2196</v>
      </c>
      <c r="AV895" s="243" t="s">
        <v>2645</v>
      </c>
      <c r="AW895" s="243" t="s">
        <v>2645</v>
      </c>
      <c r="AX895" s="243" t="s">
        <v>2645</v>
      </c>
      <c r="AY895" s="243" t="s">
        <v>2645</v>
      </c>
      <c r="AZ895" s="243" t="s">
        <v>2645</v>
      </c>
      <c r="BA895" s="243" t="s">
        <v>2645</v>
      </c>
      <c r="BB895" s="243" t="s">
        <v>2645</v>
      </c>
      <c r="BC895" s="243" t="s">
        <v>2645</v>
      </c>
      <c r="BD895" s="243" t="s">
        <v>2196</v>
      </c>
      <c r="BI895" s="243" t="s">
        <v>2427</v>
      </c>
      <c r="BJ895" s="243" t="s">
        <v>2427</v>
      </c>
      <c r="BK895" s="243" t="s">
        <v>2426</v>
      </c>
    </row>
    <row r="896" spans="1:63">
      <c r="A896" s="261">
        <v>72058</v>
      </c>
      <c r="B896" s="261"/>
      <c r="C896" s="262"/>
      <c r="D896" s="262"/>
      <c r="E896" s="262" t="s">
        <v>2237</v>
      </c>
      <c r="F896" s="261"/>
      <c r="G896" s="263"/>
      <c r="H896" s="261"/>
      <c r="I896" s="264" t="s">
        <v>2151</v>
      </c>
      <c r="L896" s="255"/>
    </row>
    <row r="897" spans="1:111">
      <c r="A897" s="261">
        <v>72061</v>
      </c>
      <c r="B897" s="261">
        <v>280099239</v>
      </c>
      <c r="C897" s="262" t="s">
        <v>167</v>
      </c>
      <c r="D897" s="262" t="s">
        <v>166</v>
      </c>
      <c r="E897" s="262" t="s">
        <v>165</v>
      </c>
      <c r="F897" s="261">
        <v>1</v>
      </c>
      <c r="G897" s="263">
        <v>45751</v>
      </c>
      <c r="H897" s="261"/>
      <c r="I897" s="264" t="s">
        <v>2151</v>
      </c>
      <c r="L897" s="255"/>
    </row>
    <row r="898" spans="1:111">
      <c r="A898" s="261">
        <v>72066</v>
      </c>
      <c r="B898" s="261">
        <v>280099239</v>
      </c>
      <c r="C898" s="262" t="s">
        <v>167</v>
      </c>
      <c r="D898" s="262" t="s">
        <v>168</v>
      </c>
      <c r="E898" s="262" t="s">
        <v>2374</v>
      </c>
      <c r="F898" s="261">
        <v>1</v>
      </c>
      <c r="G898" s="263">
        <v>45751</v>
      </c>
      <c r="H898" s="261" t="s">
        <v>2890</v>
      </c>
      <c r="I898" s="264" t="s">
        <v>2151</v>
      </c>
      <c r="L898" s="255"/>
      <c r="BK898" s="243" t="s">
        <v>2340</v>
      </c>
      <c r="BL898" s="243" t="s">
        <v>2331</v>
      </c>
      <c r="BM898" s="243" t="s">
        <v>2331</v>
      </c>
      <c r="BN898" s="243" t="s">
        <v>2389</v>
      </c>
      <c r="BO898" s="243" t="s">
        <v>2427</v>
      </c>
      <c r="BP898" s="243" t="s">
        <v>2427</v>
      </c>
      <c r="BQ898" s="243" t="s">
        <v>2426</v>
      </c>
    </row>
    <row r="899" spans="1:111">
      <c r="A899" s="261">
        <v>72066</v>
      </c>
      <c r="B899" s="261">
        <v>280099239</v>
      </c>
      <c r="C899" s="262" t="s">
        <v>167</v>
      </c>
      <c r="D899" s="262" t="s">
        <v>168</v>
      </c>
      <c r="E899" s="262" t="s">
        <v>2373</v>
      </c>
      <c r="F899" s="261">
        <v>1</v>
      </c>
      <c r="G899" s="263">
        <v>45751</v>
      </c>
      <c r="H899" s="261"/>
      <c r="I899" s="264" t="s">
        <v>2151</v>
      </c>
      <c r="L899" s="255"/>
      <c r="AD899" s="243" t="s">
        <v>2331</v>
      </c>
    </row>
    <row r="900" spans="1:111">
      <c r="A900" s="261">
        <v>72066</v>
      </c>
      <c r="B900" s="261">
        <v>280099239</v>
      </c>
      <c r="C900" s="262" t="s">
        <v>167</v>
      </c>
      <c r="D900" s="262" t="s">
        <v>168</v>
      </c>
      <c r="E900" s="262" t="s">
        <v>2354</v>
      </c>
      <c r="F900" s="261">
        <v>1</v>
      </c>
      <c r="G900" s="263">
        <v>45751</v>
      </c>
      <c r="H900" s="261"/>
      <c r="I900" s="264" t="s">
        <v>2151</v>
      </c>
      <c r="L900" s="255"/>
      <c r="X900" s="243" t="s">
        <v>2248</v>
      </c>
    </row>
    <row r="901" spans="1:111">
      <c r="A901" s="261">
        <v>72073</v>
      </c>
      <c r="B901" s="261">
        <v>280099239</v>
      </c>
      <c r="C901" s="262" t="s">
        <v>167</v>
      </c>
      <c r="D901" s="262" t="s">
        <v>170</v>
      </c>
      <c r="E901" s="262" t="s">
        <v>169</v>
      </c>
      <c r="F901" s="261">
        <v>2</v>
      </c>
      <c r="G901" s="263">
        <v>45751</v>
      </c>
      <c r="H901" s="261"/>
      <c r="I901" s="264" t="s">
        <v>2151</v>
      </c>
      <c r="L901" s="255"/>
    </row>
    <row r="902" spans="1:111">
      <c r="A902" s="261"/>
      <c r="B902" s="261"/>
      <c r="C902" s="262"/>
      <c r="D902" s="262"/>
      <c r="E902" s="262" t="s">
        <v>2233</v>
      </c>
      <c r="F902" s="261"/>
      <c r="G902" s="263"/>
      <c r="H902" s="261"/>
      <c r="I902" s="264" t="s">
        <v>2151</v>
      </c>
      <c r="L902" s="255"/>
    </row>
    <row r="903" spans="1:111">
      <c r="A903" s="261"/>
      <c r="B903" s="261"/>
      <c r="C903" s="262"/>
      <c r="D903" s="262"/>
      <c r="E903" s="262" t="s">
        <v>2234</v>
      </c>
      <c r="F903" s="261"/>
      <c r="G903" s="263"/>
      <c r="H903" s="261"/>
      <c r="I903" s="264" t="s">
        <v>2151</v>
      </c>
      <c r="L903" s="255"/>
    </row>
    <row r="904" spans="1:111">
      <c r="A904" s="261"/>
      <c r="B904" s="261"/>
      <c r="C904" s="262"/>
      <c r="D904" s="262"/>
      <c r="E904" s="262" t="s">
        <v>2235</v>
      </c>
      <c r="F904" s="261"/>
      <c r="G904" s="263"/>
      <c r="H904" s="261"/>
      <c r="I904" s="264" t="s">
        <v>2151</v>
      </c>
      <c r="L904" s="255"/>
    </row>
    <row r="905" spans="1:111">
      <c r="A905" s="261"/>
      <c r="B905" s="261"/>
      <c r="C905" s="262"/>
      <c r="D905" s="262"/>
      <c r="E905" s="262" t="s">
        <v>2236</v>
      </c>
      <c r="F905" s="261"/>
      <c r="G905" s="263"/>
      <c r="H905" s="261"/>
      <c r="I905" s="264" t="s">
        <v>2151</v>
      </c>
      <c r="L905" s="255"/>
    </row>
    <row r="906" spans="1:111">
      <c r="A906" s="280">
        <v>72083</v>
      </c>
      <c r="B906" s="280" t="s">
        <v>171</v>
      </c>
      <c r="C906" s="281" t="s">
        <v>20</v>
      </c>
      <c r="D906" s="281" t="s">
        <v>173</v>
      </c>
      <c r="E906" s="281" t="s">
        <v>172</v>
      </c>
      <c r="F906" s="280">
        <v>3</v>
      </c>
      <c r="G906" s="282">
        <v>45896</v>
      </c>
      <c r="H906" s="280" t="s">
        <v>2569</v>
      </c>
      <c r="I906" s="264" t="s">
        <v>2225</v>
      </c>
      <c r="J906" s="243" t="s">
        <v>2196</v>
      </c>
      <c r="L906" s="255"/>
      <c r="AX906" s="243" t="s">
        <v>2203</v>
      </c>
      <c r="AY906" s="243" t="s">
        <v>2339</v>
      </c>
      <c r="AZ906" s="243" t="s">
        <v>2339</v>
      </c>
      <c r="BA906" s="243" t="s">
        <v>2339</v>
      </c>
      <c r="BB906" s="243" t="s">
        <v>2253</v>
      </c>
      <c r="BC906" s="243" t="s">
        <v>2427</v>
      </c>
      <c r="BD906" s="243" t="s">
        <v>2427</v>
      </c>
      <c r="BE906" s="243" t="s">
        <v>2428</v>
      </c>
      <c r="BF906" s="243" t="s">
        <v>2426</v>
      </c>
      <c r="BG906" s="243" t="s">
        <v>2426</v>
      </c>
      <c r="BH906" s="243" t="s">
        <v>2208</v>
      </c>
      <c r="CX906" s="243" t="s">
        <v>2225</v>
      </c>
      <c r="CY906" s="243" t="s">
        <v>2225</v>
      </c>
      <c r="CZ906" s="243" t="s">
        <v>2225</v>
      </c>
      <c r="DA906" s="243" t="s">
        <v>2225</v>
      </c>
      <c r="DB906" s="243" t="s">
        <v>2225</v>
      </c>
      <c r="DC906" s="243" t="s">
        <v>3090</v>
      </c>
      <c r="DD906" s="243" t="s">
        <v>3090</v>
      </c>
      <c r="DE906" s="243" t="s">
        <v>3090</v>
      </c>
      <c r="DF906" s="243" t="s">
        <v>3090</v>
      </c>
      <c r="DG906" s="243" t="s">
        <v>3090</v>
      </c>
    </row>
    <row r="907" spans="1:111">
      <c r="A907" s="261"/>
      <c r="B907" s="261"/>
      <c r="C907" s="262"/>
      <c r="D907" s="262" t="s">
        <v>1577</v>
      </c>
      <c r="E907" s="262" t="s">
        <v>1812</v>
      </c>
      <c r="F907" s="261">
        <v>6</v>
      </c>
      <c r="G907" s="263"/>
      <c r="H907" s="261"/>
      <c r="I907" s="264" t="s">
        <v>2151</v>
      </c>
      <c r="L907" s="255"/>
      <c r="AK907" s="243" t="s">
        <v>2340</v>
      </c>
    </row>
    <row r="908" spans="1:111">
      <c r="A908" s="261"/>
      <c r="B908" s="261"/>
      <c r="C908" s="262"/>
      <c r="D908" s="262" t="s">
        <v>1803</v>
      </c>
      <c r="E908" s="262" t="s">
        <v>1813</v>
      </c>
      <c r="F908" s="261">
        <v>24</v>
      </c>
      <c r="G908" s="263"/>
      <c r="H908" s="261"/>
      <c r="I908" s="264" t="s">
        <v>2151</v>
      </c>
      <c r="L908" s="255"/>
      <c r="AJ908" s="243" t="s">
        <v>2244</v>
      </c>
      <c r="AQ908" s="243" t="s">
        <v>2331</v>
      </c>
    </row>
    <row r="909" spans="1:111">
      <c r="A909" s="261"/>
      <c r="B909" s="261"/>
      <c r="C909" s="262"/>
      <c r="D909" s="262" t="s">
        <v>1804</v>
      </c>
      <c r="E909" s="262" t="s">
        <v>1814</v>
      </c>
      <c r="F909" s="261">
        <v>5</v>
      </c>
      <c r="G909" s="263"/>
      <c r="H909" s="261"/>
      <c r="I909" s="264" t="s">
        <v>2151</v>
      </c>
      <c r="L909" s="255"/>
      <c r="AJ909" s="243" t="s">
        <v>2244</v>
      </c>
    </row>
    <row r="910" spans="1:111">
      <c r="A910" s="261"/>
      <c r="B910" s="261"/>
      <c r="C910" s="262"/>
      <c r="D910" s="262" t="s">
        <v>1805</v>
      </c>
      <c r="E910" s="262" t="s">
        <v>1815</v>
      </c>
      <c r="F910" s="261">
        <v>9</v>
      </c>
      <c r="G910" s="263"/>
      <c r="H910" s="261"/>
      <c r="I910" s="264" t="s">
        <v>2151</v>
      </c>
      <c r="L910" s="255"/>
      <c r="AK910" s="243" t="s">
        <v>2340</v>
      </c>
      <c r="BA910" s="243" t="s">
        <v>2331</v>
      </c>
      <c r="BB910" s="243" t="s">
        <v>2331</v>
      </c>
      <c r="BC910" s="243" t="s">
        <v>2331</v>
      </c>
      <c r="BD910" s="243" t="s">
        <v>2389</v>
      </c>
      <c r="BE910" s="243" t="s">
        <v>2225</v>
      </c>
      <c r="BF910" s="243" t="s">
        <v>2693</v>
      </c>
      <c r="BG910" s="243" t="s">
        <v>2693</v>
      </c>
      <c r="BH910" s="243" t="s">
        <v>2596</v>
      </c>
      <c r="BI910" s="243" t="s">
        <v>2596</v>
      </c>
      <c r="BJ910" s="243" t="s">
        <v>2389</v>
      </c>
      <c r="BK910" s="243" t="s">
        <v>2427</v>
      </c>
      <c r="BL910" s="243" t="s">
        <v>2427</v>
      </c>
    </row>
    <row r="911" spans="1:111">
      <c r="A911" s="261"/>
      <c r="B911" s="261"/>
      <c r="C911" s="262"/>
      <c r="D911" s="262" t="s">
        <v>1806</v>
      </c>
      <c r="E911" s="262" t="s">
        <v>1816</v>
      </c>
      <c r="F911" s="261">
        <v>1</v>
      </c>
      <c r="G911" s="263"/>
      <c r="H911" s="261"/>
      <c r="I911" s="264" t="s">
        <v>2151</v>
      </c>
      <c r="L911" s="255"/>
      <c r="AE911" s="243" t="s">
        <v>2244</v>
      </c>
    </row>
    <row r="912" spans="1:111">
      <c r="A912" s="261"/>
      <c r="B912" s="261"/>
      <c r="C912" s="262"/>
      <c r="D912" s="262" t="s">
        <v>1268</v>
      </c>
      <c r="E912" s="262" t="s">
        <v>1817</v>
      </c>
      <c r="F912" s="261">
        <v>1</v>
      </c>
      <c r="G912" s="263"/>
      <c r="H912" s="261"/>
      <c r="I912" s="264" t="s">
        <v>2151</v>
      </c>
      <c r="L912" s="255"/>
    </row>
    <row r="913" spans="1:62">
      <c r="A913" s="261"/>
      <c r="B913" s="261"/>
      <c r="C913" s="262"/>
      <c r="D913" s="262" t="s">
        <v>1807</v>
      </c>
      <c r="E913" s="262" t="s">
        <v>1818</v>
      </c>
      <c r="F913" s="261">
        <v>3</v>
      </c>
      <c r="G913" s="263"/>
      <c r="H913" s="261"/>
      <c r="I913" s="264" t="s">
        <v>2151</v>
      </c>
      <c r="L913" s="255"/>
      <c r="AV913" s="243" t="s">
        <v>2389</v>
      </c>
      <c r="BI913" s="243" t="s">
        <v>2427</v>
      </c>
      <c r="BJ913" s="243" t="s">
        <v>2427</v>
      </c>
    </row>
    <row r="914" spans="1:62">
      <c r="A914" s="261"/>
      <c r="B914" s="261"/>
      <c r="C914" s="262"/>
      <c r="D914" s="262" t="s">
        <v>1808</v>
      </c>
      <c r="E914" s="262" t="s">
        <v>1819</v>
      </c>
      <c r="F914" s="261">
        <v>1</v>
      </c>
      <c r="G914" s="263"/>
      <c r="H914" s="261"/>
      <c r="I914" s="264" t="s">
        <v>2151</v>
      </c>
      <c r="L914" s="255"/>
    </row>
    <row r="915" spans="1:62">
      <c r="A915" s="261"/>
      <c r="B915" s="261"/>
      <c r="C915" s="262"/>
      <c r="D915" s="262" t="s">
        <v>1270</v>
      </c>
      <c r="E915" s="262" t="s">
        <v>1820</v>
      </c>
      <c r="F915" s="261">
        <v>1</v>
      </c>
      <c r="G915" s="263"/>
      <c r="H915" s="261"/>
      <c r="I915" s="264" t="s">
        <v>2151</v>
      </c>
      <c r="L915" s="255"/>
    </row>
    <row r="916" spans="1:62">
      <c r="A916" s="261"/>
      <c r="B916" s="261"/>
      <c r="C916" s="262"/>
      <c r="D916" s="262" t="s">
        <v>1271</v>
      </c>
      <c r="E916" s="262" t="s">
        <v>1821</v>
      </c>
      <c r="F916" s="261">
        <v>2</v>
      </c>
      <c r="G916" s="263"/>
      <c r="H916" s="261"/>
      <c r="I916" s="264" t="s">
        <v>2151</v>
      </c>
      <c r="L916" s="255"/>
    </row>
    <row r="917" spans="1:62">
      <c r="A917" s="261"/>
      <c r="B917" s="261"/>
      <c r="C917" s="262"/>
      <c r="D917" s="262" t="s">
        <v>1809</v>
      </c>
      <c r="E917" s="262" t="s">
        <v>1822</v>
      </c>
      <c r="F917" s="261">
        <v>1</v>
      </c>
      <c r="G917" s="263"/>
      <c r="H917" s="261"/>
      <c r="I917" s="264" t="s">
        <v>2151</v>
      </c>
      <c r="L917" s="255"/>
      <c r="Z917" s="243" t="s">
        <v>2340</v>
      </c>
      <c r="AR917" s="243" t="s">
        <v>2389</v>
      </c>
      <c r="AS917" s="243" t="s">
        <v>2389</v>
      </c>
      <c r="AT917" s="243" t="s">
        <v>2427</v>
      </c>
      <c r="AU917" s="243" t="s">
        <v>2427</v>
      </c>
    </row>
    <row r="918" spans="1:62">
      <c r="A918" s="261"/>
      <c r="B918" s="261"/>
      <c r="C918" s="262"/>
      <c r="D918" s="262" t="s">
        <v>1810</v>
      </c>
      <c r="E918" s="262" t="s">
        <v>1823</v>
      </c>
      <c r="F918" s="261">
        <v>3</v>
      </c>
      <c r="G918" s="263"/>
      <c r="H918" s="261"/>
      <c r="I918" s="264" t="s">
        <v>2151</v>
      </c>
      <c r="L918" s="255"/>
      <c r="AE918" s="243" t="s">
        <v>2244</v>
      </c>
    </row>
    <row r="919" spans="1:62">
      <c r="A919" s="261"/>
      <c r="B919" s="261"/>
      <c r="C919" s="262"/>
      <c r="D919" s="262" t="s">
        <v>1269</v>
      </c>
      <c r="E919" s="262" t="s">
        <v>1824</v>
      </c>
      <c r="F919" s="261">
        <v>1</v>
      </c>
      <c r="G919" s="263">
        <v>45859</v>
      </c>
      <c r="H919" s="261"/>
      <c r="I919" s="264" t="s">
        <v>2151</v>
      </c>
      <c r="L919" s="255"/>
    </row>
    <row r="920" spans="1:62">
      <c r="A920" s="239"/>
      <c r="B920" s="239"/>
      <c r="C920" s="264"/>
      <c r="D920" s="284" t="s">
        <v>1811</v>
      </c>
      <c r="E920" s="284" t="s">
        <v>606</v>
      </c>
      <c r="F920" s="285">
        <v>1</v>
      </c>
      <c r="G920" s="286"/>
      <c r="H920" s="285"/>
      <c r="I920" s="264" t="s">
        <v>2151</v>
      </c>
      <c r="L920" s="255"/>
    </row>
    <row r="921" spans="1:62">
      <c r="A921" s="261"/>
      <c r="B921" s="261"/>
      <c r="C921" s="262"/>
      <c r="D921" s="262" t="s">
        <v>1826</v>
      </c>
      <c r="E921" s="262" t="s">
        <v>607</v>
      </c>
      <c r="F921" s="261">
        <v>1</v>
      </c>
      <c r="G921" s="263"/>
      <c r="H921" s="261"/>
      <c r="I921" s="264" t="s">
        <v>2151</v>
      </c>
      <c r="L921" s="255"/>
    </row>
    <row r="922" spans="1:62">
      <c r="A922" s="261"/>
      <c r="B922" s="261"/>
      <c r="C922" s="262"/>
      <c r="D922" s="262" t="s">
        <v>1801</v>
      </c>
      <c r="E922" s="262" t="s">
        <v>609</v>
      </c>
      <c r="F922" s="261">
        <v>1</v>
      </c>
      <c r="G922" s="263"/>
      <c r="H922" s="261"/>
      <c r="I922" s="264" t="s">
        <v>2151</v>
      </c>
      <c r="L922" s="255"/>
    </row>
    <row r="923" spans="1:62">
      <c r="A923" s="261"/>
      <c r="B923" s="261"/>
      <c r="C923" s="262"/>
      <c r="D923" s="262" t="s">
        <v>1508</v>
      </c>
      <c r="E923" s="262" t="s">
        <v>608</v>
      </c>
      <c r="F923" s="261">
        <v>1</v>
      </c>
      <c r="G923" s="263"/>
      <c r="H923" s="261"/>
      <c r="I923" s="264" t="s">
        <v>2151</v>
      </c>
      <c r="L923" s="255"/>
    </row>
    <row r="924" spans="1:62">
      <c r="A924" s="261"/>
      <c r="B924" s="261"/>
      <c r="C924" s="262"/>
      <c r="D924" s="262" t="s">
        <v>1827</v>
      </c>
      <c r="E924" s="262" t="s">
        <v>1828</v>
      </c>
      <c r="F924" s="261">
        <v>1</v>
      </c>
      <c r="G924" s="263"/>
      <c r="H924" s="261"/>
      <c r="I924" s="264" t="s">
        <v>2151</v>
      </c>
      <c r="L924" s="255"/>
    </row>
    <row r="925" spans="1:62">
      <c r="A925" s="239"/>
      <c r="B925" s="239"/>
      <c r="C925" s="264"/>
      <c r="D925" s="264"/>
      <c r="E925" s="264"/>
      <c r="F925" s="239"/>
      <c r="G925" s="265"/>
      <c r="H925" s="239"/>
      <c r="I925" s="264"/>
      <c r="L925" s="255"/>
    </row>
    <row r="926" spans="1:62">
      <c r="A926" s="239"/>
      <c r="B926" s="239"/>
      <c r="C926" s="264"/>
      <c r="D926" s="264" t="s">
        <v>2190</v>
      </c>
      <c r="E926" s="264" t="s">
        <v>2189</v>
      </c>
      <c r="F926" s="239">
        <v>3</v>
      </c>
      <c r="G926" s="265">
        <v>45859</v>
      </c>
      <c r="H926" s="239"/>
      <c r="I926" s="264" t="s">
        <v>2186</v>
      </c>
      <c r="L926" s="255"/>
    </row>
    <row r="927" spans="1:62">
      <c r="A927" s="239"/>
      <c r="B927" s="239"/>
      <c r="C927" s="264"/>
      <c r="D927" s="264" t="s">
        <v>2190</v>
      </c>
      <c r="E927" s="264" t="s">
        <v>2191</v>
      </c>
      <c r="F927" s="239">
        <v>3</v>
      </c>
      <c r="G927" s="265">
        <v>45859</v>
      </c>
      <c r="H927" s="239"/>
      <c r="I927" s="264" t="s">
        <v>2186</v>
      </c>
      <c r="L927" s="255"/>
    </row>
    <row r="928" spans="1:62">
      <c r="A928" s="239"/>
      <c r="B928" s="239"/>
      <c r="C928" s="264"/>
      <c r="D928" s="264" t="s">
        <v>2190</v>
      </c>
      <c r="E928" s="264" t="s">
        <v>2192</v>
      </c>
      <c r="F928" s="239">
        <v>3</v>
      </c>
      <c r="G928" s="265">
        <v>45859</v>
      </c>
      <c r="H928" s="239"/>
      <c r="I928" s="264" t="s">
        <v>2186</v>
      </c>
      <c r="L928" s="255"/>
    </row>
    <row r="929" spans="1:111">
      <c r="A929" s="239"/>
      <c r="B929" s="239"/>
      <c r="C929" s="264"/>
      <c r="D929" s="264" t="s">
        <v>2190</v>
      </c>
      <c r="E929" s="264" t="s">
        <v>2193</v>
      </c>
      <c r="F929" s="239">
        <v>3</v>
      </c>
      <c r="G929" s="265">
        <v>45859</v>
      </c>
      <c r="H929" s="239"/>
      <c r="I929" s="264" t="s">
        <v>2186</v>
      </c>
      <c r="L929" s="255"/>
    </row>
    <row r="930" spans="1:111">
      <c r="A930" s="239"/>
      <c r="B930" s="239"/>
      <c r="C930" s="264"/>
      <c r="D930" s="264" t="s">
        <v>2190</v>
      </c>
      <c r="E930" s="264" t="s">
        <v>2194</v>
      </c>
      <c r="F930" s="239">
        <v>3</v>
      </c>
      <c r="G930" s="265">
        <v>45859</v>
      </c>
      <c r="H930" s="239"/>
      <c r="I930" s="264" t="s">
        <v>2186</v>
      </c>
      <c r="L930" s="255"/>
    </row>
    <row r="931" spans="1:111">
      <c r="A931" s="239"/>
      <c r="B931" s="239"/>
      <c r="C931" s="264"/>
      <c r="D931" s="264" t="s">
        <v>2190</v>
      </c>
      <c r="E931" s="264" t="s">
        <v>2195</v>
      </c>
      <c r="F931" s="239">
        <v>3</v>
      </c>
      <c r="G931" s="265">
        <v>45859</v>
      </c>
      <c r="H931" s="239"/>
      <c r="I931" s="264" t="s">
        <v>2186</v>
      </c>
      <c r="L931" s="255"/>
    </row>
    <row r="932" spans="1:111">
      <c r="A932" s="239"/>
      <c r="B932" s="239"/>
      <c r="C932" s="264"/>
      <c r="D932" s="264"/>
      <c r="E932" s="264"/>
      <c r="F932" s="239"/>
      <c r="G932" s="265"/>
      <c r="H932" s="239"/>
      <c r="I932" s="264"/>
      <c r="L932" s="255"/>
    </row>
    <row r="933" spans="1:111">
      <c r="A933" s="261"/>
      <c r="B933" s="261"/>
      <c r="C933" s="262"/>
      <c r="D933" s="262" t="s">
        <v>1386</v>
      </c>
      <c r="E933" s="262" t="s">
        <v>1825</v>
      </c>
      <c r="F933" s="261">
        <v>1</v>
      </c>
      <c r="G933" s="263"/>
      <c r="H933" s="261"/>
      <c r="I933" s="264" t="s">
        <v>2151</v>
      </c>
      <c r="L933" s="255"/>
    </row>
    <row r="934" spans="1:111" ht="60">
      <c r="A934" s="280">
        <v>72084</v>
      </c>
      <c r="B934" s="280" t="s">
        <v>171</v>
      </c>
      <c r="C934" s="281" t="s">
        <v>20</v>
      </c>
      <c r="D934" s="281" t="s">
        <v>175</v>
      </c>
      <c r="E934" s="281" t="s">
        <v>174</v>
      </c>
      <c r="F934" s="280">
        <v>4</v>
      </c>
      <c r="G934" s="282">
        <v>45896</v>
      </c>
      <c r="H934" s="280"/>
      <c r="I934" s="264" t="s">
        <v>2343</v>
      </c>
      <c r="L934" s="252"/>
      <c r="V934" s="243" t="s">
        <v>2183</v>
      </c>
      <c r="BE934" s="243" t="s">
        <v>2203</v>
      </c>
      <c r="BF934" s="243" t="s">
        <v>2339</v>
      </c>
      <c r="BG934" s="243" t="s">
        <v>2339</v>
      </c>
      <c r="BH934" s="243" t="s">
        <v>2398</v>
      </c>
      <c r="BI934" s="243" t="s">
        <v>2398</v>
      </c>
      <c r="BJ934" s="243" t="s">
        <v>2389</v>
      </c>
      <c r="BK934" s="243" t="s">
        <v>2494</v>
      </c>
      <c r="BL934" s="243" t="s">
        <v>2494</v>
      </c>
      <c r="BM934" s="243" t="s">
        <v>2225</v>
      </c>
      <c r="BN934" s="243" t="s">
        <v>2225</v>
      </c>
      <c r="BO934" s="243" t="s">
        <v>2426</v>
      </c>
      <c r="BP934" s="243" t="s">
        <v>2426</v>
      </c>
      <c r="BQ934" s="243" t="s">
        <v>2208</v>
      </c>
      <c r="CC934" s="246" t="s">
        <v>3152</v>
      </c>
      <c r="CD934" s="243" t="s">
        <v>2389</v>
      </c>
      <c r="CE934" s="243" t="s">
        <v>2437</v>
      </c>
      <c r="CF934" s="243" t="s">
        <v>2437</v>
      </c>
      <c r="CG934" s="243" t="s">
        <v>2427</v>
      </c>
      <c r="CH934" s="243" t="s">
        <v>2427</v>
      </c>
      <c r="CI934" s="243" t="s">
        <v>2427</v>
      </c>
      <c r="CJ934" s="243" t="s">
        <v>2427</v>
      </c>
      <c r="CK934" s="243" t="s">
        <v>2427</v>
      </c>
      <c r="CL934" s="243" t="s">
        <v>2427</v>
      </c>
      <c r="CM934" s="243" t="s">
        <v>2427</v>
      </c>
      <c r="CN934" s="243" t="s">
        <v>2427</v>
      </c>
      <c r="CX934" s="243" t="s">
        <v>2343</v>
      </c>
      <c r="CY934" s="243" t="s">
        <v>2343</v>
      </c>
      <c r="CZ934" s="243" t="s">
        <v>2343</v>
      </c>
      <c r="DA934" s="243" t="s">
        <v>2225</v>
      </c>
      <c r="DB934" s="243" t="s">
        <v>2225</v>
      </c>
      <c r="DC934" s="243" t="s">
        <v>3090</v>
      </c>
      <c r="DD934" s="243" t="s">
        <v>3090</v>
      </c>
      <c r="DE934" s="243" t="s">
        <v>3090</v>
      </c>
      <c r="DF934" s="243" t="s">
        <v>3090</v>
      </c>
      <c r="DG934" s="243" t="s">
        <v>3090</v>
      </c>
    </row>
    <row r="935" spans="1:111">
      <c r="A935" s="261"/>
      <c r="B935" s="261"/>
      <c r="C935" s="262"/>
      <c r="D935" s="262" t="s">
        <v>2284</v>
      </c>
      <c r="E935" s="262" t="s">
        <v>2283</v>
      </c>
      <c r="F935" s="261">
        <v>10</v>
      </c>
      <c r="G935" s="263"/>
      <c r="H935" s="261"/>
      <c r="I935" s="264" t="s">
        <v>2151</v>
      </c>
      <c r="L935" s="252"/>
    </row>
    <row r="936" spans="1:111">
      <c r="A936" s="261"/>
      <c r="B936" s="261"/>
      <c r="C936" s="262"/>
      <c r="D936" s="262" t="s">
        <v>1832</v>
      </c>
      <c r="E936" s="262" t="s">
        <v>537</v>
      </c>
      <c r="F936" s="261">
        <v>4</v>
      </c>
      <c r="G936" s="263"/>
      <c r="H936" s="261"/>
      <c r="I936" s="264" t="s">
        <v>2151</v>
      </c>
      <c r="L936" s="252"/>
      <c r="M936" s="243" t="s">
        <v>2187</v>
      </c>
    </row>
    <row r="937" spans="1:111">
      <c r="A937" s="239"/>
      <c r="B937" s="239"/>
      <c r="C937" s="264"/>
      <c r="D937" s="284" t="s">
        <v>1829</v>
      </c>
      <c r="E937" s="284" t="s">
        <v>581</v>
      </c>
      <c r="F937" s="285">
        <v>1</v>
      </c>
      <c r="G937" s="286"/>
      <c r="H937" s="285"/>
      <c r="I937" s="264" t="s">
        <v>2151</v>
      </c>
      <c r="J937" s="243" t="s">
        <v>2196</v>
      </c>
      <c r="L937" s="252"/>
    </row>
    <row r="938" spans="1:111">
      <c r="A938" s="261"/>
      <c r="B938" s="261"/>
      <c r="C938" s="262"/>
      <c r="D938" s="262" t="s">
        <v>1834</v>
      </c>
      <c r="E938" s="262" t="s">
        <v>1836</v>
      </c>
      <c r="F938" s="261">
        <v>1</v>
      </c>
      <c r="G938" s="263"/>
      <c r="H938" s="261"/>
      <c r="I938" s="264" t="s">
        <v>2151</v>
      </c>
      <c r="L938" s="252"/>
    </row>
    <row r="939" spans="1:111">
      <c r="A939" s="261"/>
      <c r="B939" s="261"/>
      <c r="C939" s="262"/>
      <c r="D939" s="262" t="s">
        <v>1835</v>
      </c>
      <c r="E939" s="262" t="s">
        <v>1837</v>
      </c>
      <c r="F939" s="261">
        <v>3</v>
      </c>
      <c r="G939" s="263"/>
      <c r="H939" s="261"/>
      <c r="I939" s="264" t="s">
        <v>2151</v>
      </c>
      <c r="L939" s="252"/>
    </row>
    <row r="940" spans="1:111" ht="42">
      <c r="A940" s="239"/>
      <c r="B940" s="239"/>
      <c r="C940" s="264"/>
      <c r="D940" s="298" t="s">
        <v>1829</v>
      </c>
      <c r="E940" s="298" t="s">
        <v>1838</v>
      </c>
      <c r="F940" s="299">
        <v>10</v>
      </c>
      <c r="G940" s="300"/>
      <c r="H940" s="309" t="s">
        <v>2701</v>
      </c>
      <c r="I940" s="283" t="s">
        <v>2331</v>
      </c>
      <c r="L940" s="252"/>
      <c r="U940" s="243" t="s">
        <v>2248</v>
      </c>
      <c r="AP940" s="257" t="s">
        <v>2491</v>
      </c>
      <c r="AQ940" s="257" t="s">
        <v>2491</v>
      </c>
      <c r="AR940" s="257" t="s">
        <v>2491</v>
      </c>
      <c r="AS940" s="257" t="s">
        <v>2491</v>
      </c>
      <c r="AT940" s="257" t="s">
        <v>2491</v>
      </c>
      <c r="AU940" s="257" t="s">
        <v>2491</v>
      </c>
      <c r="AV940" s="257" t="s">
        <v>2491</v>
      </c>
      <c r="AW940" s="257" t="s">
        <v>2491</v>
      </c>
      <c r="AX940" s="257" t="s">
        <v>2491</v>
      </c>
      <c r="AY940" s="257" t="s">
        <v>2491</v>
      </c>
      <c r="AZ940" s="257" t="s">
        <v>2491</v>
      </c>
      <c r="BA940" s="257" t="s">
        <v>2491</v>
      </c>
      <c r="BB940" s="257" t="s">
        <v>2491</v>
      </c>
      <c r="BC940" s="257" t="s">
        <v>2491</v>
      </c>
      <c r="BD940" s="257" t="s">
        <v>2491</v>
      </c>
      <c r="BE940" s="257" t="s">
        <v>2491</v>
      </c>
      <c r="BF940" s="243" t="s">
        <v>2492</v>
      </c>
      <c r="BG940" s="243" t="s">
        <v>2225</v>
      </c>
      <c r="BH940" s="243" t="s">
        <v>2225</v>
      </c>
      <c r="BI940" s="243" t="s">
        <v>2340</v>
      </c>
      <c r="BJ940" s="243" t="s">
        <v>2340</v>
      </c>
      <c r="BK940" s="243" t="s">
        <v>2493</v>
      </c>
      <c r="BL940" s="243" t="s">
        <v>2417</v>
      </c>
      <c r="BM940" s="243" t="s">
        <v>2389</v>
      </c>
      <c r="BN940" s="243" t="s">
        <v>2427</v>
      </c>
      <c r="BO940" s="243" t="s">
        <v>2427</v>
      </c>
    </row>
    <row r="941" spans="1:111">
      <c r="A941" s="239"/>
      <c r="B941" s="239"/>
      <c r="C941" s="264"/>
      <c r="D941" s="298" t="s">
        <v>2249</v>
      </c>
      <c r="E941" s="298" t="s">
        <v>2250</v>
      </c>
      <c r="F941" s="299">
        <v>10</v>
      </c>
      <c r="G941" s="300"/>
      <c r="H941" s="299"/>
      <c r="I941" s="264" t="s">
        <v>2248</v>
      </c>
      <c r="L941" s="252"/>
      <c r="U941" s="243" t="s">
        <v>2248</v>
      </c>
    </row>
    <row r="942" spans="1:111">
      <c r="A942" s="239"/>
      <c r="B942" s="239"/>
      <c r="C942" s="264"/>
      <c r="D942" s="284" t="s">
        <v>1830</v>
      </c>
      <c r="E942" s="284" t="s">
        <v>582</v>
      </c>
      <c r="F942" s="285">
        <v>4</v>
      </c>
      <c r="G942" s="286"/>
      <c r="H942" s="285"/>
      <c r="I942" s="264" t="s">
        <v>2151</v>
      </c>
      <c r="J942" s="243" t="s">
        <v>2196</v>
      </c>
      <c r="L942" s="252"/>
    </row>
    <row r="943" spans="1:111">
      <c r="A943" s="261"/>
      <c r="B943" s="261"/>
      <c r="C943" s="262"/>
      <c r="D943" s="262" t="s">
        <v>1839</v>
      </c>
      <c r="E943" s="262" t="s">
        <v>1844</v>
      </c>
      <c r="F943" s="261">
        <v>1</v>
      </c>
      <c r="G943" s="263"/>
      <c r="H943" s="261"/>
      <c r="I943" s="264" t="s">
        <v>2151</v>
      </c>
      <c r="L943" s="252"/>
    </row>
    <row r="944" spans="1:111">
      <c r="A944" s="261"/>
      <c r="B944" s="261"/>
      <c r="C944" s="262"/>
      <c r="D944" s="262" t="s">
        <v>1330</v>
      </c>
      <c r="E944" s="262" t="s">
        <v>1845</v>
      </c>
      <c r="F944" s="261">
        <v>1</v>
      </c>
      <c r="G944" s="263"/>
      <c r="H944" s="261"/>
      <c r="I944" s="264" t="s">
        <v>2151</v>
      </c>
      <c r="L944" s="252"/>
    </row>
    <row r="945" spans="1:64">
      <c r="A945" s="261"/>
      <c r="B945" s="261"/>
      <c r="C945" s="262"/>
      <c r="D945" s="262" t="s">
        <v>1840</v>
      </c>
      <c r="E945" s="262" t="s">
        <v>1846</v>
      </c>
      <c r="F945" s="261">
        <v>1</v>
      </c>
      <c r="G945" s="263"/>
      <c r="H945" s="261"/>
      <c r="I945" s="264" t="s">
        <v>2151</v>
      </c>
      <c r="L945" s="252"/>
    </row>
    <row r="946" spans="1:64">
      <c r="A946" s="261"/>
      <c r="B946" s="261"/>
      <c r="C946" s="262"/>
      <c r="D946" s="262" t="s">
        <v>1841</v>
      </c>
      <c r="E946" s="262" t="s">
        <v>1847</v>
      </c>
      <c r="F946" s="261">
        <v>1</v>
      </c>
      <c r="G946" s="263"/>
      <c r="H946" s="261"/>
      <c r="I946" s="264" t="s">
        <v>2151</v>
      </c>
      <c r="L946" s="252"/>
    </row>
    <row r="947" spans="1:64">
      <c r="A947" s="261"/>
      <c r="B947" s="261"/>
      <c r="C947" s="262"/>
      <c r="D947" s="262" t="s">
        <v>1842</v>
      </c>
      <c r="E947" s="262" t="s">
        <v>1848</v>
      </c>
      <c r="F947" s="261">
        <v>1</v>
      </c>
      <c r="G947" s="263"/>
      <c r="H947" s="261"/>
      <c r="I947" s="264" t="s">
        <v>2151</v>
      </c>
      <c r="L947" s="252"/>
    </row>
    <row r="948" spans="1:64">
      <c r="A948" s="261"/>
      <c r="B948" s="261"/>
      <c r="C948" s="262"/>
      <c r="D948" s="262" t="s">
        <v>1843</v>
      </c>
      <c r="E948" s="262" t="s">
        <v>538</v>
      </c>
      <c r="F948" s="261">
        <v>1</v>
      </c>
      <c r="G948" s="263"/>
      <c r="H948" s="261"/>
      <c r="I948" s="264" t="s">
        <v>2151</v>
      </c>
      <c r="L948" s="252"/>
    </row>
    <row r="949" spans="1:64">
      <c r="A949" s="239"/>
      <c r="B949" s="239"/>
      <c r="C949" s="264"/>
      <c r="D949" s="284" t="s">
        <v>1831</v>
      </c>
      <c r="E949" s="284" t="s">
        <v>580</v>
      </c>
      <c r="F949" s="285">
        <v>10</v>
      </c>
      <c r="G949" s="286"/>
      <c r="H949" s="285"/>
      <c r="I949" s="264" t="s">
        <v>2151</v>
      </c>
      <c r="J949" s="258"/>
      <c r="K949" s="258"/>
      <c r="L949" s="258"/>
      <c r="M949" s="258"/>
      <c r="N949" s="258"/>
      <c r="O949" s="258"/>
      <c r="P949" s="258"/>
      <c r="Q949" s="258"/>
    </row>
    <row r="950" spans="1:64">
      <c r="A950" s="261"/>
      <c r="B950" s="261"/>
      <c r="C950" s="262"/>
      <c r="D950" s="262" t="s">
        <v>2420</v>
      </c>
      <c r="E950" s="262" t="s">
        <v>2421</v>
      </c>
      <c r="F950" s="261">
        <v>4</v>
      </c>
      <c r="G950" s="263"/>
      <c r="H950" s="261"/>
      <c r="I950" s="264" t="s">
        <v>2151</v>
      </c>
      <c r="L950" s="252"/>
    </row>
    <row r="951" spans="1:64">
      <c r="A951" s="261"/>
      <c r="B951" s="261"/>
      <c r="C951" s="262"/>
      <c r="D951" s="262" t="s">
        <v>2420</v>
      </c>
      <c r="E951" s="262" t="s">
        <v>2422</v>
      </c>
      <c r="F951" s="261">
        <v>4</v>
      </c>
      <c r="G951" s="263"/>
      <c r="H951" s="261"/>
      <c r="I951" s="264" t="s">
        <v>2151</v>
      </c>
      <c r="L951" s="252"/>
    </row>
    <row r="952" spans="1:64">
      <c r="A952" s="280">
        <v>72085</v>
      </c>
      <c r="B952" s="280" t="s">
        <v>176</v>
      </c>
      <c r="C952" s="281" t="s">
        <v>20</v>
      </c>
      <c r="D952" s="281" t="s">
        <v>173</v>
      </c>
      <c r="E952" s="281" t="s">
        <v>172</v>
      </c>
      <c r="F952" s="280">
        <v>3</v>
      </c>
      <c r="G952" s="282">
        <v>45896</v>
      </c>
      <c r="H952" s="280" t="s">
        <v>2569</v>
      </c>
      <c r="I952" s="264" t="s">
        <v>2411</v>
      </c>
      <c r="L952" s="252"/>
    </row>
    <row r="953" spans="1:64">
      <c r="A953" s="239"/>
      <c r="B953" s="239"/>
      <c r="C953" s="264"/>
      <c r="D953" s="264" t="s">
        <v>1577</v>
      </c>
      <c r="E953" s="264" t="s">
        <v>1812</v>
      </c>
      <c r="F953" s="239">
        <v>6</v>
      </c>
      <c r="G953" s="265"/>
      <c r="H953" s="239"/>
      <c r="I953" s="264" t="s">
        <v>2766</v>
      </c>
      <c r="L953" s="252"/>
      <c r="O953" s="243" t="s">
        <v>2340</v>
      </c>
      <c r="AK953" s="243" t="s">
        <v>2244</v>
      </c>
    </row>
    <row r="954" spans="1:64">
      <c r="A954" s="239"/>
      <c r="B954" s="239"/>
      <c r="C954" s="264"/>
      <c r="D954" s="264" t="s">
        <v>1803</v>
      </c>
      <c r="E954" s="264" t="s">
        <v>1813</v>
      </c>
      <c r="F954" s="239">
        <v>24</v>
      </c>
      <c r="G954" s="265"/>
      <c r="H954" s="239"/>
      <c r="I954" s="264" t="s">
        <v>2331</v>
      </c>
      <c r="L954" s="252"/>
      <c r="AQ954" s="243" t="s">
        <v>2331</v>
      </c>
    </row>
    <row r="955" spans="1:64">
      <c r="A955" s="261"/>
      <c r="B955" s="261"/>
      <c r="C955" s="262"/>
      <c r="D955" s="262" t="s">
        <v>1804</v>
      </c>
      <c r="E955" s="262" t="s">
        <v>1814</v>
      </c>
      <c r="F955" s="261">
        <v>5</v>
      </c>
      <c r="G955" s="263"/>
      <c r="H955" s="261"/>
      <c r="I955" s="264" t="s">
        <v>2151</v>
      </c>
      <c r="L955" s="252"/>
    </row>
    <row r="956" spans="1:64">
      <c r="A956" s="239"/>
      <c r="B956" s="239"/>
      <c r="C956" s="264"/>
      <c r="D956" s="264" t="s">
        <v>1805</v>
      </c>
      <c r="E956" s="264" t="s">
        <v>1815</v>
      </c>
      <c r="F956" s="239">
        <v>9</v>
      </c>
      <c r="G956" s="265"/>
      <c r="H956" s="239"/>
      <c r="I956" s="264" t="s">
        <v>2331</v>
      </c>
      <c r="L956" s="252"/>
      <c r="AK956" s="243" t="s">
        <v>2340</v>
      </c>
      <c r="BA956" s="243" t="s">
        <v>2331</v>
      </c>
      <c r="BB956" s="243" t="s">
        <v>2331</v>
      </c>
      <c r="BC956" s="243" t="s">
        <v>2331</v>
      </c>
      <c r="BD956" s="243" t="s">
        <v>2389</v>
      </c>
      <c r="BE956" s="243" t="s">
        <v>2225</v>
      </c>
      <c r="BF956" s="243" t="s">
        <v>2693</v>
      </c>
      <c r="BG956" s="243" t="s">
        <v>2693</v>
      </c>
      <c r="BH956" s="243" t="s">
        <v>2596</v>
      </c>
      <c r="BI956" s="243" t="s">
        <v>2596</v>
      </c>
      <c r="BJ956" s="243" t="s">
        <v>2389</v>
      </c>
      <c r="BK956" s="243" t="s">
        <v>2427</v>
      </c>
      <c r="BL956" s="243" t="s">
        <v>2427</v>
      </c>
    </row>
    <row r="957" spans="1:64">
      <c r="A957" s="261"/>
      <c r="B957" s="261"/>
      <c r="C957" s="262"/>
      <c r="D957" s="262" t="s">
        <v>1806</v>
      </c>
      <c r="E957" s="262" t="s">
        <v>1816</v>
      </c>
      <c r="F957" s="261">
        <v>1</v>
      </c>
      <c r="G957" s="263"/>
      <c r="H957" s="261"/>
      <c r="I957" s="264" t="s">
        <v>2151</v>
      </c>
      <c r="L957" s="252"/>
    </row>
    <row r="958" spans="1:64">
      <c r="A958" s="261"/>
      <c r="B958" s="261"/>
      <c r="C958" s="262"/>
      <c r="D958" s="262" t="s">
        <v>1268</v>
      </c>
      <c r="E958" s="262" t="s">
        <v>1817</v>
      </c>
      <c r="F958" s="261">
        <v>1</v>
      </c>
      <c r="G958" s="263"/>
      <c r="H958" s="261"/>
      <c r="I958" s="264" t="s">
        <v>2151</v>
      </c>
      <c r="L958" s="252"/>
    </row>
    <row r="959" spans="1:64">
      <c r="A959" s="239"/>
      <c r="B959" s="239"/>
      <c r="C959" s="264"/>
      <c r="D959" s="264" t="s">
        <v>1807</v>
      </c>
      <c r="E959" s="264" t="s">
        <v>1818</v>
      </c>
      <c r="F959" s="239">
        <v>1</v>
      </c>
      <c r="G959" s="265"/>
      <c r="H959" s="239"/>
      <c r="I959" s="264" t="s">
        <v>2389</v>
      </c>
      <c r="L959" s="252"/>
      <c r="AE959" s="243" t="s">
        <v>2244</v>
      </c>
      <c r="AV959" s="243" t="s">
        <v>2389</v>
      </c>
      <c r="BI959" s="243" t="s">
        <v>2427</v>
      </c>
      <c r="BJ959" s="243" t="s">
        <v>2427</v>
      </c>
    </row>
    <row r="960" spans="1:64">
      <c r="A960" s="261"/>
      <c r="B960" s="261"/>
      <c r="C960" s="262"/>
      <c r="D960" s="262" t="s">
        <v>1808</v>
      </c>
      <c r="E960" s="262" t="s">
        <v>1819</v>
      </c>
      <c r="F960" s="261">
        <v>1</v>
      </c>
      <c r="G960" s="263"/>
      <c r="H960" s="261"/>
      <c r="I960" s="264" t="s">
        <v>2151</v>
      </c>
      <c r="L960" s="252"/>
    </row>
    <row r="961" spans="1:26">
      <c r="A961" s="261"/>
      <c r="B961" s="261"/>
      <c r="C961" s="262"/>
      <c r="D961" s="262" t="s">
        <v>1270</v>
      </c>
      <c r="E961" s="262" t="s">
        <v>1820</v>
      </c>
      <c r="F961" s="261">
        <v>1</v>
      </c>
      <c r="G961" s="263"/>
      <c r="H961" s="261"/>
      <c r="I961" s="264" t="s">
        <v>2151</v>
      </c>
      <c r="L961" s="252"/>
    </row>
    <row r="962" spans="1:26">
      <c r="A962" s="261"/>
      <c r="B962" s="261"/>
      <c r="C962" s="262"/>
      <c r="D962" s="262" t="s">
        <v>1271</v>
      </c>
      <c r="E962" s="262" t="s">
        <v>1821</v>
      </c>
      <c r="F962" s="261">
        <v>2</v>
      </c>
      <c r="G962" s="263"/>
      <c r="H962" s="261"/>
      <c r="I962" s="264" t="s">
        <v>2151</v>
      </c>
      <c r="L962" s="252"/>
    </row>
    <row r="963" spans="1:26">
      <c r="A963" s="239"/>
      <c r="B963" s="239"/>
      <c r="C963" s="264"/>
      <c r="D963" s="264" t="s">
        <v>1809</v>
      </c>
      <c r="E963" s="264" t="s">
        <v>1822</v>
      </c>
      <c r="F963" s="239">
        <v>1</v>
      </c>
      <c r="G963" s="265"/>
      <c r="H963" s="239"/>
      <c r="I963" s="264" t="s">
        <v>2340</v>
      </c>
      <c r="L963" s="252"/>
      <c r="Z963" s="243" t="s">
        <v>2340</v>
      </c>
    </row>
    <row r="964" spans="1:26">
      <c r="A964" s="261"/>
      <c r="B964" s="261"/>
      <c r="C964" s="262"/>
      <c r="D964" s="262" t="s">
        <v>1810</v>
      </c>
      <c r="E964" s="262" t="s">
        <v>1823</v>
      </c>
      <c r="F964" s="261">
        <v>3</v>
      </c>
      <c r="G964" s="263"/>
      <c r="H964" s="261"/>
      <c r="I964" s="264" t="s">
        <v>2151</v>
      </c>
      <c r="L964" s="252"/>
    </row>
    <row r="965" spans="1:26">
      <c r="A965" s="261"/>
      <c r="B965" s="261"/>
      <c r="C965" s="262"/>
      <c r="D965" s="262" t="s">
        <v>1269</v>
      </c>
      <c r="E965" s="262" t="s">
        <v>1824</v>
      </c>
      <c r="F965" s="261">
        <v>1</v>
      </c>
      <c r="G965" s="263">
        <v>45859</v>
      </c>
      <c r="H965" s="261"/>
      <c r="I965" s="264" t="s">
        <v>2151</v>
      </c>
      <c r="L965" s="252"/>
    </row>
    <row r="966" spans="1:26">
      <c r="A966" s="239"/>
      <c r="B966" s="239"/>
      <c r="C966" s="264"/>
      <c r="D966" s="284" t="s">
        <v>1811</v>
      </c>
      <c r="E966" s="284" t="s">
        <v>606</v>
      </c>
      <c r="F966" s="285">
        <v>1</v>
      </c>
      <c r="G966" s="286"/>
      <c r="H966" s="285"/>
      <c r="I966" s="264" t="s">
        <v>2151</v>
      </c>
      <c r="L966" s="252"/>
    </row>
    <row r="967" spans="1:26">
      <c r="A967" s="261"/>
      <c r="B967" s="261"/>
      <c r="C967" s="262"/>
      <c r="D967" s="262" t="s">
        <v>1826</v>
      </c>
      <c r="E967" s="262" t="s">
        <v>607</v>
      </c>
      <c r="F967" s="261">
        <v>1</v>
      </c>
      <c r="G967" s="263"/>
      <c r="H967" s="261"/>
      <c r="I967" s="264" t="s">
        <v>2151</v>
      </c>
      <c r="L967" s="252"/>
    </row>
    <row r="968" spans="1:26">
      <c r="A968" s="261"/>
      <c r="B968" s="261"/>
      <c r="C968" s="262"/>
      <c r="D968" s="262" t="s">
        <v>1801</v>
      </c>
      <c r="E968" s="262" t="s">
        <v>609</v>
      </c>
      <c r="F968" s="261">
        <v>1</v>
      </c>
      <c r="G968" s="263"/>
      <c r="H968" s="261"/>
      <c r="I968" s="264" t="s">
        <v>2151</v>
      </c>
      <c r="L968" s="252"/>
    </row>
    <row r="969" spans="1:26">
      <c r="A969" s="261"/>
      <c r="B969" s="261"/>
      <c r="C969" s="262"/>
      <c r="D969" s="262" t="s">
        <v>1508</v>
      </c>
      <c r="E969" s="262" t="s">
        <v>608</v>
      </c>
      <c r="F969" s="261">
        <v>1</v>
      </c>
      <c r="G969" s="263"/>
      <c r="H969" s="261"/>
      <c r="I969" s="264" t="s">
        <v>2151</v>
      </c>
      <c r="L969" s="252"/>
    </row>
    <row r="970" spans="1:26">
      <c r="A970" s="261"/>
      <c r="B970" s="261"/>
      <c r="C970" s="262"/>
      <c r="D970" s="262" t="s">
        <v>1827</v>
      </c>
      <c r="E970" s="262" t="s">
        <v>1828</v>
      </c>
      <c r="F970" s="261">
        <v>1</v>
      </c>
      <c r="G970" s="263"/>
      <c r="H970" s="261"/>
      <c r="I970" s="264" t="s">
        <v>2151</v>
      </c>
      <c r="L970" s="252"/>
    </row>
    <row r="971" spans="1:26">
      <c r="A971" s="239"/>
      <c r="B971" s="239"/>
      <c r="C971" s="264"/>
      <c r="D971" s="264"/>
      <c r="E971" s="264"/>
      <c r="F971" s="239"/>
      <c r="G971" s="265"/>
      <c r="H971" s="239"/>
      <c r="I971" s="264"/>
      <c r="L971" s="252"/>
    </row>
    <row r="972" spans="1:26">
      <c r="A972" s="239"/>
      <c r="B972" s="239"/>
      <c r="C972" s="264"/>
      <c r="D972" s="264" t="s">
        <v>2190</v>
      </c>
      <c r="E972" s="264" t="s">
        <v>2189</v>
      </c>
      <c r="F972" s="239">
        <v>3</v>
      </c>
      <c r="G972" s="265">
        <v>45859</v>
      </c>
      <c r="H972" s="239" t="s">
        <v>2401</v>
      </c>
      <c r="I972" s="264" t="s">
        <v>2186</v>
      </c>
      <c r="L972" s="252"/>
    </row>
    <row r="973" spans="1:26">
      <c r="A973" s="239"/>
      <c r="B973" s="239"/>
      <c r="C973" s="264"/>
      <c r="D973" s="264" t="s">
        <v>2190</v>
      </c>
      <c r="E973" s="264" t="s">
        <v>2191</v>
      </c>
      <c r="F973" s="239">
        <v>3</v>
      </c>
      <c r="G973" s="265">
        <v>45859</v>
      </c>
      <c r="H973" s="239" t="s">
        <v>2401</v>
      </c>
      <c r="I973" s="264" t="s">
        <v>2186</v>
      </c>
      <c r="L973" s="252"/>
    </row>
    <row r="974" spans="1:26">
      <c r="A974" s="239"/>
      <c r="B974" s="239"/>
      <c r="C974" s="264"/>
      <c r="D974" s="264" t="s">
        <v>2190</v>
      </c>
      <c r="E974" s="264" t="s">
        <v>2192</v>
      </c>
      <c r="F974" s="239">
        <v>3</v>
      </c>
      <c r="G974" s="265">
        <v>45859</v>
      </c>
      <c r="H974" s="239" t="s">
        <v>2401</v>
      </c>
      <c r="I974" s="264" t="s">
        <v>2186</v>
      </c>
      <c r="L974" s="252"/>
    </row>
    <row r="975" spans="1:26">
      <c r="A975" s="239"/>
      <c r="B975" s="239"/>
      <c r="C975" s="264"/>
      <c r="D975" s="264" t="s">
        <v>2190</v>
      </c>
      <c r="E975" s="264" t="s">
        <v>2193</v>
      </c>
      <c r="F975" s="239">
        <v>3</v>
      </c>
      <c r="G975" s="265">
        <v>45859</v>
      </c>
      <c r="H975" s="239" t="s">
        <v>2401</v>
      </c>
      <c r="I975" s="264" t="s">
        <v>2186</v>
      </c>
      <c r="L975" s="252"/>
    </row>
    <row r="976" spans="1:26">
      <c r="A976" s="239"/>
      <c r="B976" s="239"/>
      <c r="C976" s="264"/>
      <c r="D976" s="264" t="s">
        <v>2190</v>
      </c>
      <c r="E976" s="264" t="s">
        <v>2194</v>
      </c>
      <c r="F976" s="239">
        <v>3</v>
      </c>
      <c r="G976" s="265">
        <v>45859</v>
      </c>
      <c r="H976" s="239" t="s">
        <v>2401</v>
      </c>
      <c r="I976" s="264" t="s">
        <v>2186</v>
      </c>
      <c r="L976" s="252"/>
    </row>
    <row r="977" spans="1:69">
      <c r="A977" s="239"/>
      <c r="B977" s="239"/>
      <c r="C977" s="264"/>
      <c r="D977" s="264" t="s">
        <v>2190</v>
      </c>
      <c r="E977" s="264" t="s">
        <v>2195</v>
      </c>
      <c r="F977" s="239">
        <v>3</v>
      </c>
      <c r="G977" s="265">
        <v>45859</v>
      </c>
      <c r="H977" s="239" t="s">
        <v>2401</v>
      </c>
      <c r="I977" s="264" t="s">
        <v>2186</v>
      </c>
      <c r="L977" s="252"/>
    </row>
    <row r="978" spans="1:69">
      <c r="A978" s="239"/>
      <c r="B978" s="239"/>
      <c r="C978" s="264"/>
      <c r="D978" s="264"/>
      <c r="E978" s="264"/>
      <c r="F978" s="239"/>
      <c r="G978" s="265"/>
      <c r="H978" s="239"/>
      <c r="I978" s="264"/>
      <c r="L978" s="252"/>
    </row>
    <row r="979" spans="1:69">
      <c r="A979" s="261"/>
      <c r="B979" s="261"/>
      <c r="C979" s="262"/>
      <c r="D979" s="262" t="s">
        <v>1386</v>
      </c>
      <c r="E979" s="262" t="s">
        <v>1825</v>
      </c>
      <c r="F979" s="261">
        <v>1</v>
      </c>
      <c r="G979" s="263"/>
      <c r="H979" s="261"/>
      <c r="I979" s="264" t="s">
        <v>2151</v>
      </c>
      <c r="L979" s="252"/>
    </row>
    <row r="980" spans="1:69">
      <c r="A980" s="280">
        <v>72086</v>
      </c>
      <c r="B980" s="280" t="s">
        <v>176</v>
      </c>
      <c r="C980" s="281" t="s">
        <v>20</v>
      </c>
      <c r="D980" s="281" t="s">
        <v>175</v>
      </c>
      <c r="E980" s="281" t="s">
        <v>174</v>
      </c>
      <c r="F980" s="280">
        <v>6</v>
      </c>
      <c r="G980" s="282">
        <v>45896</v>
      </c>
      <c r="H980" s="280"/>
      <c r="I980" s="264" t="s">
        <v>2183</v>
      </c>
      <c r="L980" s="252"/>
      <c r="V980" s="243" t="s">
        <v>2183</v>
      </c>
      <c r="BE980" s="243" t="s">
        <v>2203</v>
      </c>
      <c r="BF980" s="243" t="s">
        <v>2339</v>
      </c>
      <c r="BG980" s="243" t="s">
        <v>2339</v>
      </c>
      <c r="BH980" s="243" t="s">
        <v>2398</v>
      </c>
      <c r="BI980" s="243" t="s">
        <v>2398</v>
      </c>
      <c r="BJ980" s="243" t="s">
        <v>2389</v>
      </c>
      <c r="BK980" s="243" t="s">
        <v>2494</v>
      </c>
      <c r="BL980" s="243" t="s">
        <v>2494</v>
      </c>
      <c r="BM980" s="243" t="s">
        <v>2225</v>
      </c>
      <c r="BN980" s="243" t="s">
        <v>2225</v>
      </c>
      <c r="BO980" s="243" t="s">
        <v>2426</v>
      </c>
      <c r="BP980" s="243" t="s">
        <v>2426</v>
      </c>
      <c r="BQ980" s="243" t="s">
        <v>2208</v>
      </c>
    </row>
    <row r="981" spans="1:69">
      <c r="A981" s="239"/>
      <c r="B981" s="239"/>
      <c r="C981" s="264"/>
      <c r="D981" s="284" t="s">
        <v>1829</v>
      </c>
      <c r="E981" s="284" t="s">
        <v>581</v>
      </c>
      <c r="F981" s="285">
        <v>1</v>
      </c>
      <c r="G981" s="286"/>
      <c r="H981" s="285"/>
      <c r="I981" s="264" t="s">
        <v>2151</v>
      </c>
      <c r="J981" s="243" t="s">
        <v>2196</v>
      </c>
      <c r="L981" s="252"/>
    </row>
    <row r="982" spans="1:69">
      <c r="A982" s="261"/>
      <c r="B982" s="261"/>
      <c r="C982" s="262"/>
      <c r="D982" s="262" t="s">
        <v>1834</v>
      </c>
      <c r="E982" s="262" t="s">
        <v>1836</v>
      </c>
      <c r="F982" s="261">
        <v>3</v>
      </c>
      <c r="G982" s="263"/>
      <c r="H982" s="261"/>
      <c r="I982" s="264" t="s">
        <v>2151</v>
      </c>
      <c r="L982" s="252"/>
    </row>
    <row r="983" spans="1:69">
      <c r="A983" s="261"/>
      <c r="B983" s="261"/>
      <c r="C983" s="262"/>
      <c r="D983" s="262" t="s">
        <v>1835</v>
      </c>
      <c r="E983" s="262" t="s">
        <v>1837</v>
      </c>
      <c r="F983" s="261">
        <v>1</v>
      </c>
      <c r="G983" s="263"/>
      <c r="H983" s="261"/>
      <c r="I983" s="264" t="s">
        <v>2151</v>
      </c>
      <c r="L983" s="252"/>
    </row>
    <row r="984" spans="1:69" ht="42">
      <c r="A984" s="239"/>
      <c r="B984" s="239"/>
      <c r="C984" s="264"/>
      <c r="D984" s="298" t="s">
        <v>1829</v>
      </c>
      <c r="E984" s="298" t="s">
        <v>1838</v>
      </c>
      <c r="F984" s="299"/>
      <c r="G984" s="300"/>
      <c r="H984" s="309" t="s">
        <v>2701</v>
      </c>
      <c r="I984" s="283" t="s">
        <v>2225</v>
      </c>
      <c r="L984" s="252"/>
      <c r="AP984" s="257" t="s">
        <v>2491</v>
      </c>
      <c r="AQ984" s="257" t="s">
        <v>2491</v>
      </c>
      <c r="AR984" s="257" t="s">
        <v>2491</v>
      </c>
      <c r="AS984" s="257" t="s">
        <v>2491</v>
      </c>
      <c r="AT984" s="257" t="s">
        <v>2491</v>
      </c>
      <c r="AU984" s="257" t="s">
        <v>2491</v>
      </c>
      <c r="AV984" s="257" t="s">
        <v>2491</v>
      </c>
      <c r="AW984" s="257" t="s">
        <v>2491</v>
      </c>
      <c r="AX984" s="257" t="s">
        <v>2491</v>
      </c>
      <c r="AY984" s="257" t="s">
        <v>2491</v>
      </c>
      <c r="AZ984" s="257" t="s">
        <v>2491</v>
      </c>
      <c r="BA984" s="257" t="s">
        <v>2491</v>
      </c>
      <c r="BB984" s="257" t="s">
        <v>2491</v>
      </c>
      <c r="BC984" s="257" t="s">
        <v>2491</v>
      </c>
      <c r="BD984" s="257" t="s">
        <v>2491</v>
      </c>
      <c r="BE984" s="257" t="s">
        <v>2491</v>
      </c>
      <c r="BF984" s="243" t="s">
        <v>2492</v>
      </c>
      <c r="BG984" s="243" t="s">
        <v>2225</v>
      </c>
      <c r="BH984" s="243" t="s">
        <v>2225</v>
      </c>
      <c r="BI984" s="243" t="s">
        <v>2340</v>
      </c>
      <c r="BJ984" s="243" t="s">
        <v>2340</v>
      </c>
      <c r="BK984" s="243" t="s">
        <v>2493</v>
      </c>
      <c r="BL984" s="243" t="s">
        <v>2417</v>
      </c>
      <c r="BM984" s="243" t="s">
        <v>2389</v>
      </c>
      <c r="BN984" s="243" t="s">
        <v>2427</v>
      </c>
      <c r="BO984" s="243" t="s">
        <v>2427</v>
      </c>
    </row>
    <row r="985" spans="1:69">
      <c r="A985" s="239"/>
      <c r="B985" s="239"/>
      <c r="C985" s="264"/>
      <c r="D985" s="284" t="s">
        <v>1830</v>
      </c>
      <c r="E985" s="284" t="s">
        <v>582</v>
      </c>
      <c r="F985" s="285">
        <v>6</v>
      </c>
      <c r="G985" s="286"/>
      <c r="H985" s="285"/>
      <c r="I985" s="264" t="s">
        <v>2151</v>
      </c>
      <c r="J985" s="243" t="s">
        <v>2196</v>
      </c>
      <c r="L985" s="252"/>
    </row>
    <row r="986" spans="1:69">
      <c r="A986" s="261"/>
      <c r="B986" s="261"/>
      <c r="C986" s="262"/>
      <c r="D986" s="262" t="s">
        <v>1839</v>
      </c>
      <c r="E986" s="262" t="s">
        <v>1844</v>
      </c>
      <c r="F986" s="261">
        <v>1</v>
      </c>
      <c r="G986" s="263"/>
      <c r="H986" s="261"/>
      <c r="I986" s="264" t="s">
        <v>2151</v>
      </c>
      <c r="L986" s="252"/>
    </row>
    <row r="987" spans="1:69">
      <c r="A987" s="261"/>
      <c r="B987" s="261"/>
      <c r="C987" s="262"/>
      <c r="D987" s="262" t="s">
        <v>1330</v>
      </c>
      <c r="E987" s="262" t="s">
        <v>1845</v>
      </c>
      <c r="F987" s="261">
        <v>1</v>
      </c>
      <c r="G987" s="263"/>
      <c r="H987" s="261"/>
      <c r="I987" s="264" t="s">
        <v>2151</v>
      </c>
      <c r="L987" s="252"/>
    </row>
    <row r="988" spans="1:69">
      <c r="A988" s="261"/>
      <c r="B988" s="261"/>
      <c r="C988" s="262"/>
      <c r="D988" s="262" t="s">
        <v>1840</v>
      </c>
      <c r="E988" s="262" t="s">
        <v>1846</v>
      </c>
      <c r="F988" s="261">
        <v>1</v>
      </c>
      <c r="G988" s="263"/>
      <c r="H988" s="261"/>
      <c r="I988" s="264" t="s">
        <v>2151</v>
      </c>
      <c r="L988" s="252"/>
    </row>
    <row r="989" spans="1:69">
      <c r="A989" s="261"/>
      <c r="B989" s="261"/>
      <c r="C989" s="262"/>
      <c r="D989" s="262" t="s">
        <v>1841</v>
      </c>
      <c r="E989" s="262" t="s">
        <v>1847</v>
      </c>
      <c r="F989" s="261">
        <v>1</v>
      </c>
      <c r="G989" s="263"/>
      <c r="H989" s="261"/>
      <c r="I989" s="264" t="s">
        <v>2151</v>
      </c>
      <c r="L989" s="252"/>
    </row>
    <row r="990" spans="1:69">
      <c r="A990" s="261"/>
      <c r="B990" s="261"/>
      <c r="C990" s="262"/>
      <c r="D990" s="262" t="s">
        <v>1842</v>
      </c>
      <c r="E990" s="262" t="s">
        <v>1848</v>
      </c>
      <c r="F990" s="261">
        <v>1</v>
      </c>
      <c r="G990" s="263"/>
      <c r="H990" s="261"/>
      <c r="I990" s="264" t="s">
        <v>2151</v>
      </c>
      <c r="L990" s="252"/>
    </row>
    <row r="991" spans="1:69">
      <c r="A991" s="261"/>
      <c r="B991" s="261"/>
      <c r="C991" s="262"/>
      <c r="D991" s="262" t="s">
        <v>1843</v>
      </c>
      <c r="E991" s="262" t="s">
        <v>538</v>
      </c>
      <c r="F991" s="261">
        <v>1</v>
      </c>
      <c r="G991" s="263"/>
      <c r="H991" s="261"/>
      <c r="I991" s="264" t="s">
        <v>2151</v>
      </c>
      <c r="L991" s="252"/>
    </row>
    <row r="992" spans="1:69">
      <c r="A992" s="239"/>
      <c r="B992" s="239"/>
      <c r="C992" s="264"/>
      <c r="D992" s="264"/>
      <c r="E992" s="264"/>
      <c r="F992" s="239"/>
      <c r="G992" s="265"/>
      <c r="H992" s="239"/>
      <c r="I992" s="264"/>
      <c r="L992" s="252"/>
    </row>
    <row r="993" spans="1:21">
      <c r="A993" s="261"/>
      <c r="B993" s="261"/>
      <c r="C993" s="262"/>
      <c r="D993" s="262" t="s">
        <v>2284</v>
      </c>
      <c r="E993" s="262" t="s">
        <v>2283</v>
      </c>
      <c r="F993" s="261">
        <v>10</v>
      </c>
      <c r="G993" s="263"/>
      <c r="H993" s="261"/>
      <c r="I993" s="264" t="s">
        <v>2151</v>
      </c>
      <c r="L993" s="252"/>
    </row>
    <row r="994" spans="1:21">
      <c r="A994" s="239"/>
      <c r="B994" s="239"/>
      <c r="C994" s="264"/>
      <c r="D994" s="284" t="s">
        <v>1831</v>
      </c>
      <c r="E994" s="284" t="s">
        <v>580</v>
      </c>
      <c r="F994" s="285"/>
      <c r="G994" s="286"/>
      <c r="H994" s="285"/>
      <c r="I994" s="264"/>
      <c r="L994" s="252"/>
    </row>
    <row r="995" spans="1:21">
      <c r="A995" s="261"/>
      <c r="B995" s="261"/>
      <c r="C995" s="262"/>
      <c r="D995" s="262" t="s">
        <v>2420</v>
      </c>
      <c r="E995" s="262" t="s">
        <v>2421</v>
      </c>
      <c r="F995" s="261">
        <v>6</v>
      </c>
      <c r="G995" s="263"/>
      <c r="H995" s="261"/>
      <c r="I995" s="264" t="s">
        <v>2151</v>
      </c>
      <c r="L995" s="252"/>
    </row>
    <row r="996" spans="1:21">
      <c r="A996" s="261"/>
      <c r="B996" s="261"/>
      <c r="C996" s="262"/>
      <c r="D996" s="262" t="s">
        <v>2420</v>
      </c>
      <c r="E996" s="262" t="s">
        <v>2422</v>
      </c>
      <c r="F996" s="261">
        <v>6</v>
      </c>
      <c r="G996" s="263"/>
      <c r="H996" s="261"/>
      <c r="I996" s="264" t="s">
        <v>2151</v>
      </c>
      <c r="L996" s="252"/>
    </row>
    <row r="997" spans="1:21">
      <c r="A997" s="239"/>
      <c r="B997" s="239"/>
      <c r="C997" s="264"/>
      <c r="D997" s="264"/>
      <c r="E997" s="264"/>
      <c r="F997" s="239"/>
      <c r="G997" s="265"/>
      <c r="H997" s="239"/>
      <c r="I997" s="264"/>
      <c r="L997" s="252"/>
    </row>
    <row r="998" spans="1:21">
      <c r="A998" s="261"/>
      <c r="B998" s="261"/>
      <c r="C998" s="262"/>
      <c r="D998" s="262" t="s">
        <v>1832</v>
      </c>
      <c r="E998" s="262" t="s">
        <v>537</v>
      </c>
      <c r="F998" s="261">
        <v>6</v>
      </c>
      <c r="G998" s="263"/>
      <c r="H998" s="261"/>
      <c r="I998" s="264" t="s">
        <v>2151</v>
      </c>
      <c r="L998" s="252"/>
      <c r="M998" s="243" t="s">
        <v>2187</v>
      </c>
    </row>
    <row r="999" spans="1:21">
      <c r="A999" s="261"/>
      <c r="B999" s="261"/>
      <c r="C999" s="262"/>
      <c r="D999" s="262" t="s">
        <v>2423</v>
      </c>
      <c r="E999" s="262" t="s">
        <v>1833</v>
      </c>
      <c r="F999" s="261">
        <v>6</v>
      </c>
      <c r="G999" s="263"/>
      <c r="H999" s="261"/>
      <c r="I999" s="264" t="s">
        <v>2151</v>
      </c>
      <c r="L999" s="252"/>
      <c r="U999" s="243" t="s">
        <v>2338</v>
      </c>
    </row>
    <row r="1000" spans="1:21">
      <c r="A1000" s="239"/>
      <c r="B1000" s="294"/>
      <c r="C1000" s="264"/>
      <c r="D1000" s="264"/>
      <c r="E1000" s="264"/>
      <c r="F1000" s="239"/>
      <c r="G1000" s="265"/>
      <c r="H1000" s="239"/>
      <c r="I1000" s="264"/>
      <c r="L1000" s="252"/>
    </row>
    <row r="1001" spans="1:21">
      <c r="A1001" s="261">
        <v>72098</v>
      </c>
      <c r="B1001" s="261">
        <v>19509</v>
      </c>
      <c r="C1001" s="262" t="s">
        <v>179</v>
      </c>
      <c r="D1001" s="262" t="s">
        <v>178</v>
      </c>
      <c r="E1001" s="262" t="s">
        <v>177</v>
      </c>
      <c r="F1001" s="261">
        <v>1</v>
      </c>
      <c r="G1001" s="263">
        <v>45740</v>
      </c>
      <c r="H1001" s="261"/>
      <c r="I1001" s="264" t="s">
        <v>2151</v>
      </c>
      <c r="L1001" s="252"/>
    </row>
    <row r="1002" spans="1:21">
      <c r="A1002" s="239"/>
      <c r="B1002" s="294"/>
      <c r="C1002" s="264"/>
      <c r="D1002" s="264"/>
      <c r="E1002" s="264"/>
      <c r="F1002" s="239"/>
      <c r="G1002" s="265"/>
      <c r="H1002" s="239"/>
      <c r="I1002" s="264"/>
      <c r="L1002" s="252"/>
    </row>
    <row r="1003" spans="1:21">
      <c r="A1003" s="239">
        <v>72113</v>
      </c>
      <c r="B1003" s="239" t="s">
        <v>180</v>
      </c>
      <c r="C1003" s="264" t="s">
        <v>183</v>
      </c>
      <c r="D1003" s="264" t="s">
        <v>182</v>
      </c>
      <c r="E1003" s="264" t="s">
        <v>181</v>
      </c>
      <c r="F1003" s="239">
        <v>1</v>
      </c>
      <c r="G1003" s="265">
        <v>45713</v>
      </c>
      <c r="H1003" s="239" t="s">
        <v>2624</v>
      </c>
      <c r="I1003" s="264"/>
      <c r="L1003" s="252"/>
    </row>
    <row r="1004" spans="1:21">
      <c r="A1004" s="239"/>
      <c r="B1004" s="294"/>
      <c r="C1004" s="264"/>
      <c r="D1004" s="264"/>
      <c r="E1004" s="264"/>
      <c r="F1004" s="239"/>
      <c r="G1004" s="265"/>
      <c r="H1004" s="239"/>
      <c r="I1004" s="264"/>
      <c r="L1004" s="252"/>
    </row>
    <row r="1005" spans="1:21">
      <c r="A1005" s="239">
        <v>72129</v>
      </c>
      <c r="B1005" s="239" t="s">
        <v>184</v>
      </c>
      <c r="C1005" s="264" t="s">
        <v>45</v>
      </c>
      <c r="D1005" s="264" t="s">
        <v>186</v>
      </c>
      <c r="E1005" s="264" t="s">
        <v>185</v>
      </c>
      <c r="F1005" s="239" t="s">
        <v>187</v>
      </c>
      <c r="G1005" s="265">
        <v>45730</v>
      </c>
      <c r="H1005" s="239" t="s">
        <v>2624</v>
      </c>
      <c r="I1005" s="264"/>
      <c r="L1005" s="252"/>
    </row>
    <row r="1006" spans="1:21">
      <c r="A1006" s="239"/>
      <c r="B1006" s="294"/>
      <c r="C1006" s="264"/>
      <c r="D1006" s="264"/>
      <c r="E1006" s="264"/>
      <c r="F1006" s="239"/>
      <c r="G1006" s="265"/>
      <c r="H1006" s="239"/>
      <c r="I1006" s="264"/>
      <c r="L1006" s="252"/>
    </row>
    <row r="1007" spans="1:21">
      <c r="A1007" s="280">
        <v>72139</v>
      </c>
      <c r="B1007" s="280" t="s">
        <v>188</v>
      </c>
      <c r="C1007" s="281" t="s">
        <v>20</v>
      </c>
      <c r="D1007" s="281" t="s">
        <v>190</v>
      </c>
      <c r="E1007" s="281" t="s">
        <v>189</v>
      </c>
      <c r="F1007" s="280">
        <v>1</v>
      </c>
      <c r="G1007" s="282">
        <v>45985</v>
      </c>
      <c r="H1007" s="280"/>
      <c r="I1007" s="264"/>
      <c r="L1007" s="252"/>
    </row>
    <row r="1008" spans="1:21">
      <c r="A1008" s="239"/>
      <c r="B1008" s="239"/>
      <c r="C1008" s="264"/>
      <c r="D1008" s="284" t="s">
        <v>1849</v>
      </c>
      <c r="E1008" s="284" t="s">
        <v>1857</v>
      </c>
      <c r="F1008" s="285">
        <v>1</v>
      </c>
      <c r="G1008" s="286"/>
      <c r="H1008" s="285"/>
      <c r="I1008" s="264"/>
      <c r="L1008" s="252"/>
    </row>
    <row r="1009" spans="1:29">
      <c r="A1009" s="239"/>
      <c r="B1009" s="239"/>
      <c r="C1009" s="264"/>
      <c r="D1009" s="264" t="s">
        <v>1850</v>
      </c>
      <c r="E1009" s="264" t="s">
        <v>1858</v>
      </c>
      <c r="F1009" s="239">
        <v>1</v>
      </c>
      <c r="G1009" s="265"/>
      <c r="H1009" s="239"/>
      <c r="I1009" s="264"/>
      <c r="L1009" s="252"/>
    </row>
    <row r="1010" spans="1:29">
      <c r="A1010" s="239"/>
      <c r="B1010" s="239"/>
      <c r="C1010" s="264"/>
      <c r="D1010" s="264" t="s">
        <v>1851</v>
      </c>
      <c r="E1010" s="264" t="s">
        <v>1859</v>
      </c>
      <c r="F1010" s="239">
        <v>1</v>
      </c>
      <c r="G1010" s="265"/>
      <c r="H1010" s="239"/>
      <c r="I1010" s="264"/>
      <c r="L1010" s="252"/>
    </row>
    <row r="1011" spans="1:29">
      <c r="A1011" s="239"/>
      <c r="B1011" s="239"/>
      <c r="C1011" s="264"/>
      <c r="D1011" s="264" t="s">
        <v>1852</v>
      </c>
      <c r="E1011" s="264" t="s">
        <v>1860</v>
      </c>
      <c r="F1011" s="239">
        <v>21</v>
      </c>
      <c r="G1011" s="265"/>
      <c r="H1011" s="239"/>
      <c r="I1011" s="264"/>
      <c r="L1011" s="252"/>
    </row>
    <row r="1012" spans="1:29">
      <c r="A1012" s="239"/>
      <c r="B1012" s="239"/>
      <c r="C1012" s="264"/>
      <c r="D1012" s="264" t="s">
        <v>1853</v>
      </c>
      <c r="E1012" s="264" t="s">
        <v>1861</v>
      </c>
      <c r="F1012" s="239">
        <v>4</v>
      </c>
      <c r="G1012" s="265"/>
      <c r="H1012" s="239"/>
      <c r="I1012" s="264"/>
      <c r="L1012" s="252"/>
    </row>
    <row r="1013" spans="1:29">
      <c r="A1013" s="239"/>
      <c r="B1013" s="239"/>
      <c r="C1013" s="264"/>
      <c r="D1013" s="264" t="s">
        <v>1854</v>
      </c>
      <c r="E1013" s="264" t="s">
        <v>1862</v>
      </c>
      <c r="F1013" s="239">
        <v>63</v>
      </c>
      <c r="G1013" s="265"/>
      <c r="H1013" s="239"/>
      <c r="I1013" s="264"/>
      <c r="L1013" s="252"/>
    </row>
    <row r="1014" spans="1:29">
      <c r="A1014" s="239"/>
      <c r="B1014" s="239"/>
      <c r="C1014" s="264"/>
      <c r="D1014" s="264" t="s">
        <v>1855</v>
      </c>
      <c r="E1014" s="264" t="s">
        <v>1863</v>
      </c>
      <c r="F1014" s="239">
        <v>49</v>
      </c>
      <c r="G1014" s="265"/>
      <c r="H1014" s="239"/>
      <c r="I1014" s="264"/>
      <c r="L1014" s="252"/>
    </row>
    <row r="1015" spans="1:29">
      <c r="A1015" s="239"/>
      <c r="B1015" s="239"/>
      <c r="C1015" s="264"/>
      <c r="D1015" s="264" t="s">
        <v>1856</v>
      </c>
      <c r="E1015" s="264" t="s">
        <v>1864</v>
      </c>
      <c r="F1015" s="239">
        <v>11</v>
      </c>
      <c r="G1015" s="265"/>
      <c r="H1015" s="239"/>
      <c r="I1015" s="264"/>
      <c r="L1015" s="252"/>
    </row>
    <row r="1016" spans="1:29">
      <c r="A1016" s="239"/>
      <c r="B1016" s="239"/>
      <c r="C1016" s="264"/>
      <c r="D1016" s="264"/>
      <c r="E1016" s="264"/>
      <c r="F1016" s="239"/>
      <c r="G1016" s="265"/>
      <c r="H1016" s="239"/>
      <c r="I1016" s="264"/>
      <c r="L1016" s="252"/>
    </row>
    <row r="1017" spans="1:29">
      <c r="A1017" s="239">
        <v>72139</v>
      </c>
      <c r="B1017" s="239" t="s">
        <v>188</v>
      </c>
      <c r="C1017" s="264" t="s">
        <v>20</v>
      </c>
      <c r="D1017" s="264" t="s">
        <v>2364</v>
      </c>
      <c r="E1017" s="264"/>
      <c r="F1017" s="239">
        <v>1</v>
      </c>
      <c r="G1017" s="265"/>
      <c r="H1017" s="239"/>
      <c r="I1017" s="264" t="s">
        <v>2365</v>
      </c>
      <c r="L1017" s="252"/>
      <c r="AC1017" s="243" t="s">
        <v>2365</v>
      </c>
    </row>
    <row r="1018" spans="1:29">
      <c r="A1018" s="280">
        <v>72140</v>
      </c>
      <c r="B1018" s="280" t="s">
        <v>188</v>
      </c>
      <c r="C1018" s="281" t="s">
        <v>20</v>
      </c>
      <c r="D1018" s="281" t="s">
        <v>192</v>
      </c>
      <c r="E1018" s="281" t="s">
        <v>191</v>
      </c>
      <c r="F1018" s="280">
        <v>1</v>
      </c>
      <c r="G1018" s="282">
        <v>45985</v>
      </c>
      <c r="H1018" s="280"/>
      <c r="I1018" s="264"/>
      <c r="L1018" s="252"/>
    </row>
    <row r="1019" spans="1:29">
      <c r="A1019" s="239"/>
      <c r="B1019" s="239"/>
      <c r="C1019" s="264"/>
      <c r="D1019" s="284" t="s">
        <v>1849</v>
      </c>
      <c r="E1019" s="284" t="s">
        <v>1857</v>
      </c>
      <c r="F1019" s="285">
        <v>1</v>
      </c>
      <c r="G1019" s="286"/>
      <c r="H1019" s="285"/>
      <c r="I1019" s="264"/>
      <c r="L1019" s="252"/>
    </row>
    <row r="1020" spans="1:29">
      <c r="A1020" s="239"/>
      <c r="B1020" s="239"/>
      <c r="C1020" s="264"/>
      <c r="D1020" s="264" t="s">
        <v>1850</v>
      </c>
      <c r="E1020" s="264" t="s">
        <v>1858</v>
      </c>
      <c r="F1020" s="239">
        <v>1</v>
      </c>
      <c r="G1020" s="265"/>
      <c r="H1020" s="239"/>
      <c r="I1020" s="264"/>
      <c r="L1020" s="252"/>
    </row>
    <row r="1021" spans="1:29">
      <c r="A1021" s="239"/>
      <c r="B1021" s="239"/>
      <c r="C1021" s="264"/>
      <c r="D1021" s="264" t="s">
        <v>1851</v>
      </c>
      <c r="E1021" s="264" t="s">
        <v>1859</v>
      </c>
      <c r="F1021" s="239">
        <v>1</v>
      </c>
      <c r="G1021" s="265"/>
      <c r="H1021" s="239"/>
      <c r="I1021" s="264"/>
      <c r="L1021" s="252"/>
    </row>
    <row r="1022" spans="1:29">
      <c r="A1022" s="239"/>
      <c r="B1022" s="239"/>
      <c r="C1022" s="264"/>
      <c r="D1022" s="264" t="s">
        <v>1852</v>
      </c>
      <c r="E1022" s="264" t="s">
        <v>1860</v>
      </c>
      <c r="F1022" s="239">
        <v>21</v>
      </c>
      <c r="G1022" s="265"/>
      <c r="H1022" s="239"/>
      <c r="I1022" s="264"/>
      <c r="L1022" s="252"/>
    </row>
    <row r="1023" spans="1:29">
      <c r="A1023" s="239"/>
      <c r="B1023" s="239"/>
      <c r="C1023" s="264"/>
      <c r="D1023" s="264" t="s">
        <v>1853</v>
      </c>
      <c r="E1023" s="264" t="s">
        <v>1861</v>
      </c>
      <c r="F1023" s="239">
        <v>4</v>
      </c>
      <c r="G1023" s="265"/>
      <c r="H1023" s="239"/>
      <c r="I1023" s="264"/>
      <c r="L1023" s="252"/>
    </row>
    <row r="1024" spans="1:29">
      <c r="A1024" s="239"/>
      <c r="B1024" s="239"/>
      <c r="C1024" s="264"/>
      <c r="D1024" s="264" t="s">
        <v>1854</v>
      </c>
      <c r="E1024" s="264" t="s">
        <v>1862</v>
      </c>
      <c r="F1024" s="239">
        <v>63</v>
      </c>
      <c r="G1024" s="265"/>
      <c r="H1024" s="239"/>
      <c r="I1024" s="264"/>
      <c r="L1024" s="252"/>
    </row>
    <row r="1025" spans="1:12">
      <c r="A1025" s="239"/>
      <c r="B1025" s="239"/>
      <c r="C1025" s="264"/>
      <c r="D1025" s="264" t="s">
        <v>1855</v>
      </c>
      <c r="E1025" s="264" t="s">
        <v>1863</v>
      </c>
      <c r="F1025" s="239">
        <v>49</v>
      </c>
      <c r="G1025" s="265"/>
      <c r="H1025" s="239"/>
      <c r="I1025" s="264"/>
      <c r="L1025" s="252"/>
    </row>
    <row r="1026" spans="1:12">
      <c r="A1026" s="239"/>
      <c r="B1026" s="239"/>
      <c r="C1026" s="264"/>
      <c r="D1026" s="264" t="s">
        <v>1856</v>
      </c>
      <c r="E1026" s="264" t="s">
        <v>1864</v>
      </c>
      <c r="F1026" s="239">
        <v>11</v>
      </c>
      <c r="G1026" s="265"/>
      <c r="H1026" s="239"/>
      <c r="I1026" s="264"/>
      <c r="L1026" s="252"/>
    </row>
    <row r="1027" spans="1:12">
      <c r="A1027" s="280">
        <v>72141</v>
      </c>
      <c r="B1027" s="280" t="s">
        <v>188</v>
      </c>
      <c r="C1027" s="281" t="s">
        <v>20</v>
      </c>
      <c r="D1027" s="281" t="s">
        <v>194</v>
      </c>
      <c r="E1027" s="281" t="s">
        <v>193</v>
      </c>
      <c r="F1027" s="280">
        <v>1</v>
      </c>
      <c r="G1027" s="282">
        <v>45985</v>
      </c>
      <c r="H1027" s="280"/>
      <c r="I1027" s="264"/>
      <c r="L1027" s="252"/>
    </row>
    <row r="1028" spans="1:12">
      <c r="A1028" s="239"/>
      <c r="B1028" s="239"/>
      <c r="C1028" s="264"/>
      <c r="D1028" s="284" t="s">
        <v>1867</v>
      </c>
      <c r="E1028" s="284" t="s">
        <v>1868</v>
      </c>
      <c r="F1028" s="285">
        <v>1</v>
      </c>
      <c r="G1028" s="286"/>
      <c r="H1028" s="285"/>
      <c r="I1028" s="264" t="s">
        <v>2389</v>
      </c>
      <c r="J1028" s="243" t="s">
        <v>2389</v>
      </c>
      <c r="L1028" s="252"/>
    </row>
    <row r="1029" spans="1:12">
      <c r="A1029" s="239"/>
      <c r="B1029" s="239"/>
      <c r="C1029" s="264"/>
      <c r="D1029" s="264" t="s">
        <v>1869</v>
      </c>
      <c r="E1029" s="264" t="s">
        <v>1870</v>
      </c>
      <c r="F1029" s="239">
        <v>1</v>
      </c>
      <c r="G1029" s="265"/>
      <c r="H1029" s="239"/>
      <c r="I1029" s="264" t="s">
        <v>2181</v>
      </c>
      <c r="L1029" s="252"/>
    </row>
    <row r="1030" spans="1:12">
      <c r="A1030" s="239"/>
      <c r="B1030" s="239"/>
      <c r="C1030" s="264"/>
      <c r="D1030" s="264" t="s">
        <v>1871</v>
      </c>
      <c r="E1030" s="264" t="s">
        <v>1872</v>
      </c>
      <c r="F1030" s="239">
        <v>1</v>
      </c>
      <c r="G1030" s="265"/>
      <c r="H1030" s="239"/>
      <c r="I1030" s="264" t="s">
        <v>2360</v>
      </c>
      <c r="J1030" s="243" t="s">
        <v>2360</v>
      </c>
      <c r="L1030" s="252"/>
    </row>
    <row r="1031" spans="1:12">
      <c r="A1031" s="239"/>
      <c r="B1031" s="239"/>
      <c r="C1031" s="264"/>
      <c r="D1031" s="264" t="s">
        <v>1852</v>
      </c>
      <c r="E1031" s="264" t="s">
        <v>1860</v>
      </c>
      <c r="F1031" s="239">
        <v>21</v>
      </c>
      <c r="G1031" s="265"/>
      <c r="H1031" s="239"/>
      <c r="I1031" s="264"/>
      <c r="L1031" s="252"/>
    </row>
    <row r="1032" spans="1:12">
      <c r="A1032" s="239"/>
      <c r="B1032" s="239"/>
      <c r="C1032" s="264"/>
      <c r="D1032" s="264" t="s">
        <v>1853</v>
      </c>
      <c r="E1032" s="264" t="s">
        <v>1861</v>
      </c>
      <c r="F1032" s="239">
        <v>4</v>
      </c>
      <c r="G1032" s="265"/>
      <c r="H1032" s="239"/>
      <c r="I1032" s="264"/>
      <c r="L1032" s="252"/>
    </row>
    <row r="1033" spans="1:12">
      <c r="A1033" s="239"/>
      <c r="B1033" s="239"/>
      <c r="C1033" s="264"/>
      <c r="D1033" s="264" t="s">
        <v>1854</v>
      </c>
      <c r="E1033" s="264" t="s">
        <v>1862</v>
      </c>
      <c r="F1033" s="239">
        <v>67</v>
      </c>
      <c r="G1033" s="265"/>
      <c r="H1033" s="239"/>
      <c r="I1033" s="264"/>
      <c r="L1033" s="252"/>
    </row>
    <row r="1034" spans="1:12">
      <c r="A1034" s="239"/>
      <c r="B1034" s="239"/>
      <c r="C1034" s="264"/>
      <c r="D1034" s="264" t="s">
        <v>1873</v>
      </c>
      <c r="E1034" s="264" t="s">
        <v>1863</v>
      </c>
      <c r="F1034" s="239">
        <v>46</v>
      </c>
      <c r="G1034" s="265"/>
      <c r="H1034" s="239"/>
      <c r="I1034" s="264"/>
      <c r="L1034" s="252"/>
    </row>
    <row r="1035" spans="1:12">
      <c r="A1035" s="239"/>
      <c r="B1035" s="239"/>
      <c r="C1035" s="264"/>
      <c r="D1035" s="264" t="s">
        <v>1874</v>
      </c>
      <c r="E1035" s="264" t="s">
        <v>1864</v>
      </c>
      <c r="F1035" s="239">
        <v>10</v>
      </c>
      <c r="G1035" s="265"/>
      <c r="H1035" s="239"/>
      <c r="I1035" s="264"/>
      <c r="L1035" s="252"/>
    </row>
    <row r="1036" spans="1:12">
      <c r="A1036" s="280">
        <v>72142</v>
      </c>
      <c r="B1036" s="280" t="s">
        <v>188</v>
      </c>
      <c r="C1036" s="281" t="s">
        <v>20</v>
      </c>
      <c r="D1036" s="281" t="s">
        <v>196</v>
      </c>
      <c r="E1036" s="281" t="s">
        <v>195</v>
      </c>
      <c r="F1036" s="280">
        <v>1</v>
      </c>
      <c r="G1036" s="282">
        <v>45985</v>
      </c>
      <c r="H1036" s="280"/>
      <c r="I1036" s="264"/>
      <c r="L1036" s="251"/>
    </row>
    <row r="1037" spans="1:12">
      <c r="A1037" s="239"/>
      <c r="B1037" s="239"/>
      <c r="C1037" s="264"/>
      <c r="D1037" s="284" t="s">
        <v>1867</v>
      </c>
      <c r="E1037" s="284" t="s">
        <v>1868</v>
      </c>
      <c r="F1037" s="285">
        <v>1</v>
      </c>
      <c r="G1037" s="286"/>
      <c r="H1037" s="285"/>
      <c r="I1037" s="264" t="s">
        <v>2389</v>
      </c>
      <c r="J1037" s="243" t="s">
        <v>2389</v>
      </c>
      <c r="L1037" s="251"/>
    </row>
    <row r="1038" spans="1:12">
      <c r="A1038" s="239"/>
      <c r="B1038" s="239"/>
      <c r="C1038" s="264"/>
      <c r="D1038" s="264" t="s">
        <v>1869</v>
      </c>
      <c r="E1038" s="264" t="s">
        <v>1875</v>
      </c>
      <c r="F1038" s="239">
        <v>1</v>
      </c>
      <c r="G1038" s="265"/>
      <c r="H1038" s="239"/>
      <c r="I1038" s="264"/>
      <c r="L1038" s="251"/>
    </row>
    <row r="1039" spans="1:12">
      <c r="A1039" s="239"/>
      <c r="B1039" s="239"/>
      <c r="C1039" s="264"/>
      <c r="D1039" s="264" t="s">
        <v>1871</v>
      </c>
      <c r="E1039" s="264" t="s">
        <v>1872</v>
      </c>
      <c r="F1039" s="239">
        <v>1</v>
      </c>
      <c r="G1039" s="265"/>
      <c r="H1039" s="239"/>
      <c r="I1039" s="264"/>
      <c r="L1039" s="251"/>
    </row>
    <row r="1040" spans="1:12">
      <c r="A1040" s="239"/>
      <c r="B1040" s="239"/>
      <c r="C1040" s="264"/>
      <c r="D1040" s="264" t="s">
        <v>1852</v>
      </c>
      <c r="E1040" s="264" t="s">
        <v>1860</v>
      </c>
      <c r="F1040" s="239">
        <v>21</v>
      </c>
      <c r="G1040" s="265"/>
      <c r="H1040" s="239"/>
      <c r="I1040" s="264"/>
      <c r="L1040" s="251"/>
    </row>
    <row r="1041" spans="1:12">
      <c r="A1041" s="239"/>
      <c r="B1041" s="239"/>
      <c r="C1041" s="264"/>
      <c r="D1041" s="264" t="s">
        <v>1853</v>
      </c>
      <c r="E1041" s="264" t="s">
        <v>1861</v>
      </c>
      <c r="F1041" s="239">
        <v>4</v>
      </c>
      <c r="G1041" s="265"/>
      <c r="H1041" s="239"/>
      <c r="I1041" s="264"/>
      <c r="L1041" s="251"/>
    </row>
    <row r="1042" spans="1:12">
      <c r="A1042" s="239"/>
      <c r="B1042" s="239"/>
      <c r="C1042" s="264"/>
      <c r="D1042" s="264" t="s">
        <v>1854</v>
      </c>
      <c r="E1042" s="264" t="s">
        <v>1862</v>
      </c>
      <c r="F1042" s="239">
        <v>67</v>
      </c>
      <c r="G1042" s="265"/>
      <c r="H1042" s="239"/>
      <c r="I1042" s="264"/>
      <c r="L1042" s="251"/>
    </row>
    <row r="1043" spans="1:12">
      <c r="A1043" s="239"/>
      <c r="B1043" s="239"/>
      <c r="C1043" s="264"/>
      <c r="D1043" s="264" t="s">
        <v>1855</v>
      </c>
      <c r="E1043" s="264" t="s">
        <v>1863</v>
      </c>
      <c r="F1043" s="239">
        <v>46</v>
      </c>
      <c r="G1043" s="265"/>
      <c r="H1043" s="239"/>
      <c r="I1043" s="264"/>
      <c r="L1043" s="251"/>
    </row>
    <row r="1044" spans="1:12">
      <c r="A1044" s="239"/>
      <c r="B1044" s="239"/>
      <c r="C1044" s="264"/>
      <c r="D1044" s="264" t="s">
        <v>1856</v>
      </c>
      <c r="E1044" s="264" t="s">
        <v>1864</v>
      </c>
      <c r="F1044" s="239">
        <v>10</v>
      </c>
      <c r="G1044" s="265"/>
      <c r="H1044" s="239"/>
      <c r="I1044" s="264"/>
      <c r="L1044" s="251"/>
    </row>
    <row r="1045" spans="1:12">
      <c r="A1045" s="239"/>
      <c r="B1045" s="239"/>
      <c r="C1045" s="264"/>
      <c r="D1045" s="264"/>
      <c r="E1045" s="264"/>
      <c r="F1045" s="239"/>
      <c r="G1045" s="265"/>
      <c r="H1045" s="239"/>
      <c r="I1045" s="264"/>
      <c r="L1045" s="251"/>
    </row>
    <row r="1046" spans="1:12">
      <c r="A1046" s="280">
        <v>72143</v>
      </c>
      <c r="B1046" s="280" t="s">
        <v>188</v>
      </c>
      <c r="C1046" s="281" t="s">
        <v>20</v>
      </c>
      <c r="D1046" s="281" t="s">
        <v>198</v>
      </c>
      <c r="E1046" s="281" t="s">
        <v>197</v>
      </c>
      <c r="F1046" s="280">
        <v>1</v>
      </c>
      <c r="G1046" s="282">
        <v>45985</v>
      </c>
      <c r="H1046" s="280"/>
      <c r="I1046" s="264"/>
      <c r="L1046" s="251"/>
    </row>
    <row r="1047" spans="1:12">
      <c r="A1047" s="239"/>
      <c r="B1047" s="239"/>
      <c r="C1047" s="264"/>
      <c r="D1047" s="284" t="s">
        <v>1876</v>
      </c>
      <c r="E1047" s="284" t="s">
        <v>1878</v>
      </c>
      <c r="F1047" s="285">
        <v>1</v>
      </c>
      <c r="G1047" s="286"/>
      <c r="H1047" s="285"/>
      <c r="I1047" s="264" t="s">
        <v>2360</v>
      </c>
      <c r="J1047" s="243" t="s">
        <v>2360</v>
      </c>
      <c r="L1047" s="251"/>
    </row>
    <row r="1048" spans="1:12">
      <c r="A1048" s="239"/>
      <c r="B1048" s="239"/>
      <c r="C1048" s="264"/>
      <c r="D1048" s="264" t="s">
        <v>1877</v>
      </c>
      <c r="E1048" s="264" t="s">
        <v>1879</v>
      </c>
      <c r="F1048" s="239">
        <v>1</v>
      </c>
      <c r="G1048" s="265"/>
      <c r="H1048" s="239"/>
      <c r="I1048" s="264" t="s">
        <v>2360</v>
      </c>
      <c r="J1048" s="243" t="s">
        <v>2360</v>
      </c>
      <c r="L1048" s="251"/>
    </row>
    <row r="1049" spans="1:12">
      <c r="A1049" s="239"/>
      <c r="B1049" s="239"/>
      <c r="C1049" s="264"/>
      <c r="D1049" s="264" t="s">
        <v>1852</v>
      </c>
      <c r="E1049" s="264" t="s">
        <v>1860</v>
      </c>
      <c r="F1049" s="239">
        <v>5</v>
      </c>
      <c r="G1049" s="265"/>
      <c r="H1049" s="239"/>
      <c r="I1049" s="264"/>
      <c r="L1049" s="251"/>
    </row>
    <row r="1050" spans="1:12">
      <c r="A1050" s="239"/>
      <c r="B1050" s="239"/>
      <c r="C1050" s="264"/>
      <c r="D1050" s="264" t="s">
        <v>1853</v>
      </c>
      <c r="E1050" s="264" t="s">
        <v>1861</v>
      </c>
      <c r="F1050" s="239">
        <v>5</v>
      </c>
      <c r="G1050" s="265"/>
      <c r="H1050" s="239"/>
      <c r="I1050" s="264"/>
      <c r="L1050" s="251"/>
    </row>
    <row r="1051" spans="1:12">
      <c r="A1051" s="239"/>
      <c r="B1051" s="239"/>
      <c r="C1051" s="264"/>
      <c r="D1051" s="264" t="s">
        <v>1854</v>
      </c>
      <c r="E1051" s="264" t="s">
        <v>1862</v>
      </c>
      <c r="F1051" s="239">
        <v>15</v>
      </c>
      <c r="G1051" s="265"/>
      <c r="H1051" s="239"/>
      <c r="I1051" s="264"/>
      <c r="L1051" s="251"/>
    </row>
    <row r="1052" spans="1:12">
      <c r="A1052" s="239"/>
      <c r="B1052" s="239"/>
      <c r="C1052" s="264"/>
      <c r="D1052" s="264" t="s">
        <v>1855</v>
      </c>
      <c r="E1052" s="264" t="s">
        <v>1863</v>
      </c>
      <c r="F1052" s="239">
        <v>12</v>
      </c>
      <c r="G1052" s="265"/>
      <c r="H1052" s="239"/>
      <c r="I1052" s="264"/>
      <c r="L1052" s="251"/>
    </row>
    <row r="1053" spans="1:12">
      <c r="A1053" s="239"/>
      <c r="B1053" s="239"/>
      <c r="C1053" s="264"/>
      <c r="D1053" s="264" t="s">
        <v>1856</v>
      </c>
      <c r="E1053" s="264" t="s">
        <v>1864</v>
      </c>
      <c r="F1053" s="239">
        <v>5</v>
      </c>
      <c r="G1053" s="265"/>
      <c r="H1053" s="239"/>
      <c r="I1053" s="264"/>
      <c r="L1053" s="251"/>
    </row>
    <row r="1054" spans="1:12">
      <c r="A1054" s="280">
        <v>72144</v>
      </c>
      <c r="B1054" s="280" t="s">
        <v>188</v>
      </c>
      <c r="C1054" s="281" t="s">
        <v>20</v>
      </c>
      <c r="D1054" s="281" t="s">
        <v>200</v>
      </c>
      <c r="E1054" s="281" t="s">
        <v>199</v>
      </c>
      <c r="F1054" s="280">
        <v>1</v>
      </c>
      <c r="G1054" s="282">
        <v>45985</v>
      </c>
      <c r="H1054" s="280"/>
      <c r="I1054" s="264"/>
      <c r="L1054" s="251"/>
    </row>
    <row r="1055" spans="1:12">
      <c r="A1055" s="239"/>
      <c r="B1055" s="239"/>
      <c r="C1055" s="264"/>
      <c r="D1055" s="284" t="s">
        <v>1880</v>
      </c>
      <c r="E1055" s="284" t="s">
        <v>1882</v>
      </c>
      <c r="F1055" s="285">
        <v>1</v>
      </c>
      <c r="G1055" s="286"/>
      <c r="H1055" s="285"/>
      <c r="I1055" s="264"/>
      <c r="L1055" s="251"/>
    </row>
    <row r="1056" spans="1:12">
      <c r="A1056" s="239"/>
      <c r="B1056" s="239"/>
      <c r="C1056" s="264"/>
      <c r="D1056" s="264" t="s">
        <v>1881</v>
      </c>
      <c r="E1056" s="264" t="s">
        <v>1883</v>
      </c>
      <c r="F1056" s="239">
        <v>1</v>
      </c>
      <c r="G1056" s="265"/>
      <c r="H1056" s="239"/>
      <c r="I1056" s="264"/>
      <c r="L1056" s="251"/>
    </row>
    <row r="1057" spans="1:12">
      <c r="A1057" s="239"/>
      <c r="B1057" s="239"/>
      <c r="C1057" s="264"/>
      <c r="D1057" s="264" t="s">
        <v>1852</v>
      </c>
      <c r="E1057" s="264" t="s">
        <v>1860</v>
      </c>
      <c r="F1057" s="239">
        <v>5</v>
      </c>
      <c r="G1057" s="265"/>
      <c r="H1057" s="239"/>
      <c r="I1057" s="264"/>
      <c r="L1057" s="251"/>
    </row>
    <row r="1058" spans="1:12">
      <c r="A1058" s="239"/>
      <c r="B1058" s="239"/>
      <c r="C1058" s="264"/>
      <c r="D1058" s="264" t="s">
        <v>1853</v>
      </c>
      <c r="E1058" s="264" t="s">
        <v>1861</v>
      </c>
      <c r="F1058" s="239">
        <v>5</v>
      </c>
      <c r="G1058" s="265"/>
      <c r="H1058" s="239"/>
      <c r="I1058" s="264"/>
      <c r="L1058" s="251"/>
    </row>
    <row r="1059" spans="1:12">
      <c r="A1059" s="239"/>
      <c r="B1059" s="239"/>
      <c r="C1059" s="264"/>
      <c r="D1059" s="264" t="s">
        <v>1854</v>
      </c>
      <c r="E1059" s="264" t="s">
        <v>1862</v>
      </c>
      <c r="F1059" s="239">
        <v>15</v>
      </c>
      <c r="G1059" s="265"/>
      <c r="H1059" s="239"/>
      <c r="I1059" s="264"/>
      <c r="L1059" s="251"/>
    </row>
    <row r="1060" spans="1:12">
      <c r="A1060" s="239"/>
      <c r="B1060" s="239"/>
      <c r="C1060" s="264"/>
      <c r="D1060" s="264" t="s">
        <v>1855</v>
      </c>
      <c r="E1060" s="264" t="s">
        <v>1863</v>
      </c>
      <c r="F1060" s="239">
        <v>12</v>
      </c>
      <c r="G1060" s="265"/>
      <c r="H1060" s="239"/>
      <c r="I1060" s="264"/>
      <c r="L1060" s="251"/>
    </row>
    <row r="1061" spans="1:12">
      <c r="A1061" s="239"/>
      <c r="B1061" s="239"/>
      <c r="C1061" s="264"/>
      <c r="D1061" s="264" t="s">
        <v>1856</v>
      </c>
      <c r="E1061" s="264" t="s">
        <v>1864</v>
      </c>
      <c r="F1061" s="239">
        <v>5</v>
      </c>
      <c r="G1061" s="265"/>
      <c r="H1061" s="239"/>
      <c r="I1061" s="264"/>
      <c r="L1061" s="251"/>
    </row>
    <row r="1062" spans="1:12">
      <c r="A1062" s="280">
        <v>72145</v>
      </c>
      <c r="B1062" s="280" t="s">
        <v>188</v>
      </c>
      <c r="C1062" s="281" t="s">
        <v>20</v>
      </c>
      <c r="D1062" s="281" t="s">
        <v>202</v>
      </c>
      <c r="E1062" s="281" t="s">
        <v>201</v>
      </c>
      <c r="F1062" s="280">
        <v>1</v>
      </c>
      <c r="G1062" s="282">
        <v>45985</v>
      </c>
      <c r="H1062" s="280"/>
      <c r="I1062" s="264"/>
      <c r="L1062" s="251"/>
    </row>
    <row r="1063" spans="1:12">
      <c r="A1063" s="239"/>
      <c r="B1063" s="239"/>
      <c r="C1063" s="264"/>
      <c r="D1063" s="284" t="s">
        <v>1884</v>
      </c>
      <c r="E1063" s="284" t="s">
        <v>1886</v>
      </c>
      <c r="F1063" s="285">
        <v>1</v>
      </c>
      <c r="G1063" s="286"/>
      <c r="H1063" s="285"/>
      <c r="I1063" s="264"/>
      <c r="L1063" s="251"/>
    </row>
    <row r="1064" spans="1:12">
      <c r="A1064" s="239"/>
      <c r="B1064" s="239"/>
      <c r="C1064" s="264"/>
      <c r="D1064" s="264" t="s">
        <v>1885</v>
      </c>
      <c r="E1064" s="264" t="s">
        <v>1887</v>
      </c>
      <c r="F1064" s="239">
        <v>1</v>
      </c>
      <c r="G1064" s="265"/>
      <c r="H1064" s="239"/>
      <c r="I1064" s="264" t="s">
        <v>2360</v>
      </c>
      <c r="J1064" s="243" t="s">
        <v>2360</v>
      </c>
      <c r="L1064" s="251"/>
    </row>
    <row r="1065" spans="1:12">
      <c r="A1065" s="239"/>
      <c r="B1065" s="239"/>
      <c r="C1065" s="264"/>
      <c r="D1065" s="264" t="s">
        <v>1852</v>
      </c>
      <c r="E1065" s="264" t="s">
        <v>1860</v>
      </c>
      <c r="F1065" s="239">
        <v>7</v>
      </c>
      <c r="G1065" s="265"/>
      <c r="H1065" s="239"/>
      <c r="I1065" s="264"/>
      <c r="L1065" s="251"/>
    </row>
    <row r="1066" spans="1:12">
      <c r="A1066" s="239"/>
      <c r="B1066" s="239"/>
      <c r="C1066" s="264"/>
      <c r="D1066" s="264" t="s">
        <v>1853</v>
      </c>
      <c r="E1066" s="264" t="s">
        <v>1861</v>
      </c>
      <c r="F1066" s="239">
        <v>5</v>
      </c>
      <c r="G1066" s="265"/>
      <c r="H1066" s="239"/>
      <c r="I1066" s="264"/>
      <c r="L1066" s="251"/>
    </row>
    <row r="1067" spans="1:12">
      <c r="A1067" s="239"/>
      <c r="B1067" s="239"/>
      <c r="C1067" s="264"/>
      <c r="D1067" s="264" t="s">
        <v>1854</v>
      </c>
      <c r="E1067" s="264" t="s">
        <v>1862</v>
      </c>
      <c r="F1067" s="239">
        <v>13</v>
      </c>
      <c r="G1067" s="265"/>
      <c r="H1067" s="239"/>
      <c r="I1067" s="264"/>
      <c r="L1067" s="251"/>
    </row>
    <row r="1068" spans="1:12">
      <c r="A1068" s="239"/>
      <c r="B1068" s="239"/>
      <c r="C1068" s="264"/>
      <c r="D1068" s="264" t="s">
        <v>1855</v>
      </c>
      <c r="E1068" s="264" t="s">
        <v>1863</v>
      </c>
      <c r="F1068" s="239">
        <v>10</v>
      </c>
      <c r="G1068" s="265"/>
      <c r="H1068" s="239"/>
      <c r="I1068" s="264"/>
      <c r="L1068" s="251"/>
    </row>
    <row r="1069" spans="1:12">
      <c r="A1069" s="239"/>
      <c r="B1069" s="239"/>
      <c r="C1069" s="264"/>
      <c r="D1069" s="264" t="s">
        <v>1856</v>
      </c>
      <c r="E1069" s="264" t="s">
        <v>1864</v>
      </c>
      <c r="F1069" s="239">
        <v>7</v>
      </c>
      <c r="G1069" s="265"/>
      <c r="H1069" s="239"/>
      <c r="I1069" s="264"/>
      <c r="L1069" s="251"/>
    </row>
    <row r="1070" spans="1:12">
      <c r="A1070" s="280">
        <v>72146</v>
      </c>
      <c r="B1070" s="280" t="s">
        <v>188</v>
      </c>
      <c r="C1070" s="281" t="s">
        <v>20</v>
      </c>
      <c r="D1070" s="281" t="s">
        <v>204</v>
      </c>
      <c r="E1070" s="281" t="s">
        <v>203</v>
      </c>
      <c r="F1070" s="280">
        <v>1</v>
      </c>
      <c r="G1070" s="282">
        <v>45985</v>
      </c>
      <c r="H1070" s="280"/>
      <c r="I1070" s="264"/>
      <c r="L1070" s="252"/>
    </row>
    <row r="1071" spans="1:12">
      <c r="A1071" s="239"/>
      <c r="B1071" s="239"/>
      <c r="C1071" s="264"/>
      <c r="D1071" s="284" t="s">
        <v>1888</v>
      </c>
      <c r="E1071" s="284" t="s">
        <v>1890</v>
      </c>
      <c r="F1071" s="285">
        <v>1</v>
      </c>
      <c r="G1071" s="286"/>
      <c r="H1071" s="285"/>
      <c r="I1071" s="264"/>
      <c r="L1071" s="252"/>
    </row>
    <row r="1072" spans="1:12">
      <c r="A1072" s="239"/>
      <c r="B1072" s="239"/>
      <c r="C1072" s="264"/>
      <c r="D1072" s="264" t="s">
        <v>1889</v>
      </c>
      <c r="E1072" s="264" t="s">
        <v>1891</v>
      </c>
      <c r="F1072" s="239">
        <v>1</v>
      </c>
      <c r="G1072" s="265"/>
      <c r="H1072" s="239"/>
      <c r="I1072" s="264" t="s">
        <v>2360</v>
      </c>
      <c r="J1072" s="243" t="s">
        <v>2360</v>
      </c>
      <c r="L1072" s="252"/>
    </row>
    <row r="1073" spans="1:14">
      <c r="A1073" s="239"/>
      <c r="B1073" s="239"/>
      <c r="C1073" s="264"/>
      <c r="D1073" s="264" t="s">
        <v>1852</v>
      </c>
      <c r="E1073" s="264" t="s">
        <v>1860</v>
      </c>
      <c r="F1073" s="239">
        <v>7</v>
      </c>
      <c r="G1073" s="265"/>
      <c r="H1073" s="239"/>
      <c r="I1073" s="264"/>
      <c r="L1073" s="252"/>
    </row>
    <row r="1074" spans="1:14">
      <c r="A1074" s="239"/>
      <c r="B1074" s="239"/>
      <c r="C1074" s="264"/>
      <c r="D1074" s="264" t="s">
        <v>1853</v>
      </c>
      <c r="E1074" s="264" t="s">
        <v>1861</v>
      </c>
      <c r="F1074" s="239">
        <v>5</v>
      </c>
      <c r="G1074" s="265"/>
      <c r="H1074" s="239"/>
      <c r="I1074" s="264"/>
      <c r="L1074" s="252"/>
    </row>
    <row r="1075" spans="1:14">
      <c r="A1075" s="239"/>
      <c r="B1075" s="239"/>
      <c r="C1075" s="264"/>
      <c r="D1075" s="264" t="s">
        <v>1854</v>
      </c>
      <c r="E1075" s="264" t="s">
        <v>1862</v>
      </c>
      <c r="F1075" s="239">
        <v>13</v>
      </c>
      <c r="G1075" s="265"/>
      <c r="H1075" s="239"/>
      <c r="I1075" s="264"/>
      <c r="L1075" s="252"/>
    </row>
    <row r="1076" spans="1:14">
      <c r="A1076" s="239"/>
      <c r="B1076" s="239"/>
      <c r="C1076" s="264"/>
      <c r="D1076" s="264" t="s">
        <v>1855</v>
      </c>
      <c r="E1076" s="264" t="s">
        <v>1863</v>
      </c>
      <c r="F1076" s="239">
        <v>10</v>
      </c>
      <c r="G1076" s="265"/>
      <c r="H1076" s="239"/>
      <c r="I1076" s="264"/>
      <c r="L1076" s="252"/>
    </row>
    <row r="1077" spans="1:14">
      <c r="A1077" s="239"/>
      <c r="B1077" s="239"/>
      <c r="C1077" s="264"/>
      <c r="D1077" s="264" t="s">
        <v>1856</v>
      </c>
      <c r="E1077" s="264" t="s">
        <v>1864</v>
      </c>
      <c r="F1077" s="239">
        <v>7</v>
      </c>
      <c r="G1077" s="265"/>
      <c r="H1077" s="239"/>
      <c r="I1077" s="264"/>
      <c r="L1077" s="252"/>
    </row>
    <row r="1078" spans="1:14">
      <c r="A1078" s="280">
        <v>72147</v>
      </c>
      <c r="B1078" s="280" t="s">
        <v>188</v>
      </c>
      <c r="C1078" s="281" t="s">
        <v>20</v>
      </c>
      <c r="D1078" s="281" t="s">
        <v>206</v>
      </c>
      <c r="E1078" s="281" t="s">
        <v>205</v>
      </c>
      <c r="F1078" s="280">
        <v>2</v>
      </c>
      <c r="G1078" s="282">
        <v>45947</v>
      </c>
      <c r="H1078" s="280"/>
      <c r="I1078" s="264"/>
      <c r="L1078" s="252"/>
    </row>
    <row r="1079" spans="1:14">
      <c r="A1079" s="239"/>
      <c r="B1079" s="239"/>
      <c r="C1079" s="264"/>
      <c r="D1079" s="284" t="s">
        <v>1892</v>
      </c>
      <c r="E1079" s="284" t="s">
        <v>1904</v>
      </c>
      <c r="F1079" s="285">
        <v>1</v>
      </c>
      <c r="G1079" s="286"/>
      <c r="H1079" s="285"/>
      <c r="I1079" s="264"/>
      <c r="L1079" s="252"/>
    </row>
    <row r="1080" spans="1:14">
      <c r="A1080" s="239"/>
      <c r="B1080" s="239"/>
      <c r="C1080" s="264"/>
      <c r="D1080" s="298" t="s">
        <v>1911</v>
      </c>
      <c r="E1080" s="298" t="s">
        <v>1916</v>
      </c>
      <c r="F1080" s="299">
        <v>1</v>
      </c>
      <c r="G1080" s="300"/>
      <c r="H1080" s="299"/>
      <c r="I1080" s="264"/>
      <c r="L1080" s="252"/>
    </row>
    <row r="1081" spans="1:14">
      <c r="A1081" s="239"/>
      <c r="B1081" s="239"/>
      <c r="C1081" s="264"/>
      <c r="D1081" s="298" t="s">
        <v>1920</v>
      </c>
      <c r="E1081" s="298" t="s">
        <v>1924</v>
      </c>
      <c r="F1081" s="299">
        <v>1</v>
      </c>
      <c r="G1081" s="300"/>
      <c r="H1081" s="299"/>
      <c r="I1081" s="264"/>
      <c r="L1081" s="252"/>
    </row>
    <row r="1082" spans="1:14">
      <c r="A1082" s="239"/>
      <c r="B1082" s="239"/>
      <c r="C1082" s="264"/>
      <c r="D1082" s="298" t="s">
        <v>1921</v>
      </c>
      <c r="E1082" s="298" t="s">
        <v>1925</v>
      </c>
      <c r="F1082" s="299">
        <v>1</v>
      </c>
      <c r="G1082" s="300"/>
      <c r="H1082" s="299"/>
      <c r="I1082" s="264" t="s">
        <v>2183</v>
      </c>
      <c r="J1082" s="243" t="s">
        <v>2183</v>
      </c>
      <c r="L1082" s="252"/>
    </row>
    <row r="1083" spans="1:14">
      <c r="A1083" s="239"/>
      <c r="B1083" s="239"/>
      <c r="C1083" s="264"/>
      <c r="D1083" s="298" t="s">
        <v>1922</v>
      </c>
      <c r="E1083" s="298" t="s">
        <v>1926</v>
      </c>
      <c r="F1083" s="299">
        <v>1</v>
      </c>
      <c r="G1083" s="300"/>
      <c r="H1083" s="299"/>
      <c r="I1083" s="264"/>
      <c r="L1083" s="252"/>
    </row>
    <row r="1084" spans="1:14">
      <c r="A1084" s="239"/>
      <c r="B1084" s="239"/>
      <c r="C1084" s="264"/>
      <c r="D1084" s="298" t="s">
        <v>1923</v>
      </c>
      <c r="E1084" s="298" t="s">
        <v>1927</v>
      </c>
      <c r="F1084" s="299">
        <v>1</v>
      </c>
      <c r="G1084" s="300"/>
      <c r="H1084" s="299"/>
      <c r="I1084" s="264" t="s">
        <v>2390</v>
      </c>
      <c r="J1084" s="243" t="s">
        <v>2390</v>
      </c>
      <c r="L1084" s="252"/>
    </row>
    <row r="1085" spans="1:14">
      <c r="A1085" s="239"/>
      <c r="B1085" s="239"/>
      <c r="C1085" s="264"/>
      <c r="D1085" s="264"/>
      <c r="E1085" s="264"/>
      <c r="F1085" s="239"/>
      <c r="G1085" s="265"/>
      <c r="H1085" s="239"/>
      <c r="I1085" s="264"/>
      <c r="L1085" s="252"/>
    </row>
    <row r="1086" spans="1:14">
      <c r="A1086" s="239"/>
      <c r="B1086" s="239"/>
      <c r="C1086" s="264"/>
      <c r="D1086" s="298" t="s">
        <v>1912</v>
      </c>
      <c r="E1086" s="298" t="s">
        <v>1917</v>
      </c>
      <c r="F1086" s="299">
        <v>1</v>
      </c>
      <c r="G1086" s="300"/>
      <c r="H1086" s="299"/>
      <c r="I1086" s="264"/>
      <c r="L1086" s="252"/>
    </row>
    <row r="1087" spans="1:14">
      <c r="A1087" s="239"/>
      <c r="B1087" s="239"/>
      <c r="C1087" s="264"/>
      <c r="D1087" s="298" t="s">
        <v>1928</v>
      </c>
      <c r="E1087" s="298" t="s">
        <v>1932</v>
      </c>
      <c r="F1087" s="299">
        <v>1</v>
      </c>
      <c r="G1087" s="300"/>
      <c r="H1087" s="299"/>
      <c r="I1087" s="264" t="s">
        <v>2183</v>
      </c>
      <c r="L1087" s="252"/>
      <c r="N1087" s="243" t="s">
        <v>2183</v>
      </c>
    </row>
    <row r="1088" spans="1:14">
      <c r="A1088" s="239"/>
      <c r="B1088" s="239"/>
      <c r="C1088" s="264"/>
      <c r="D1088" s="298" t="s">
        <v>1929</v>
      </c>
      <c r="E1088" s="298" t="s">
        <v>1933</v>
      </c>
      <c r="F1088" s="299">
        <v>1</v>
      </c>
      <c r="G1088" s="300"/>
      <c r="H1088" s="299"/>
      <c r="I1088" s="264" t="s">
        <v>2183</v>
      </c>
      <c r="J1088" s="243" t="s">
        <v>2183</v>
      </c>
      <c r="L1088" s="252"/>
    </row>
    <row r="1089" spans="1:44">
      <c r="A1089" s="239"/>
      <c r="B1089" s="239"/>
      <c r="C1089" s="264"/>
      <c r="D1089" s="298" t="s">
        <v>1930</v>
      </c>
      <c r="E1089" s="298" t="s">
        <v>1934</v>
      </c>
      <c r="F1089" s="299">
        <v>1</v>
      </c>
      <c r="G1089" s="300"/>
      <c r="H1089" s="299"/>
      <c r="I1089" s="264"/>
      <c r="L1089" s="252"/>
    </row>
    <row r="1090" spans="1:44">
      <c r="A1090" s="239"/>
      <c r="B1090" s="239"/>
      <c r="C1090" s="264"/>
      <c r="D1090" s="298" t="s">
        <v>1931</v>
      </c>
      <c r="E1090" s="298" t="s">
        <v>1935</v>
      </c>
      <c r="F1090" s="299">
        <v>1</v>
      </c>
      <c r="G1090" s="300"/>
      <c r="H1090" s="299"/>
      <c r="I1090" s="264"/>
      <c r="L1090" s="252"/>
    </row>
    <row r="1091" spans="1:44">
      <c r="A1091" s="239"/>
      <c r="B1091" s="239"/>
      <c r="C1091" s="264"/>
      <c r="D1091" s="298" t="s">
        <v>2361</v>
      </c>
      <c r="E1091" s="298" t="s">
        <v>2362</v>
      </c>
      <c r="F1091" s="299">
        <v>1</v>
      </c>
      <c r="G1091" s="300"/>
      <c r="H1091" s="299"/>
      <c r="I1091" s="264" t="s">
        <v>2183</v>
      </c>
      <c r="L1091" s="252" t="s">
        <v>2183</v>
      </c>
    </row>
    <row r="1092" spans="1:44">
      <c r="A1092" s="239"/>
      <c r="B1092" s="239"/>
      <c r="C1092" s="264"/>
      <c r="D1092" s="264"/>
      <c r="E1092" s="264"/>
      <c r="F1092" s="239"/>
      <c r="G1092" s="265"/>
      <c r="H1092" s="239"/>
      <c r="I1092" s="264"/>
      <c r="L1092" s="252"/>
    </row>
    <row r="1093" spans="1:44">
      <c r="A1093" s="239"/>
      <c r="B1093" s="239"/>
      <c r="C1093" s="264"/>
      <c r="D1093" s="298" t="s">
        <v>1913</v>
      </c>
      <c r="E1093" s="298" t="s">
        <v>1918</v>
      </c>
      <c r="F1093" s="299">
        <v>24</v>
      </c>
      <c r="G1093" s="300"/>
      <c r="H1093" s="299"/>
      <c r="I1093" s="264" t="s">
        <v>2558</v>
      </c>
      <c r="J1093" s="243" t="s">
        <v>2338</v>
      </c>
      <c r="L1093" s="252"/>
      <c r="AR1093" s="243" t="s">
        <v>2558</v>
      </c>
    </row>
    <row r="1094" spans="1:44">
      <c r="A1094" s="239"/>
      <c r="B1094" s="239"/>
      <c r="C1094" s="264"/>
      <c r="D1094" s="264"/>
      <c r="E1094" s="264"/>
      <c r="F1094" s="239"/>
      <c r="G1094" s="265"/>
      <c r="H1094" s="239"/>
      <c r="I1094" s="264"/>
      <c r="L1094" s="252"/>
    </row>
    <row r="1095" spans="1:44">
      <c r="A1095" s="239"/>
      <c r="B1095" s="239"/>
      <c r="C1095" s="264"/>
      <c r="D1095" s="298" t="s">
        <v>1914</v>
      </c>
      <c r="E1095" s="298" t="s">
        <v>1918</v>
      </c>
      <c r="F1095" s="299">
        <v>24</v>
      </c>
      <c r="G1095" s="300"/>
      <c r="H1095" s="299"/>
      <c r="I1095" s="264" t="s">
        <v>2338</v>
      </c>
      <c r="J1095" s="243" t="s">
        <v>2338</v>
      </c>
      <c r="L1095" s="252"/>
    </row>
    <row r="1096" spans="1:44">
      <c r="A1096" s="239"/>
      <c r="B1096" s="239"/>
      <c r="C1096" s="264"/>
      <c r="D1096" s="264"/>
      <c r="E1096" s="264"/>
      <c r="F1096" s="239"/>
      <c r="G1096" s="265"/>
      <c r="H1096" s="239"/>
      <c r="I1096" s="264"/>
      <c r="L1096" s="252"/>
    </row>
    <row r="1097" spans="1:44">
      <c r="A1097" s="239"/>
      <c r="B1097" s="239"/>
      <c r="C1097" s="264"/>
      <c r="D1097" s="298" t="s">
        <v>1915</v>
      </c>
      <c r="E1097" s="298" t="s">
        <v>1919</v>
      </c>
      <c r="F1097" s="299">
        <v>4</v>
      </c>
      <c r="G1097" s="300"/>
      <c r="H1097" s="299"/>
      <c r="I1097" s="264" t="s">
        <v>2388</v>
      </c>
      <c r="L1097" s="252"/>
      <c r="O1097" s="243" t="s">
        <v>2389</v>
      </c>
    </row>
    <row r="1098" spans="1:44">
      <c r="A1098" s="239"/>
      <c r="B1098" s="239"/>
      <c r="C1098" s="264"/>
      <c r="D1098" s="284" t="s">
        <v>1893</v>
      </c>
      <c r="E1098" s="284" t="s">
        <v>1905</v>
      </c>
      <c r="F1098" s="285"/>
      <c r="G1098" s="286"/>
      <c r="H1098" s="285"/>
      <c r="I1098" s="264"/>
      <c r="L1098" s="252"/>
    </row>
    <row r="1099" spans="1:44">
      <c r="A1099" s="239"/>
      <c r="B1099" s="239"/>
      <c r="C1099" s="264"/>
      <c r="D1099" s="298" t="s">
        <v>1936</v>
      </c>
      <c r="E1099" s="298" t="s">
        <v>1938</v>
      </c>
      <c r="F1099" s="299"/>
      <c r="G1099" s="300"/>
      <c r="H1099" s="299"/>
      <c r="I1099" s="264"/>
      <c r="L1099" s="252"/>
    </row>
    <row r="1100" spans="1:44">
      <c r="A1100" s="239"/>
      <c r="B1100" s="239"/>
      <c r="C1100" s="264"/>
      <c r="D1100" s="290" t="s">
        <v>1951</v>
      </c>
      <c r="E1100" s="290" t="s">
        <v>1952</v>
      </c>
      <c r="F1100" s="291">
        <v>4</v>
      </c>
      <c r="G1100" s="292"/>
      <c r="H1100" s="291"/>
      <c r="I1100" s="264" t="s">
        <v>2359</v>
      </c>
      <c r="J1100" s="243" t="s">
        <v>2359</v>
      </c>
      <c r="L1100" s="252"/>
    </row>
    <row r="1101" spans="1:44">
      <c r="A1101" s="239"/>
      <c r="B1101" s="239"/>
      <c r="C1101" s="264"/>
      <c r="D1101" s="298" t="s">
        <v>1937</v>
      </c>
      <c r="E1101" s="298" t="s">
        <v>1953</v>
      </c>
      <c r="F1101" s="299"/>
      <c r="G1101" s="292"/>
      <c r="H1101" s="291"/>
      <c r="I1101" s="264"/>
      <c r="L1101" s="252"/>
    </row>
    <row r="1102" spans="1:44">
      <c r="A1102" s="239"/>
      <c r="B1102" s="239"/>
      <c r="C1102" s="264"/>
      <c r="D1102" s="298" t="s">
        <v>1954</v>
      </c>
      <c r="E1102" s="290" t="s">
        <v>1955</v>
      </c>
      <c r="F1102" s="291"/>
      <c r="G1102" s="292"/>
      <c r="H1102" s="291"/>
      <c r="I1102" s="264"/>
      <c r="L1102" s="252"/>
    </row>
    <row r="1103" spans="1:44">
      <c r="A1103" s="239"/>
      <c r="B1103" s="239"/>
      <c r="C1103" s="264"/>
      <c r="D1103" s="298" t="s">
        <v>1954</v>
      </c>
      <c r="E1103" s="290" t="s">
        <v>1956</v>
      </c>
      <c r="F1103" s="291"/>
      <c r="G1103" s="292"/>
      <c r="H1103" s="291"/>
      <c r="I1103" s="264"/>
      <c r="L1103" s="252"/>
    </row>
    <row r="1104" spans="1:44">
      <c r="A1104" s="239"/>
      <c r="B1104" s="239"/>
      <c r="C1104" s="264"/>
      <c r="D1104" s="264"/>
      <c r="E1104" s="264"/>
      <c r="F1104" s="239"/>
      <c r="G1104" s="265"/>
      <c r="H1104" s="239"/>
      <c r="I1104" s="264"/>
      <c r="L1104" s="252"/>
    </row>
    <row r="1105" spans="1:22">
      <c r="A1105" s="239"/>
      <c r="B1105" s="239"/>
      <c r="C1105" s="264"/>
      <c r="D1105" s="298" t="s">
        <v>1939</v>
      </c>
      <c r="E1105" s="298" t="s">
        <v>1941</v>
      </c>
      <c r="F1105" s="299"/>
      <c r="G1105" s="300"/>
      <c r="H1105" s="299"/>
      <c r="I1105" s="264"/>
      <c r="L1105" s="252"/>
    </row>
    <row r="1106" spans="1:22">
      <c r="A1106" s="239"/>
      <c r="B1106" s="239"/>
      <c r="C1106" s="264"/>
      <c r="D1106" s="298" t="s">
        <v>1940</v>
      </c>
      <c r="E1106" s="298" t="s">
        <v>1942</v>
      </c>
      <c r="F1106" s="299"/>
      <c r="G1106" s="300"/>
      <c r="H1106" s="299"/>
      <c r="I1106" s="264"/>
      <c r="L1106" s="252"/>
    </row>
    <row r="1107" spans="1:22">
      <c r="A1107" s="239"/>
      <c r="B1107" s="239"/>
      <c r="C1107" s="264"/>
      <c r="D1107" s="290" t="s">
        <v>1954</v>
      </c>
      <c r="E1107" s="290" t="s">
        <v>1957</v>
      </c>
      <c r="F1107" s="291"/>
      <c r="G1107" s="292"/>
      <c r="H1107" s="291"/>
      <c r="I1107" s="264"/>
      <c r="L1107" s="252"/>
    </row>
    <row r="1108" spans="1:22">
      <c r="A1108" s="239"/>
      <c r="B1108" s="239"/>
      <c r="C1108" s="264"/>
      <c r="D1108" s="290" t="s">
        <v>1954</v>
      </c>
      <c r="E1108" s="290" t="s">
        <v>1958</v>
      </c>
      <c r="F1108" s="291"/>
      <c r="G1108" s="292"/>
      <c r="H1108" s="291"/>
      <c r="I1108" s="264"/>
      <c r="L1108" s="252"/>
    </row>
    <row r="1109" spans="1:22">
      <c r="A1109" s="239"/>
      <c r="B1109" s="239"/>
      <c r="C1109" s="264"/>
      <c r="D1109" s="264"/>
      <c r="E1109" s="264"/>
      <c r="F1109" s="239"/>
      <c r="G1109" s="265"/>
      <c r="H1109" s="239"/>
      <c r="I1109" s="264"/>
      <c r="L1109" s="252"/>
    </row>
    <row r="1110" spans="1:22">
      <c r="A1110" s="239"/>
      <c r="B1110" s="239"/>
      <c r="C1110" s="264"/>
      <c r="D1110" s="298" t="s">
        <v>1943</v>
      </c>
      <c r="E1110" s="298" t="s">
        <v>1945</v>
      </c>
      <c r="F1110" s="299"/>
      <c r="G1110" s="300"/>
      <c r="H1110" s="299"/>
      <c r="I1110" s="264"/>
      <c r="L1110" s="252"/>
    </row>
    <row r="1111" spans="1:22">
      <c r="A1111" s="239"/>
      <c r="B1111" s="239"/>
      <c r="C1111" s="264"/>
      <c r="D1111" s="290" t="s">
        <v>1959</v>
      </c>
      <c r="E1111" s="290" t="s">
        <v>1960</v>
      </c>
      <c r="F1111" s="291">
        <v>4</v>
      </c>
      <c r="G1111" s="292"/>
      <c r="H1111" s="291"/>
      <c r="I1111" s="264" t="s">
        <v>2244</v>
      </c>
      <c r="L1111" s="252"/>
      <c r="V1111" s="243" t="s">
        <v>2244</v>
      </c>
    </row>
    <row r="1112" spans="1:22">
      <c r="A1112" s="239"/>
      <c r="B1112" s="239"/>
      <c r="C1112" s="264"/>
      <c r="D1112" s="298" t="s">
        <v>1944</v>
      </c>
      <c r="E1112" s="298" t="s">
        <v>1946</v>
      </c>
      <c r="F1112" s="299"/>
      <c r="G1112" s="300"/>
      <c r="H1112" s="299"/>
      <c r="I1112" s="264"/>
      <c r="L1112" s="252"/>
    </row>
    <row r="1113" spans="1:22">
      <c r="A1113" s="239"/>
      <c r="B1113" s="239"/>
      <c r="C1113" s="264"/>
      <c r="D1113" s="290" t="s">
        <v>1961</v>
      </c>
      <c r="E1113" s="290" t="s">
        <v>1962</v>
      </c>
      <c r="F1113" s="291"/>
      <c r="G1113" s="292"/>
      <c r="H1113" s="291"/>
      <c r="I1113" s="264"/>
      <c r="L1113" s="252"/>
    </row>
    <row r="1114" spans="1:22">
      <c r="A1114" s="239"/>
      <c r="B1114" s="239"/>
      <c r="C1114" s="264"/>
      <c r="D1114" s="290" t="s">
        <v>1961</v>
      </c>
      <c r="E1114" s="290" t="s">
        <v>1963</v>
      </c>
      <c r="F1114" s="291"/>
      <c r="G1114" s="292"/>
      <c r="H1114" s="291"/>
      <c r="I1114" s="264"/>
      <c r="L1114" s="252"/>
    </row>
    <row r="1115" spans="1:22">
      <c r="A1115" s="239"/>
      <c r="B1115" s="239"/>
      <c r="C1115" s="264"/>
      <c r="D1115" s="264"/>
      <c r="E1115" s="264"/>
      <c r="F1115" s="239"/>
      <c r="G1115" s="265"/>
      <c r="H1115" s="239"/>
      <c r="I1115" s="264"/>
      <c r="L1115" s="252"/>
    </row>
    <row r="1116" spans="1:22">
      <c r="A1116" s="239"/>
      <c r="B1116" s="239"/>
      <c r="C1116" s="264"/>
      <c r="D1116" s="298" t="s">
        <v>1947</v>
      </c>
      <c r="E1116" s="298" t="s">
        <v>1949</v>
      </c>
      <c r="F1116" s="299"/>
      <c r="G1116" s="300"/>
      <c r="H1116" s="299"/>
      <c r="I1116" s="264"/>
      <c r="L1116" s="252"/>
    </row>
    <row r="1117" spans="1:22">
      <c r="A1117" s="239"/>
      <c r="B1117" s="239"/>
      <c r="C1117" s="264"/>
      <c r="D1117" s="298" t="s">
        <v>1948</v>
      </c>
      <c r="E1117" s="298" t="s">
        <v>1950</v>
      </c>
      <c r="F1117" s="299"/>
      <c r="G1117" s="300"/>
      <c r="H1117" s="299"/>
      <c r="I1117" s="264"/>
      <c r="L1117" s="252"/>
    </row>
    <row r="1118" spans="1:22">
      <c r="A1118" s="239"/>
      <c r="B1118" s="239"/>
      <c r="C1118" s="264"/>
      <c r="D1118" s="290" t="s">
        <v>1964</v>
      </c>
      <c r="E1118" s="290" t="s">
        <v>1965</v>
      </c>
      <c r="F1118" s="291"/>
      <c r="G1118" s="292"/>
      <c r="H1118" s="291"/>
      <c r="I1118" s="264"/>
      <c r="L1118" s="252"/>
    </row>
    <row r="1119" spans="1:22">
      <c r="A1119" s="239"/>
      <c r="B1119" s="239"/>
      <c r="C1119" s="264"/>
      <c r="D1119" s="290" t="s">
        <v>1966</v>
      </c>
      <c r="E1119" s="290" t="s">
        <v>1967</v>
      </c>
      <c r="F1119" s="291"/>
      <c r="G1119" s="292"/>
      <c r="H1119" s="291"/>
      <c r="I1119" s="264"/>
      <c r="L1119" s="252"/>
    </row>
    <row r="1120" spans="1:22">
      <c r="A1120" s="239"/>
      <c r="B1120" s="239"/>
      <c r="C1120" s="264"/>
      <c r="D1120" s="264"/>
      <c r="E1120" s="264"/>
      <c r="F1120" s="239"/>
      <c r="G1120" s="265"/>
      <c r="H1120" s="239"/>
      <c r="I1120" s="264"/>
      <c r="L1120" s="252"/>
    </row>
    <row r="1121" spans="1:12">
      <c r="A1121" s="239"/>
      <c r="B1121" s="239"/>
      <c r="C1121" s="264"/>
      <c r="D1121" s="284" t="s">
        <v>1894</v>
      </c>
      <c r="E1121" s="284" t="s">
        <v>1905</v>
      </c>
      <c r="F1121" s="285"/>
      <c r="G1121" s="286"/>
      <c r="H1121" s="285"/>
      <c r="I1121" s="264"/>
      <c r="L1121" s="252"/>
    </row>
    <row r="1122" spans="1:12">
      <c r="A1122" s="239"/>
      <c r="B1122" s="239"/>
      <c r="C1122" s="264"/>
      <c r="D1122" s="298" t="s">
        <v>1936</v>
      </c>
      <c r="E1122" s="298" t="s">
        <v>1938</v>
      </c>
      <c r="F1122" s="299"/>
      <c r="G1122" s="300"/>
      <c r="H1122" s="299"/>
      <c r="I1122" s="264"/>
      <c r="L1122" s="252"/>
    </row>
    <row r="1123" spans="1:12">
      <c r="A1123" s="239"/>
      <c r="B1123" s="239"/>
      <c r="C1123" s="264"/>
      <c r="D1123" s="290" t="s">
        <v>1951</v>
      </c>
      <c r="E1123" s="290" t="s">
        <v>1952</v>
      </c>
      <c r="F1123" s="291">
        <v>4</v>
      </c>
      <c r="G1123" s="292"/>
      <c r="H1123" s="291"/>
      <c r="I1123" s="264" t="s">
        <v>2359</v>
      </c>
      <c r="J1123" s="243" t="s">
        <v>2359</v>
      </c>
      <c r="L1123" s="252"/>
    </row>
    <row r="1124" spans="1:12">
      <c r="A1124" s="239"/>
      <c r="B1124" s="239"/>
      <c r="C1124" s="264"/>
      <c r="D1124" s="298" t="s">
        <v>1937</v>
      </c>
      <c r="E1124" s="298" t="s">
        <v>1953</v>
      </c>
      <c r="F1124" s="299"/>
      <c r="G1124" s="300"/>
      <c r="H1124" s="299"/>
      <c r="I1124" s="264"/>
      <c r="L1124" s="252"/>
    </row>
    <row r="1125" spans="1:12">
      <c r="A1125" s="239"/>
      <c r="B1125" s="239"/>
      <c r="C1125" s="264"/>
      <c r="D1125" s="298" t="s">
        <v>1954</v>
      </c>
      <c r="E1125" s="290" t="s">
        <v>1955</v>
      </c>
      <c r="F1125" s="291"/>
      <c r="G1125" s="292"/>
      <c r="H1125" s="291"/>
      <c r="I1125" s="264"/>
      <c r="L1125" s="252"/>
    </row>
    <row r="1126" spans="1:12">
      <c r="A1126" s="239"/>
      <c r="B1126" s="239"/>
      <c r="C1126" s="264"/>
      <c r="D1126" s="298" t="s">
        <v>1954</v>
      </c>
      <c r="E1126" s="290" t="s">
        <v>1956</v>
      </c>
      <c r="F1126" s="291"/>
      <c r="G1126" s="292"/>
      <c r="H1126" s="291"/>
      <c r="I1126" s="264"/>
      <c r="L1126" s="252"/>
    </row>
    <row r="1127" spans="1:12">
      <c r="A1127" s="239"/>
      <c r="B1127" s="239"/>
      <c r="C1127" s="264"/>
      <c r="D1127" s="264"/>
      <c r="E1127" s="264"/>
      <c r="F1127" s="239"/>
      <c r="G1127" s="265"/>
      <c r="H1127" s="239"/>
      <c r="I1127" s="264"/>
      <c r="L1127" s="252"/>
    </row>
    <row r="1128" spans="1:12">
      <c r="A1128" s="239"/>
      <c r="B1128" s="239"/>
      <c r="C1128" s="264"/>
      <c r="D1128" s="298" t="s">
        <v>1939</v>
      </c>
      <c r="E1128" s="298" t="s">
        <v>1941</v>
      </c>
      <c r="F1128" s="299"/>
      <c r="G1128" s="300"/>
      <c r="H1128" s="299"/>
      <c r="I1128" s="264"/>
      <c r="L1128" s="252"/>
    </row>
    <row r="1129" spans="1:12">
      <c r="A1129" s="239"/>
      <c r="B1129" s="239"/>
      <c r="C1129" s="264"/>
      <c r="D1129" s="298" t="s">
        <v>1940</v>
      </c>
      <c r="E1129" s="298" t="s">
        <v>1942</v>
      </c>
      <c r="F1129" s="299"/>
      <c r="G1129" s="300"/>
      <c r="H1129" s="299"/>
      <c r="I1129" s="264"/>
      <c r="L1129" s="252"/>
    </row>
    <row r="1130" spans="1:12">
      <c r="A1130" s="239"/>
      <c r="B1130" s="239"/>
      <c r="C1130" s="264"/>
      <c r="D1130" s="290" t="s">
        <v>1954</v>
      </c>
      <c r="E1130" s="290" t="s">
        <v>1957</v>
      </c>
      <c r="F1130" s="291"/>
      <c r="G1130" s="292"/>
      <c r="H1130" s="291"/>
      <c r="I1130" s="264"/>
      <c r="L1130" s="252"/>
    </row>
    <row r="1131" spans="1:12">
      <c r="A1131" s="239"/>
      <c r="B1131" s="239"/>
      <c r="C1131" s="264"/>
      <c r="D1131" s="290" t="s">
        <v>1954</v>
      </c>
      <c r="E1131" s="290" t="s">
        <v>1958</v>
      </c>
      <c r="F1131" s="291"/>
      <c r="G1131" s="292"/>
      <c r="H1131" s="291"/>
      <c r="I1131" s="264"/>
      <c r="L1131" s="252"/>
    </row>
    <row r="1132" spans="1:12">
      <c r="A1132" s="239"/>
      <c r="B1132" s="239"/>
      <c r="C1132" s="264"/>
      <c r="D1132" s="264"/>
      <c r="E1132" s="264"/>
      <c r="F1132" s="239"/>
      <c r="G1132" s="265"/>
      <c r="H1132" s="239"/>
      <c r="I1132" s="264"/>
      <c r="L1132" s="252"/>
    </row>
    <row r="1133" spans="1:12">
      <c r="A1133" s="239"/>
      <c r="B1133" s="239"/>
      <c r="C1133" s="264"/>
      <c r="D1133" s="298" t="s">
        <v>1943</v>
      </c>
      <c r="E1133" s="298" t="s">
        <v>1945</v>
      </c>
      <c r="F1133" s="299"/>
      <c r="G1133" s="300"/>
      <c r="H1133" s="299"/>
      <c r="I1133" s="264"/>
      <c r="L1133" s="252"/>
    </row>
    <row r="1134" spans="1:12">
      <c r="A1134" s="239"/>
      <c r="B1134" s="239"/>
      <c r="C1134" s="264"/>
      <c r="D1134" s="290" t="s">
        <v>1959</v>
      </c>
      <c r="E1134" s="290" t="s">
        <v>1960</v>
      </c>
      <c r="F1134" s="291"/>
      <c r="G1134" s="292"/>
      <c r="H1134" s="291"/>
      <c r="I1134" s="264"/>
      <c r="L1134" s="252"/>
    </row>
    <row r="1135" spans="1:12">
      <c r="A1135" s="239"/>
      <c r="B1135" s="239"/>
      <c r="C1135" s="264"/>
      <c r="D1135" s="298" t="s">
        <v>1944</v>
      </c>
      <c r="E1135" s="298" t="s">
        <v>1946</v>
      </c>
      <c r="F1135" s="299"/>
      <c r="G1135" s="300"/>
      <c r="H1135" s="299"/>
      <c r="I1135" s="264"/>
      <c r="L1135" s="252"/>
    </row>
    <row r="1136" spans="1:12">
      <c r="A1136" s="239"/>
      <c r="B1136" s="239"/>
      <c r="C1136" s="264"/>
      <c r="D1136" s="290" t="s">
        <v>1961</v>
      </c>
      <c r="E1136" s="290" t="s">
        <v>1962</v>
      </c>
      <c r="F1136" s="291"/>
      <c r="G1136" s="292"/>
      <c r="H1136" s="291"/>
      <c r="I1136" s="264"/>
      <c r="L1136" s="252"/>
    </row>
    <row r="1137" spans="1:12">
      <c r="A1137" s="239"/>
      <c r="B1137" s="239"/>
      <c r="C1137" s="264"/>
      <c r="D1137" s="290" t="s">
        <v>1961</v>
      </c>
      <c r="E1137" s="290" t="s">
        <v>1963</v>
      </c>
      <c r="F1137" s="291"/>
      <c r="G1137" s="292"/>
      <c r="H1137" s="291"/>
      <c r="I1137" s="264"/>
      <c r="L1137" s="252"/>
    </row>
    <row r="1138" spans="1:12">
      <c r="A1138" s="239"/>
      <c r="B1138" s="239"/>
      <c r="C1138" s="264"/>
      <c r="D1138" s="264"/>
      <c r="E1138" s="264"/>
      <c r="F1138" s="239"/>
      <c r="G1138" s="265"/>
      <c r="H1138" s="239"/>
      <c r="I1138" s="264"/>
      <c r="L1138" s="252"/>
    </row>
    <row r="1139" spans="1:12">
      <c r="A1139" s="239"/>
      <c r="B1139" s="239"/>
      <c r="C1139" s="264"/>
      <c r="D1139" s="298" t="s">
        <v>1947</v>
      </c>
      <c r="E1139" s="298" t="s">
        <v>1949</v>
      </c>
      <c r="F1139" s="299"/>
      <c r="G1139" s="300"/>
      <c r="H1139" s="299"/>
      <c r="I1139" s="264"/>
      <c r="L1139" s="252"/>
    </row>
    <row r="1140" spans="1:12">
      <c r="A1140" s="239"/>
      <c r="B1140" s="239"/>
      <c r="C1140" s="264"/>
      <c r="D1140" s="298" t="s">
        <v>1948</v>
      </c>
      <c r="E1140" s="298" t="s">
        <v>1950</v>
      </c>
      <c r="F1140" s="299"/>
      <c r="G1140" s="300"/>
      <c r="H1140" s="299"/>
      <c r="I1140" s="264"/>
      <c r="L1140" s="252"/>
    </row>
    <row r="1141" spans="1:12">
      <c r="A1141" s="239"/>
      <c r="B1141" s="239"/>
      <c r="C1141" s="264"/>
      <c r="D1141" s="290" t="s">
        <v>1964</v>
      </c>
      <c r="E1141" s="290" t="s">
        <v>1965</v>
      </c>
      <c r="F1141" s="291"/>
      <c r="G1141" s="292"/>
      <c r="H1141" s="291"/>
      <c r="I1141" s="264"/>
      <c r="L1141" s="252"/>
    </row>
    <row r="1142" spans="1:12">
      <c r="A1142" s="239"/>
      <c r="B1142" s="239"/>
      <c r="C1142" s="264"/>
      <c r="D1142" s="290" t="s">
        <v>1966</v>
      </c>
      <c r="E1142" s="290" t="s">
        <v>1967</v>
      </c>
      <c r="F1142" s="291"/>
      <c r="G1142" s="292"/>
      <c r="H1142" s="291"/>
      <c r="I1142" s="264"/>
      <c r="L1142" s="252"/>
    </row>
    <row r="1143" spans="1:12">
      <c r="A1143" s="239"/>
      <c r="B1143" s="239"/>
      <c r="C1143" s="264"/>
      <c r="D1143" s="284" t="s">
        <v>1895</v>
      </c>
      <c r="E1143" s="284" t="s">
        <v>1905</v>
      </c>
      <c r="F1143" s="285"/>
      <c r="G1143" s="286"/>
      <c r="H1143" s="285"/>
      <c r="I1143" s="264"/>
      <c r="L1143" s="252"/>
    </row>
    <row r="1144" spans="1:12">
      <c r="A1144" s="239"/>
      <c r="B1144" s="239"/>
      <c r="C1144" s="264"/>
      <c r="D1144" s="298" t="s">
        <v>1936</v>
      </c>
      <c r="E1144" s="298" t="s">
        <v>1938</v>
      </c>
      <c r="F1144" s="299"/>
      <c r="G1144" s="300"/>
      <c r="H1144" s="299"/>
      <c r="I1144" s="264"/>
      <c r="L1144" s="252"/>
    </row>
    <row r="1145" spans="1:12">
      <c r="A1145" s="239"/>
      <c r="B1145" s="239"/>
      <c r="C1145" s="264"/>
      <c r="D1145" s="290" t="s">
        <v>1951</v>
      </c>
      <c r="E1145" s="290" t="s">
        <v>1952</v>
      </c>
      <c r="F1145" s="291">
        <v>4</v>
      </c>
      <c r="G1145" s="292"/>
      <c r="H1145" s="291"/>
      <c r="I1145" s="264" t="s">
        <v>2359</v>
      </c>
      <c r="J1145" s="243" t="s">
        <v>2359</v>
      </c>
      <c r="L1145" s="252"/>
    </row>
    <row r="1146" spans="1:12">
      <c r="A1146" s="239"/>
      <c r="B1146" s="239"/>
      <c r="C1146" s="264"/>
      <c r="D1146" s="298" t="s">
        <v>1937</v>
      </c>
      <c r="E1146" s="298" t="s">
        <v>1953</v>
      </c>
      <c r="F1146" s="299"/>
      <c r="G1146" s="300"/>
      <c r="H1146" s="299"/>
      <c r="I1146" s="264"/>
      <c r="L1146" s="252"/>
    </row>
    <row r="1147" spans="1:12">
      <c r="A1147" s="239"/>
      <c r="B1147" s="239"/>
      <c r="C1147" s="264"/>
      <c r="D1147" s="298" t="s">
        <v>1954</v>
      </c>
      <c r="E1147" s="290" t="s">
        <v>1955</v>
      </c>
      <c r="F1147" s="291"/>
      <c r="G1147" s="292"/>
      <c r="H1147" s="291"/>
      <c r="I1147" s="264" t="s">
        <v>2387</v>
      </c>
      <c r="J1147" s="243" t="s">
        <v>2387</v>
      </c>
      <c r="L1147" s="252"/>
    </row>
    <row r="1148" spans="1:12">
      <c r="A1148" s="239"/>
      <c r="B1148" s="239"/>
      <c r="C1148" s="264"/>
      <c r="D1148" s="298" t="s">
        <v>1954</v>
      </c>
      <c r="E1148" s="290" t="s">
        <v>1956</v>
      </c>
      <c r="F1148" s="291"/>
      <c r="G1148" s="292"/>
      <c r="H1148" s="291"/>
      <c r="I1148" s="264" t="s">
        <v>2387</v>
      </c>
      <c r="J1148" s="243" t="s">
        <v>2387</v>
      </c>
      <c r="L1148" s="252"/>
    </row>
    <row r="1149" spans="1:12">
      <c r="A1149" s="239"/>
      <c r="B1149" s="239"/>
      <c r="C1149" s="264"/>
      <c r="D1149" s="264"/>
      <c r="E1149" s="264"/>
      <c r="F1149" s="239"/>
      <c r="G1149" s="265"/>
      <c r="H1149" s="239"/>
      <c r="I1149" s="264"/>
      <c r="L1149" s="252"/>
    </row>
    <row r="1150" spans="1:12">
      <c r="A1150" s="239"/>
      <c r="B1150" s="239"/>
      <c r="C1150" s="264"/>
      <c r="D1150" s="298" t="s">
        <v>1939</v>
      </c>
      <c r="E1150" s="298" t="s">
        <v>1941</v>
      </c>
      <c r="F1150" s="299"/>
      <c r="G1150" s="300"/>
      <c r="H1150" s="299"/>
      <c r="I1150" s="264"/>
      <c r="L1150" s="252"/>
    </row>
    <row r="1151" spans="1:12">
      <c r="A1151" s="239"/>
      <c r="B1151" s="239"/>
      <c r="C1151" s="264"/>
      <c r="D1151" s="298" t="s">
        <v>1940</v>
      </c>
      <c r="E1151" s="298" t="s">
        <v>1942</v>
      </c>
      <c r="F1151" s="299"/>
      <c r="G1151" s="300"/>
      <c r="H1151" s="299"/>
      <c r="I1151" s="264"/>
      <c r="L1151" s="252"/>
    </row>
    <row r="1152" spans="1:12">
      <c r="A1152" s="239"/>
      <c r="B1152" s="239"/>
      <c r="C1152" s="264"/>
      <c r="D1152" s="290" t="s">
        <v>1954</v>
      </c>
      <c r="E1152" s="290" t="s">
        <v>1957</v>
      </c>
      <c r="F1152" s="291"/>
      <c r="G1152" s="292"/>
      <c r="H1152" s="291"/>
      <c r="I1152" s="264"/>
      <c r="L1152" s="252"/>
    </row>
    <row r="1153" spans="1:12">
      <c r="A1153" s="239"/>
      <c r="B1153" s="239"/>
      <c r="C1153" s="264"/>
      <c r="D1153" s="290" t="s">
        <v>1954</v>
      </c>
      <c r="E1153" s="290" t="s">
        <v>1958</v>
      </c>
      <c r="F1153" s="291"/>
      <c r="G1153" s="292"/>
      <c r="H1153" s="291"/>
      <c r="I1153" s="264"/>
      <c r="L1153" s="252"/>
    </row>
    <row r="1154" spans="1:12">
      <c r="A1154" s="239"/>
      <c r="B1154" s="239"/>
      <c r="C1154" s="264"/>
      <c r="D1154" s="264"/>
      <c r="E1154" s="264"/>
      <c r="F1154" s="239"/>
      <c r="G1154" s="265"/>
      <c r="H1154" s="239"/>
      <c r="I1154" s="264"/>
      <c r="L1154" s="252"/>
    </row>
    <row r="1155" spans="1:12">
      <c r="A1155" s="239"/>
      <c r="B1155" s="239"/>
      <c r="C1155" s="264"/>
      <c r="D1155" s="298" t="s">
        <v>1943</v>
      </c>
      <c r="E1155" s="298" t="s">
        <v>1945</v>
      </c>
      <c r="F1155" s="299"/>
      <c r="G1155" s="300"/>
      <c r="H1155" s="299"/>
      <c r="I1155" s="264"/>
      <c r="L1155" s="252"/>
    </row>
    <row r="1156" spans="1:12">
      <c r="A1156" s="239"/>
      <c r="B1156" s="239"/>
      <c r="C1156" s="264"/>
      <c r="D1156" s="290" t="s">
        <v>1959</v>
      </c>
      <c r="E1156" s="290" t="s">
        <v>1960</v>
      </c>
      <c r="F1156" s="291"/>
      <c r="G1156" s="292"/>
      <c r="H1156" s="291"/>
      <c r="I1156" s="264"/>
      <c r="L1156" s="252"/>
    </row>
    <row r="1157" spans="1:12">
      <c r="A1157" s="239"/>
      <c r="B1157" s="239"/>
      <c r="C1157" s="264"/>
      <c r="D1157" s="298" t="s">
        <v>1944</v>
      </c>
      <c r="E1157" s="298" t="s">
        <v>1946</v>
      </c>
      <c r="F1157" s="299"/>
      <c r="G1157" s="300"/>
      <c r="H1157" s="299"/>
      <c r="I1157" s="264"/>
      <c r="L1157" s="252"/>
    </row>
    <row r="1158" spans="1:12">
      <c r="A1158" s="239"/>
      <c r="B1158" s="239"/>
      <c r="C1158" s="264"/>
      <c r="D1158" s="290" t="s">
        <v>1961</v>
      </c>
      <c r="E1158" s="290" t="s">
        <v>1962</v>
      </c>
      <c r="F1158" s="291"/>
      <c r="G1158" s="292"/>
      <c r="H1158" s="291"/>
      <c r="I1158" s="264"/>
      <c r="L1158" s="252"/>
    </row>
    <row r="1159" spans="1:12">
      <c r="A1159" s="239"/>
      <c r="B1159" s="239"/>
      <c r="C1159" s="264"/>
      <c r="D1159" s="290" t="s">
        <v>1961</v>
      </c>
      <c r="E1159" s="290" t="s">
        <v>1963</v>
      </c>
      <c r="F1159" s="291"/>
      <c r="G1159" s="292"/>
      <c r="H1159" s="291"/>
      <c r="I1159" s="264"/>
      <c r="L1159" s="252"/>
    </row>
    <row r="1160" spans="1:12">
      <c r="A1160" s="239"/>
      <c r="B1160" s="239"/>
      <c r="C1160" s="264"/>
      <c r="D1160" s="264"/>
      <c r="E1160" s="264"/>
      <c r="F1160" s="239"/>
      <c r="G1160" s="265"/>
      <c r="H1160" s="239"/>
      <c r="I1160" s="264"/>
      <c r="L1160" s="252"/>
    </row>
    <row r="1161" spans="1:12">
      <c r="A1161" s="239"/>
      <c r="B1161" s="239"/>
      <c r="C1161" s="264"/>
      <c r="D1161" s="298" t="s">
        <v>1947</v>
      </c>
      <c r="E1161" s="298" t="s">
        <v>1949</v>
      </c>
      <c r="F1161" s="299"/>
      <c r="G1161" s="300"/>
      <c r="H1161" s="299"/>
      <c r="I1161" s="264"/>
      <c r="L1161" s="252"/>
    </row>
    <row r="1162" spans="1:12">
      <c r="A1162" s="239"/>
      <c r="B1162" s="239"/>
      <c r="C1162" s="264"/>
      <c r="D1162" s="298" t="s">
        <v>1948</v>
      </c>
      <c r="E1162" s="298" t="s">
        <v>1950</v>
      </c>
      <c r="F1162" s="299"/>
      <c r="G1162" s="300"/>
      <c r="H1162" s="299"/>
      <c r="I1162" s="264"/>
      <c r="L1162" s="252"/>
    </row>
    <row r="1163" spans="1:12">
      <c r="A1163" s="239"/>
      <c r="B1163" s="239"/>
      <c r="C1163" s="264"/>
      <c r="D1163" s="290" t="s">
        <v>1964</v>
      </c>
      <c r="E1163" s="290" t="s">
        <v>1965</v>
      </c>
      <c r="F1163" s="291"/>
      <c r="G1163" s="292"/>
      <c r="H1163" s="291"/>
      <c r="I1163" s="264"/>
      <c r="L1163" s="252"/>
    </row>
    <row r="1164" spans="1:12">
      <c r="A1164" s="239"/>
      <c r="B1164" s="239"/>
      <c r="C1164" s="264"/>
      <c r="D1164" s="290" t="s">
        <v>1966</v>
      </c>
      <c r="E1164" s="290" t="s">
        <v>1967</v>
      </c>
      <c r="F1164" s="291"/>
      <c r="G1164" s="292"/>
      <c r="H1164" s="291"/>
      <c r="I1164" s="264"/>
      <c r="L1164" s="252"/>
    </row>
    <row r="1165" spans="1:12">
      <c r="A1165" s="239"/>
      <c r="B1165" s="239"/>
      <c r="C1165" s="264"/>
      <c r="D1165" s="284" t="s">
        <v>1896</v>
      </c>
      <c r="E1165" s="284" t="s">
        <v>1905</v>
      </c>
      <c r="F1165" s="285"/>
      <c r="G1165" s="286"/>
      <c r="H1165" s="285"/>
      <c r="I1165" s="264"/>
      <c r="L1165" s="252"/>
    </row>
    <row r="1166" spans="1:12">
      <c r="A1166" s="239"/>
      <c r="B1166" s="239"/>
      <c r="C1166" s="264"/>
      <c r="D1166" s="298" t="s">
        <v>1936</v>
      </c>
      <c r="E1166" s="298" t="s">
        <v>1938</v>
      </c>
      <c r="F1166" s="299"/>
      <c r="G1166" s="300"/>
      <c r="H1166" s="299"/>
      <c r="I1166" s="264"/>
      <c r="L1166" s="252"/>
    </row>
    <row r="1167" spans="1:12">
      <c r="A1167" s="239"/>
      <c r="B1167" s="239"/>
      <c r="C1167" s="264"/>
      <c r="D1167" s="290" t="s">
        <v>1951</v>
      </c>
      <c r="E1167" s="290" t="s">
        <v>1952</v>
      </c>
      <c r="F1167" s="291">
        <v>4</v>
      </c>
      <c r="G1167" s="292"/>
      <c r="H1167" s="291"/>
      <c r="I1167" s="264" t="s">
        <v>2359</v>
      </c>
      <c r="J1167" s="243" t="s">
        <v>2359</v>
      </c>
      <c r="L1167" s="252"/>
    </row>
    <row r="1168" spans="1:12">
      <c r="A1168" s="239"/>
      <c r="B1168" s="239"/>
      <c r="C1168" s="264"/>
      <c r="D1168" s="298" t="s">
        <v>1937</v>
      </c>
      <c r="E1168" s="298" t="s">
        <v>1953</v>
      </c>
      <c r="F1168" s="299"/>
      <c r="G1168" s="300"/>
      <c r="H1168" s="299"/>
      <c r="I1168" s="264"/>
      <c r="L1168" s="252"/>
    </row>
    <row r="1169" spans="1:12">
      <c r="A1169" s="239"/>
      <c r="B1169" s="239"/>
      <c r="C1169" s="264"/>
      <c r="D1169" s="298" t="s">
        <v>1954</v>
      </c>
      <c r="E1169" s="290" t="s">
        <v>1955</v>
      </c>
      <c r="F1169" s="291"/>
      <c r="G1169" s="292"/>
      <c r="H1169" s="291"/>
      <c r="I1169" s="264"/>
      <c r="L1169" s="252"/>
    </row>
    <row r="1170" spans="1:12">
      <c r="A1170" s="239"/>
      <c r="B1170" s="239"/>
      <c r="C1170" s="264"/>
      <c r="D1170" s="298" t="s">
        <v>1954</v>
      </c>
      <c r="E1170" s="290" t="s">
        <v>1956</v>
      </c>
      <c r="F1170" s="291"/>
      <c r="G1170" s="292"/>
      <c r="H1170" s="291"/>
      <c r="I1170" s="264"/>
      <c r="L1170" s="252"/>
    </row>
    <row r="1171" spans="1:12">
      <c r="A1171" s="239"/>
      <c r="B1171" s="239"/>
      <c r="C1171" s="264"/>
      <c r="D1171" s="264"/>
      <c r="E1171" s="264"/>
      <c r="F1171" s="239"/>
      <c r="G1171" s="265"/>
      <c r="H1171" s="239"/>
      <c r="I1171" s="264"/>
      <c r="L1171" s="252"/>
    </row>
    <row r="1172" spans="1:12">
      <c r="A1172" s="239"/>
      <c r="B1172" s="239"/>
      <c r="C1172" s="264"/>
      <c r="D1172" s="298" t="s">
        <v>1939</v>
      </c>
      <c r="E1172" s="298" t="s">
        <v>1941</v>
      </c>
      <c r="F1172" s="299"/>
      <c r="G1172" s="300"/>
      <c r="H1172" s="299"/>
      <c r="I1172" s="264"/>
      <c r="L1172" s="252"/>
    </row>
    <row r="1173" spans="1:12">
      <c r="A1173" s="239"/>
      <c r="B1173" s="239"/>
      <c r="C1173" s="264"/>
      <c r="D1173" s="298" t="s">
        <v>1940</v>
      </c>
      <c r="E1173" s="298" t="s">
        <v>1942</v>
      </c>
      <c r="F1173" s="299"/>
      <c r="G1173" s="300"/>
      <c r="H1173" s="299"/>
      <c r="I1173" s="264"/>
      <c r="L1173" s="252"/>
    </row>
    <row r="1174" spans="1:12">
      <c r="A1174" s="239"/>
      <c r="B1174" s="239"/>
      <c r="C1174" s="264"/>
      <c r="D1174" s="290" t="s">
        <v>1954</v>
      </c>
      <c r="E1174" s="290" t="s">
        <v>1957</v>
      </c>
      <c r="F1174" s="291">
        <v>2</v>
      </c>
      <c r="G1174" s="292"/>
      <c r="H1174" s="291"/>
      <c r="I1174" s="264" t="s">
        <v>2183</v>
      </c>
      <c r="J1174" s="243" t="s">
        <v>2183</v>
      </c>
      <c r="L1174" s="252"/>
    </row>
    <row r="1175" spans="1:12">
      <c r="A1175" s="239"/>
      <c r="B1175" s="239"/>
      <c r="C1175" s="264"/>
      <c r="D1175" s="290" t="s">
        <v>1954</v>
      </c>
      <c r="E1175" s="290" t="s">
        <v>1958</v>
      </c>
      <c r="F1175" s="291">
        <v>2</v>
      </c>
      <c r="G1175" s="292"/>
      <c r="H1175" s="291"/>
      <c r="I1175" s="264" t="s">
        <v>2183</v>
      </c>
      <c r="J1175" s="243" t="s">
        <v>2183</v>
      </c>
      <c r="L1175" s="252"/>
    </row>
    <row r="1176" spans="1:12">
      <c r="A1176" s="239"/>
      <c r="B1176" s="239"/>
      <c r="C1176" s="264"/>
      <c r="D1176" s="264"/>
      <c r="E1176" s="264"/>
      <c r="F1176" s="239"/>
      <c r="G1176" s="265"/>
      <c r="H1176" s="239"/>
      <c r="I1176" s="264"/>
      <c r="L1176" s="252"/>
    </row>
    <row r="1177" spans="1:12">
      <c r="A1177" s="239"/>
      <c r="B1177" s="239"/>
      <c r="C1177" s="264"/>
      <c r="D1177" s="298" t="s">
        <v>1943</v>
      </c>
      <c r="E1177" s="298" t="s">
        <v>1945</v>
      </c>
      <c r="F1177" s="299"/>
      <c r="G1177" s="300"/>
      <c r="H1177" s="299"/>
      <c r="I1177" s="264"/>
      <c r="L1177" s="252"/>
    </row>
    <row r="1178" spans="1:12">
      <c r="A1178" s="239"/>
      <c r="B1178" s="239"/>
      <c r="C1178" s="264"/>
      <c r="D1178" s="290" t="s">
        <v>1959</v>
      </c>
      <c r="E1178" s="290" t="s">
        <v>1960</v>
      </c>
      <c r="F1178" s="291"/>
      <c r="G1178" s="292"/>
      <c r="H1178" s="291"/>
      <c r="I1178" s="264"/>
      <c r="L1178" s="252"/>
    </row>
    <row r="1179" spans="1:12">
      <c r="A1179" s="239"/>
      <c r="B1179" s="239"/>
      <c r="C1179" s="264"/>
      <c r="D1179" s="298" t="s">
        <v>1944</v>
      </c>
      <c r="E1179" s="298" t="s">
        <v>1946</v>
      </c>
      <c r="F1179" s="299"/>
      <c r="G1179" s="300"/>
      <c r="H1179" s="299"/>
      <c r="I1179" s="264"/>
      <c r="L1179" s="252"/>
    </row>
    <row r="1180" spans="1:12">
      <c r="A1180" s="239"/>
      <c r="B1180" s="239"/>
      <c r="C1180" s="264"/>
      <c r="D1180" s="290" t="s">
        <v>1961</v>
      </c>
      <c r="E1180" s="290" t="s">
        <v>1962</v>
      </c>
      <c r="F1180" s="291"/>
      <c r="G1180" s="292"/>
      <c r="H1180" s="291"/>
      <c r="I1180" s="264"/>
      <c r="L1180" s="252"/>
    </row>
    <row r="1181" spans="1:12">
      <c r="A1181" s="239"/>
      <c r="B1181" s="239"/>
      <c r="C1181" s="264"/>
      <c r="D1181" s="290" t="s">
        <v>1961</v>
      </c>
      <c r="E1181" s="290" t="s">
        <v>1963</v>
      </c>
      <c r="F1181" s="291"/>
      <c r="G1181" s="292"/>
      <c r="H1181" s="291"/>
      <c r="I1181" s="264"/>
      <c r="L1181" s="252"/>
    </row>
    <row r="1182" spans="1:12">
      <c r="A1182" s="239"/>
      <c r="B1182" s="239"/>
      <c r="C1182" s="264"/>
      <c r="D1182" s="264"/>
      <c r="E1182" s="264"/>
      <c r="F1182" s="239"/>
      <c r="G1182" s="265"/>
      <c r="H1182" s="239"/>
      <c r="I1182" s="264"/>
      <c r="L1182" s="252"/>
    </row>
    <row r="1183" spans="1:12">
      <c r="A1183" s="239"/>
      <c r="B1183" s="239"/>
      <c r="C1183" s="264"/>
      <c r="D1183" s="298" t="s">
        <v>1947</v>
      </c>
      <c r="E1183" s="298" t="s">
        <v>1949</v>
      </c>
      <c r="F1183" s="299"/>
      <c r="G1183" s="300"/>
      <c r="H1183" s="299"/>
      <c r="I1183" s="264"/>
      <c r="L1183" s="252"/>
    </row>
    <row r="1184" spans="1:12">
      <c r="A1184" s="239"/>
      <c r="B1184" s="239"/>
      <c r="C1184" s="264"/>
      <c r="D1184" s="298" t="s">
        <v>1948</v>
      </c>
      <c r="E1184" s="298" t="s">
        <v>1950</v>
      </c>
      <c r="F1184" s="299"/>
      <c r="G1184" s="300"/>
      <c r="H1184" s="299"/>
      <c r="I1184" s="264"/>
      <c r="L1184" s="252"/>
    </row>
    <row r="1185" spans="1:12">
      <c r="A1185" s="239"/>
      <c r="B1185" s="239"/>
      <c r="C1185" s="264"/>
      <c r="D1185" s="290" t="s">
        <v>1964</v>
      </c>
      <c r="E1185" s="290" t="s">
        <v>1965</v>
      </c>
      <c r="F1185" s="291">
        <v>2</v>
      </c>
      <c r="G1185" s="292"/>
      <c r="H1185" s="291"/>
      <c r="I1185" s="264" t="s">
        <v>2248</v>
      </c>
      <c r="J1185" s="243" t="s">
        <v>2248</v>
      </c>
      <c r="L1185" s="252"/>
    </row>
    <row r="1186" spans="1:12">
      <c r="A1186" s="239"/>
      <c r="B1186" s="239"/>
      <c r="C1186" s="264"/>
      <c r="D1186" s="290" t="s">
        <v>1966</v>
      </c>
      <c r="E1186" s="290" t="s">
        <v>1967</v>
      </c>
      <c r="F1186" s="291"/>
      <c r="G1186" s="292"/>
      <c r="H1186" s="291"/>
      <c r="I1186" s="264"/>
      <c r="L1186" s="252"/>
    </row>
    <row r="1187" spans="1:12">
      <c r="A1187" s="239"/>
      <c r="B1187" s="239"/>
      <c r="C1187" s="264"/>
      <c r="D1187" s="284" t="s">
        <v>1897</v>
      </c>
      <c r="E1187" s="284" t="s">
        <v>1906</v>
      </c>
      <c r="F1187" s="285">
        <v>20</v>
      </c>
      <c r="G1187" s="286"/>
      <c r="H1187" s="285"/>
      <c r="I1187" s="264" t="s">
        <v>2389</v>
      </c>
      <c r="J1187" s="243" t="s">
        <v>2389</v>
      </c>
      <c r="L1187" s="252"/>
    </row>
    <row r="1188" spans="1:12">
      <c r="A1188" s="239"/>
      <c r="B1188" s="239"/>
      <c r="C1188" s="264"/>
      <c r="D1188" s="284" t="s">
        <v>1898</v>
      </c>
      <c r="E1188" s="284" t="s">
        <v>1907</v>
      </c>
      <c r="F1188" s="285"/>
      <c r="G1188" s="286"/>
      <c r="H1188" s="285"/>
      <c r="I1188" s="264"/>
      <c r="L1188" s="252"/>
    </row>
    <row r="1189" spans="1:12" ht="42">
      <c r="A1189" s="239"/>
      <c r="B1189" s="239"/>
      <c r="C1189" s="264"/>
      <c r="D1189" s="287" t="s">
        <v>1899</v>
      </c>
      <c r="E1189" s="284" t="s">
        <v>1908</v>
      </c>
      <c r="F1189" s="285"/>
      <c r="G1189" s="286"/>
      <c r="H1189" s="285"/>
      <c r="I1189" s="264"/>
      <c r="L1189" s="252"/>
    </row>
    <row r="1190" spans="1:12">
      <c r="A1190" s="239"/>
      <c r="B1190" s="239"/>
      <c r="C1190" s="264"/>
      <c r="D1190" s="304" t="s">
        <v>1968</v>
      </c>
      <c r="E1190" s="298" t="s">
        <v>1908</v>
      </c>
      <c r="F1190" s="299"/>
      <c r="G1190" s="300"/>
      <c r="H1190" s="299"/>
      <c r="I1190" s="264"/>
      <c r="L1190" s="252"/>
    </row>
    <row r="1191" spans="1:12">
      <c r="A1191" s="239"/>
      <c r="B1191" s="239"/>
      <c r="C1191" s="264"/>
      <c r="D1191" s="304" t="s">
        <v>1969</v>
      </c>
      <c r="E1191" s="298" t="s">
        <v>1908</v>
      </c>
      <c r="F1191" s="299"/>
      <c r="G1191" s="300"/>
      <c r="H1191" s="299"/>
      <c r="I1191" s="264"/>
      <c r="L1191" s="252"/>
    </row>
    <row r="1192" spans="1:12" ht="42">
      <c r="A1192" s="239"/>
      <c r="B1192" s="239"/>
      <c r="C1192" s="264"/>
      <c r="D1192" s="287" t="s">
        <v>1900</v>
      </c>
      <c r="E1192" s="284" t="s">
        <v>1908</v>
      </c>
      <c r="F1192" s="285"/>
      <c r="G1192" s="286"/>
      <c r="H1192" s="285"/>
      <c r="I1192" s="264"/>
      <c r="L1192" s="252"/>
    </row>
    <row r="1193" spans="1:12">
      <c r="A1193" s="239"/>
      <c r="B1193" s="239"/>
      <c r="C1193" s="264"/>
      <c r="D1193" s="304" t="s">
        <v>1968</v>
      </c>
      <c r="E1193" s="298" t="s">
        <v>1908</v>
      </c>
      <c r="F1193" s="299"/>
      <c r="G1193" s="300"/>
      <c r="H1193" s="299"/>
      <c r="I1193" s="264"/>
      <c r="L1193" s="252"/>
    </row>
    <row r="1194" spans="1:12">
      <c r="A1194" s="239"/>
      <c r="B1194" s="239"/>
      <c r="C1194" s="264"/>
      <c r="D1194" s="304" t="s">
        <v>1969</v>
      </c>
      <c r="E1194" s="298" t="s">
        <v>1908</v>
      </c>
      <c r="F1194" s="299"/>
      <c r="G1194" s="300"/>
      <c r="H1194" s="299"/>
      <c r="I1194" s="264"/>
      <c r="L1194" s="252"/>
    </row>
    <row r="1195" spans="1:12" ht="42">
      <c r="A1195" s="239"/>
      <c r="B1195" s="239"/>
      <c r="C1195" s="264"/>
      <c r="D1195" s="287" t="s">
        <v>1901</v>
      </c>
      <c r="E1195" s="284" t="s">
        <v>1909</v>
      </c>
      <c r="F1195" s="285"/>
      <c r="G1195" s="286"/>
      <c r="H1195" s="285"/>
      <c r="I1195" s="264"/>
      <c r="L1195" s="252"/>
    </row>
    <row r="1196" spans="1:12">
      <c r="A1196" s="239"/>
      <c r="B1196" s="239"/>
      <c r="C1196" s="264"/>
      <c r="D1196" s="304" t="s">
        <v>1970</v>
      </c>
      <c r="E1196" s="298" t="s">
        <v>1909</v>
      </c>
      <c r="F1196" s="299"/>
      <c r="G1196" s="300"/>
      <c r="H1196" s="299"/>
      <c r="I1196" s="264"/>
      <c r="L1196" s="252"/>
    </row>
    <row r="1197" spans="1:12">
      <c r="A1197" s="239"/>
      <c r="B1197" s="239"/>
      <c r="C1197" s="264"/>
      <c r="D1197" s="304" t="s">
        <v>1971</v>
      </c>
      <c r="E1197" s="298" t="s">
        <v>1909</v>
      </c>
      <c r="F1197" s="299"/>
      <c r="G1197" s="300"/>
      <c r="H1197" s="299"/>
      <c r="I1197" s="264"/>
      <c r="L1197" s="252"/>
    </row>
    <row r="1198" spans="1:12">
      <c r="A1198" s="239"/>
      <c r="B1198" s="239"/>
      <c r="C1198" s="264"/>
      <c r="D1198" s="304" t="s">
        <v>1972</v>
      </c>
      <c r="E1198" s="298" t="s">
        <v>1909</v>
      </c>
      <c r="F1198" s="299"/>
      <c r="G1198" s="300"/>
      <c r="H1198" s="299"/>
      <c r="I1198" s="264"/>
      <c r="L1198" s="252"/>
    </row>
    <row r="1199" spans="1:12">
      <c r="A1199" s="239"/>
      <c r="B1199" s="239"/>
      <c r="C1199" s="264"/>
      <c r="D1199" s="304" t="s">
        <v>1971</v>
      </c>
      <c r="E1199" s="298" t="s">
        <v>1909</v>
      </c>
      <c r="F1199" s="299"/>
      <c r="G1199" s="300"/>
      <c r="H1199" s="299"/>
      <c r="I1199" s="264"/>
      <c r="L1199" s="252"/>
    </row>
    <row r="1200" spans="1:12">
      <c r="A1200" s="239"/>
      <c r="B1200" s="239"/>
      <c r="C1200" s="264"/>
      <c r="D1200" s="283"/>
      <c r="E1200" s="264"/>
      <c r="F1200" s="239"/>
      <c r="G1200" s="265"/>
      <c r="H1200" s="239"/>
      <c r="I1200" s="264"/>
      <c r="L1200" s="252"/>
    </row>
    <row r="1201" spans="1:12" ht="42">
      <c r="A1201" s="239"/>
      <c r="B1201" s="239"/>
      <c r="C1201" s="264"/>
      <c r="D1201" s="287" t="s">
        <v>1902</v>
      </c>
      <c r="E1201" s="284" t="s">
        <v>1909</v>
      </c>
      <c r="F1201" s="285"/>
      <c r="G1201" s="286"/>
      <c r="H1201" s="285"/>
      <c r="I1201" s="264"/>
      <c r="L1201" s="252"/>
    </row>
    <row r="1202" spans="1:12">
      <c r="A1202" s="239"/>
      <c r="B1202" s="239"/>
      <c r="C1202" s="264"/>
      <c r="D1202" s="304" t="s">
        <v>1970</v>
      </c>
      <c r="E1202" s="298" t="s">
        <v>1909</v>
      </c>
      <c r="F1202" s="299"/>
      <c r="G1202" s="300"/>
      <c r="H1202" s="299"/>
      <c r="I1202" s="264"/>
      <c r="L1202" s="252"/>
    </row>
    <row r="1203" spans="1:12">
      <c r="A1203" s="239"/>
      <c r="B1203" s="239"/>
      <c r="C1203" s="264"/>
      <c r="D1203" s="304" t="s">
        <v>1971</v>
      </c>
      <c r="E1203" s="298" t="s">
        <v>1909</v>
      </c>
      <c r="F1203" s="299"/>
      <c r="G1203" s="300"/>
      <c r="H1203" s="299"/>
      <c r="I1203" s="264"/>
      <c r="L1203" s="252"/>
    </row>
    <row r="1204" spans="1:12">
      <c r="A1204" s="239"/>
      <c r="B1204" s="239"/>
      <c r="C1204" s="264"/>
      <c r="D1204" s="304" t="s">
        <v>1972</v>
      </c>
      <c r="E1204" s="298" t="s">
        <v>1909</v>
      </c>
      <c r="F1204" s="299"/>
      <c r="G1204" s="300"/>
      <c r="H1204" s="299"/>
      <c r="I1204" s="264"/>
      <c r="L1204" s="252"/>
    </row>
    <row r="1205" spans="1:12">
      <c r="A1205" s="239"/>
      <c r="B1205" s="239"/>
      <c r="C1205" s="264"/>
      <c r="D1205" s="304" t="s">
        <v>1971</v>
      </c>
      <c r="E1205" s="298" t="s">
        <v>1909</v>
      </c>
      <c r="F1205" s="299"/>
      <c r="G1205" s="300"/>
      <c r="H1205" s="299"/>
      <c r="I1205" s="264"/>
      <c r="L1205" s="252"/>
    </row>
    <row r="1206" spans="1:12">
      <c r="A1206" s="239"/>
      <c r="B1206" s="239"/>
      <c r="C1206" s="264"/>
      <c r="D1206" s="264" t="s">
        <v>1903</v>
      </c>
      <c r="E1206" s="264" t="s">
        <v>1910</v>
      </c>
      <c r="F1206" s="239"/>
      <c r="G1206" s="265"/>
      <c r="H1206" s="239"/>
      <c r="I1206" s="264" t="s">
        <v>2248</v>
      </c>
      <c r="J1206" s="243" t="s">
        <v>2248</v>
      </c>
      <c r="L1206" s="252"/>
    </row>
    <row r="1207" spans="1:12">
      <c r="A1207" s="239"/>
      <c r="B1207" s="239"/>
      <c r="C1207" s="264"/>
      <c r="D1207" s="264" t="s">
        <v>1903</v>
      </c>
      <c r="E1207" s="264" t="s">
        <v>1973</v>
      </c>
      <c r="F1207" s="239"/>
      <c r="G1207" s="265"/>
      <c r="H1207" s="239"/>
      <c r="I1207" s="264"/>
      <c r="L1207" s="252"/>
    </row>
    <row r="1208" spans="1:12">
      <c r="A1208" s="261">
        <v>72180</v>
      </c>
      <c r="B1208" s="261">
        <v>280099616</v>
      </c>
      <c r="C1208" s="262" t="s">
        <v>167</v>
      </c>
      <c r="D1208" s="262" t="s">
        <v>208</v>
      </c>
      <c r="E1208" s="262" t="s">
        <v>207</v>
      </c>
      <c r="F1208" s="261">
        <v>4</v>
      </c>
      <c r="G1208" s="263">
        <v>45806</v>
      </c>
      <c r="H1208" s="261"/>
      <c r="I1208" s="264"/>
      <c r="L1208" s="252"/>
    </row>
    <row r="1209" spans="1:12">
      <c r="A1209" s="261">
        <v>72181</v>
      </c>
      <c r="B1209" s="261">
        <v>280099616</v>
      </c>
      <c r="C1209" s="262" t="s">
        <v>167</v>
      </c>
      <c r="D1209" s="262" t="s">
        <v>210</v>
      </c>
      <c r="E1209" s="262" t="s">
        <v>209</v>
      </c>
      <c r="F1209" s="261">
        <v>2</v>
      </c>
      <c r="G1209" s="263">
        <v>45740</v>
      </c>
      <c r="H1209" s="261"/>
      <c r="I1209" s="283" t="s">
        <v>2151</v>
      </c>
      <c r="L1209" s="252"/>
    </row>
    <row r="1210" spans="1:12">
      <c r="A1210" s="261">
        <v>72183</v>
      </c>
      <c r="B1210" s="261">
        <v>280099616</v>
      </c>
      <c r="C1210" s="262" t="s">
        <v>167</v>
      </c>
      <c r="D1210" s="262" t="s">
        <v>212</v>
      </c>
      <c r="E1210" s="262" t="s">
        <v>211</v>
      </c>
      <c r="F1210" s="261">
        <v>1</v>
      </c>
      <c r="G1210" s="263">
        <v>45740</v>
      </c>
      <c r="H1210" s="261"/>
      <c r="I1210" s="264"/>
      <c r="L1210" s="252"/>
    </row>
    <row r="1211" spans="1:12">
      <c r="A1211" s="261">
        <v>72190</v>
      </c>
      <c r="B1211" s="261">
        <v>280099616</v>
      </c>
      <c r="C1211" s="262" t="s">
        <v>167</v>
      </c>
      <c r="D1211" s="262" t="s">
        <v>214</v>
      </c>
      <c r="E1211" s="262" t="s">
        <v>213</v>
      </c>
      <c r="F1211" s="261">
        <v>3</v>
      </c>
      <c r="G1211" s="263">
        <v>45740</v>
      </c>
      <c r="H1211" s="261"/>
      <c r="I1211" s="264"/>
      <c r="L1211" s="252"/>
    </row>
    <row r="1212" spans="1:12">
      <c r="A1212" s="239">
        <v>72200</v>
      </c>
      <c r="B1212" s="239">
        <v>280099616</v>
      </c>
      <c r="C1212" s="264" t="s">
        <v>167</v>
      </c>
      <c r="D1212" s="264" t="s">
        <v>216</v>
      </c>
      <c r="E1212" s="264" t="s">
        <v>215</v>
      </c>
      <c r="F1212" s="239">
        <v>2</v>
      </c>
      <c r="G1212" s="265">
        <v>45806</v>
      </c>
      <c r="H1212" s="239"/>
      <c r="I1212" s="264"/>
      <c r="L1212" s="252"/>
    </row>
    <row r="1213" spans="1:12">
      <c r="A1213" s="239">
        <v>72203</v>
      </c>
      <c r="B1213" s="239">
        <v>280099616</v>
      </c>
      <c r="C1213" s="264" t="s">
        <v>167</v>
      </c>
      <c r="D1213" s="264" t="s">
        <v>219</v>
      </c>
      <c r="E1213" s="264" t="s">
        <v>218</v>
      </c>
      <c r="F1213" s="239">
        <v>2</v>
      </c>
      <c r="G1213" s="265">
        <v>45806</v>
      </c>
      <c r="H1213" s="239"/>
      <c r="I1213" s="264"/>
      <c r="L1213" s="252"/>
    </row>
    <row r="1214" spans="1:12">
      <c r="A1214" s="239">
        <v>72205</v>
      </c>
      <c r="B1214" s="239" t="s">
        <v>217</v>
      </c>
      <c r="C1214" s="264" t="s">
        <v>167</v>
      </c>
      <c r="D1214" s="264" t="s">
        <v>221</v>
      </c>
      <c r="E1214" s="264" t="s">
        <v>220</v>
      </c>
      <c r="F1214" s="239">
        <v>2</v>
      </c>
      <c r="G1214" s="265">
        <v>45806</v>
      </c>
      <c r="H1214" s="239"/>
      <c r="I1214" s="264"/>
      <c r="L1214" s="252"/>
    </row>
    <row r="1215" spans="1:12">
      <c r="A1215" s="239">
        <v>72207</v>
      </c>
      <c r="B1215" s="239">
        <v>280099616</v>
      </c>
      <c r="C1215" s="264" t="s">
        <v>167</v>
      </c>
      <c r="D1215" s="264" t="s">
        <v>223</v>
      </c>
      <c r="E1215" s="264" t="s">
        <v>222</v>
      </c>
      <c r="F1215" s="239">
        <v>2</v>
      </c>
      <c r="G1215" s="265">
        <v>45806</v>
      </c>
      <c r="H1215" s="239"/>
      <c r="I1215" s="264"/>
      <c r="L1215" s="252"/>
    </row>
    <row r="1216" spans="1:12">
      <c r="A1216" s="239"/>
      <c r="B1216" s="264"/>
      <c r="C1216" s="264"/>
      <c r="D1216" s="264"/>
      <c r="E1216" s="264"/>
      <c r="F1216" s="239"/>
      <c r="G1216" s="265"/>
      <c r="H1216" s="239"/>
      <c r="I1216" s="264"/>
      <c r="L1216" s="252"/>
    </row>
    <row r="1217" spans="1:12" ht="42">
      <c r="A1217" s="239">
        <v>72226</v>
      </c>
      <c r="B1217" s="239">
        <v>4500933778</v>
      </c>
      <c r="C1217" s="264" t="s">
        <v>226</v>
      </c>
      <c r="D1217" s="264" t="s">
        <v>225</v>
      </c>
      <c r="E1217" s="264" t="s">
        <v>224</v>
      </c>
      <c r="F1217" s="239">
        <v>2</v>
      </c>
      <c r="G1217" s="265">
        <v>45832</v>
      </c>
      <c r="H1217" s="303" t="s">
        <v>2282</v>
      </c>
      <c r="I1217" s="308" t="s">
        <v>2151</v>
      </c>
      <c r="J1217" s="245" t="s">
        <v>2182</v>
      </c>
      <c r="L1217" s="252"/>
    </row>
    <row r="1218" spans="1:12">
      <c r="A1218" s="239"/>
      <c r="B1218" s="294"/>
      <c r="C1218" s="264"/>
      <c r="D1218" s="264"/>
      <c r="E1218" s="264"/>
      <c r="F1218" s="239"/>
      <c r="G1218" s="265"/>
      <c r="H1218" s="239"/>
      <c r="I1218" s="264"/>
      <c r="L1218" s="252"/>
    </row>
    <row r="1219" spans="1:12">
      <c r="A1219" s="280">
        <v>72234</v>
      </c>
      <c r="B1219" s="280" t="s">
        <v>227</v>
      </c>
      <c r="C1219" s="281" t="s">
        <v>20</v>
      </c>
      <c r="D1219" s="281" t="s">
        <v>190</v>
      </c>
      <c r="E1219" s="281" t="s">
        <v>189</v>
      </c>
      <c r="F1219" s="280">
        <v>1</v>
      </c>
      <c r="G1219" s="282">
        <v>45985</v>
      </c>
      <c r="H1219" s="280"/>
      <c r="I1219" s="264"/>
      <c r="L1219" s="252"/>
    </row>
    <row r="1220" spans="1:12">
      <c r="A1220" s="239"/>
      <c r="B1220" s="239"/>
      <c r="C1220" s="264"/>
      <c r="D1220" s="284" t="s">
        <v>1849</v>
      </c>
      <c r="E1220" s="284" t="s">
        <v>1857</v>
      </c>
      <c r="F1220" s="285">
        <v>1</v>
      </c>
      <c r="G1220" s="286"/>
      <c r="H1220" s="285"/>
      <c r="I1220" s="264" t="s">
        <v>2389</v>
      </c>
      <c r="J1220" s="243" t="s">
        <v>2389</v>
      </c>
      <c r="L1220" s="252"/>
    </row>
    <row r="1221" spans="1:12">
      <c r="A1221" s="239"/>
      <c r="B1221" s="239"/>
      <c r="C1221" s="264"/>
      <c r="D1221" s="264" t="s">
        <v>1850</v>
      </c>
      <c r="E1221" s="264" t="s">
        <v>1858</v>
      </c>
      <c r="F1221" s="239">
        <v>1</v>
      </c>
      <c r="G1221" s="265"/>
      <c r="H1221" s="239"/>
      <c r="I1221" s="264" t="s">
        <v>2181</v>
      </c>
      <c r="L1221" s="252"/>
    </row>
    <row r="1222" spans="1:12">
      <c r="A1222" s="239"/>
      <c r="B1222" s="239"/>
      <c r="C1222" s="264"/>
      <c r="D1222" s="264" t="s">
        <v>1851</v>
      </c>
      <c r="E1222" s="264" t="s">
        <v>1859</v>
      </c>
      <c r="F1222" s="239">
        <v>1</v>
      </c>
      <c r="G1222" s="265"/>
      <c r="H1222" s="239"/>
      <c r="I1222" s="264" t="s">
        <v>2360</v>
      </c>
      <c r="J1222" s="243" t="s">
        <v>2360</v>
      </c>
      <c r="L1222" s="252"/>
    </row>
    <row r="1223" spans="1:12">
      <c r="A1223" s="239"/>
      <c r="B1223" s="239"/>
      <c r="C1223" s="264"/>
      <c r="D1223" s="264" t="s">
        <v>1852</v>
      </c>
      <c r="E1223" s="264" t="s">
        <v>1860</v>
      </c>
      <c r="F1223" s="239">
        <v>21</v>
      </c>
      <c r="G1223" s="265"/>
      <c r="H1223" s="239"/>
      <c r="I1223" s="264"/>
      <c r="L1223" s="252"/>
    </row>
    <row r="1224" spans="1:12">
      <c r="A1224" s="239"/>
      <c r="B1224" s="239"/>
      <c r="C1224" s="264"/>
      <c r="D1224" s="264" t="s">
        <v>1853</v>
      </c>
      <c r="E1224" s="264" t="s">
        <v>1861</v>
      </c>
      <c r="F1224" s="239">
        <v>4</v>
      </c>
      <c r="G1224" s="265"/>
      <c r="H1224" s="239"/>
      <c r="I1224" s="264"/>
      <c r="L1224" s="252"/>
    </row>
    <row r="1225" spans="1:12">
      <c r="A1225" s="239"/>
      <c r="B1225" s="239"/>
      <c r="C1225" s="264"/>
      <c r="D1225" s="264" t="s">
        <v>1854</v>
      </c>
      <c r="E1225" s="264" t="s">
        <v>1862</v>
      </c>
      <c r="F1225" s="239">
        <v>63</v>
      </c>
      <c r="G1225" s="265"/>
      <c r="H1225" s="239"/>
      <c r="I1225" s="264"/>
      <c r="L1225" s="252"/>
    </row>
    <row r="1226" spans="1:12">
      <c r="A1226" s="239"/>
      <c r="B1226" s="239"/>
      <c r="C1226" s="264"/>
      <c r="D1226" s="264" t="s">
        <v>1855</v>
      </c>
      <c r="E1226" s="264" t="s">
        <v>1863</v>
      </c>
      <c r="F1226" s="239">
        <v>49</v>
      </c>
      <c r="G1226" s="265"/>
      <c r="H1226" s="239"/>
      <c r="I1226" s="264"/>
      <c r="L1226" s="252"/>
    </row>
    <row r="1227" spans="1:12">
      <c r="A1227" s="239"/>
      <c r="B1227" s="239"/>
      <c r="C1227" s="264"/>
      <c r="D1227" s="264" t="s">
        <v>1856</v>
      </c>
      <c r="E1227" s="264" t="s">
        <v>1864</v>
      </c>
      <c r="F1227" s="239">
        <v>11</v>
      </c>
      <c r="G1227" s="265"/>
      <c r="H1227" s="239"/>
      <c r="I1227" s="264"/>
      <c r="L1227" s="252"/>
    </row>
    <row r="1228" spans="1:12">
      <c r="A1228" s="280">
        <v>72235</v>
      </c>
      <c r="B1228" s="280" t="s">
        <v>227</v>
      </c>
      <c r="C1228" s="281" t="s">
        <v>20</v>
      </c>
      <c r="D1228" s="281" t="s">
        <v>192</v>
      </c>
      <c r="E1228" s="281" t="s">
        <v>191</v>
      </c>
      <c r="F1228" s="280">
        <v>1</v>
      </c>
      <c r="G1228" s="282">
        <v>45985</v>
      </c>
      <c r="H1228" s="280"/>
      <c r="I1228" s="264"/>
      <c r="L1228" s="252"/>
    </row>
    <row r="1229" spans="1:12">
      <c r="A1229" s="239"/>
      <c r="B1229" s="239"/>
      <c r="C1229" s="264"/>
      <c r="D1229" s="284" t="s">
        <v>1849</v>
      </c>
      <c r="E1229" s="284" t="s">
        <v>1857</v>
      </c>
      <c r="F1229" s="285">
        <v>1</v>
      </c>
      <c r="G1229" s="286"/>
      <c r="H1229" s="285"/>
      <c r="I1229" s="264" t="s">
        <v>2389</v>
      </c>
      <c r="J1229" s="243" t="s">
        <v>2389</v>
      </c>
      <c r="L1229" s="252"/>
    </row>
    <row r="1230" spans="1:12">
      <c r="A1230" s="239"/>
      <c r="B1230" s="239"/>
      <c r="C1230" s="264"/>
      <c r="D1230" s="264" t="s">
        <v>1850</v>
      </c>
      <c r="E1230" s="264" t="s">
        <v>1858</v>
      </c>
      <c r="F1230" s="239">
        <v>1</v>
      </c>
      <c r="G1230" s="265"/>
      <c r="H1230" s="239"/>
      <c r="I1230" s="264"/>
      <c r="L1230" s="252"/>
    </row>
    <row r="1231" spans="1:12">
      <c r="A1231" s="239"/>
      <c r="B1231" s="239"/>
      <c r="C1231" s="264"/>
      <c r="D1231" s="264" t="s">
        <v>1851</v>
      </c>
      <c r="E1231" s="264" t="s">
        <v>1859</v>
      </c>
      <c r="F1231" s="239">
        <v>1</v>
      </c>
      <c r="G1231" s="265"/>
      <c r="H1231" s="239"/>
      <c r="I1231" s="264"/>
      <c r="L1231" s="252"/>
    </row>
    <row r="1232" spans="1:12">
      <c r="A1232" s="239"/>
      <c r="B1232" s="239"/>
      <c r="C1232" s="264"/>
      <c r="D1232" s="264" t="s">
        <v>1852</v>
      </c>
      <c r="E1232" s="264" t="s">
        <v>1860</v>
      </c>
      <c r="F1232" s="239">
        <v>21</v>
      </c>
      <c r="G1232" s="265"/>
      <c r="H1232" s="239"/>
      <c r="I1232" s="264"/>
      <c r="L1232" s="252"/>
    </row>
    <row r="1233" spans="1:12">
      <c r="A1233" s="239"/>
      <c r="B1233" s="239"/>
      <c r="C1233" s="264"/>
      <c r="D1233" s="264" t="s">
        <v>1853</v>
      </c>
      <c r="E1233" s="264" t="s">
        <v>1861</v>
      </c>
      <c r="F1233" s="239">
        <v>4</v>
      </c>
      <c r="G1233" s="265"/>
      <c r="H1233" s="239"/>
      <c r="I1233" s="264"/>
      <c r="L1233" s="252"/>
    </row>
    <row r="1234" spans="1:12">
      <c r="A1234" s="239"/>
      <c r="B1234" s="239"/>
      <c r="C1234" s="264"/>
      <c r="D1234" s="264" t="s">
        <v>1854</v>
      </c>
      <c r="E1234" s="264" t="s">
        <v>1862</v>
      </c>
      <c r="F1234" s="239">
        <v>63</v>
      </c>
      <c r="G1234" s="265"/>
      <c r="H1234" s="239"/>
      <c r="I1234" s="264"/>
      <c r="L1234" s="252"/>
    </row>
    <row r="1235" spans="1:12">
      <c r="A1235" s="239"/>
      <c r="B1235" s="239"/>
      <c r="C1235" s="264"/>
      <c r="D1235" s="264" t="s">
        <v>1855</v>
      </c>
      <c r="E1235" s="264" t="s">
        <v>1863</v>
      </c>
      <c r="F1235" s="239">
        <v>49</v>
      </c>
      <c r="G1235" s="265"/>
      <c r="H1235" s="239"/>
      <c r="I1235" s="264"/>
      <c r="L1235" s="252"/>
    </row>
    <row r="1236" spans="1:12">
      <c r="A1236" s="239"/>
      <c r="B1236" s="239"/>
      <c r="C1236" s="264"/>
      <c r="D1236" s="264" t="s">
        <v>1856</v>
      </c>
      <c r="E1236" s="264" t="s">
        <v>1864</v>
      </c>
      <c r="F1236" s="239">
        <v>11</v>
      </c>
      <c r="G1236" s="265"/>
      <c r="H1236" s="239"/>
      <c r="I1236" s="264"/>
      <c r="L1236" s="252"/>
    </row>
    <row r="1237" spans="1:12">
      <c r="A1237" s="280">
        <v>72236</v>
      </c>
      <c r="B1237" s="280" t="s">
        <v>227</v>
      </c>
      <c r="C1237" s="281" t="s">
        <v>20</v>
      </c>
      <c r="D1237" s="281" t="s">
        <v>194</v>
      </c>
      <c r="E1237" s="281" t="s">
        <v>193</v>
      </c>
      <c r="F1237" s="280">
        <v>1</v>
      </c>
      <c r="G1237" s="282">
        <v>45985</v>
      </c>
      <c r="H1237" s="280"/>
      <c r="I1237" s="264"/>
      <c r="L1237" s="252"/>
    </row>
    <row r="1238" spans="1:12">
      <c r="A1238" s="239"/>
      <c r="B1238" s="239"/>
      <c r="C1238" s="264"/>
      <c r="D1238" s="284" t="s">
        <v>1867</v>
      </c>
      <c r="E1238" s="284" t="s">
        <v>1868</v>
      </c>
      <c r="F1238" s="285">
        <v>1</v>
      </c>
      <c r="G1238" s="286"/>
      <c r="H1238" s="285"/>
      <c r="I1238" s="264"/>
      <c r="L1238" s="252"/>
    </row>
    <row r="1239" spans="1:12">
      <c r="A1239" s="239"/>
      <c r="B1239" s="239"/>
      <c r="C1239" s="264"/>
      <c r="D1239" s="264" t="s">
        <v>1869</v>
      </c>
      <c r="E1239" s="264" t="s">
        <v>1870</v>
      </c>
      <c r="F1239" s="239">
        <v>1</v>
      </c>
      <c r="G1239" s="265"/>
      <c r="H1239" s="239"/>
      <c r="I1239" s="264"/>
      <c r="L1239" s="252"/>
    </row>
    <row r="1240" spans="1:12">
      <c r="A1240" s="239"/>
      <c r="B1240" s="239"/>
      <c r="C1240" s="264"/>
      <c r="D1240" s="264" t="s">
        <v>1871</v>
      </c>
      <c r="E1240" s="264" t="s">
        <v>1872</v>
      </c>
      <c r="F1240" s="239">
        <v>1</v>
      </c>
      <c r="G1240" s="265"/>
      <c r="H1240" s="239"/>
      <c r="I1240" s="264"/>
      <c r="L1240" s="252"/>
    </row>
    <row r="1241" spans="1:12">
      <c r="A1241" s="239"/>
      <c r="B1241" s="239"/>
      <c r="C1241" s="264"/>
      <c r="D1241" s="264" t="s">
        <v>1852</v>
      </c>
      <c r="E1241" s="264" t="s">
        <v>1860</v>
      </c>
      <c r="F1241" s="239">
        <v>21</v>
      </c>
      <c r="G1241" s="265"/>
      <c r="H1241" s="239"/>
      <c r="I1241" s="264"/>
      <c r="L1241" s="252"/>
    </row>
    <row r="1242" spans="1:12">
      <c r="A1242" s="239"/>
      <c r="B1242" s="239"/>
      <c r="C1242" s="264"/>
      <c r="D1242" s="264" t="s">
        <v>1853</v>
      </c>
      <c r="E1242" s="264" t="s">
        <v>1861</v>
      </c>
      <c r="F1242" s="239">
        <v>4</v>
      </c>
      <c r="G1242" s="265"/>
      <c r="H1242" s="239"/>
      <c r="I1242" s="264"/>
      <c r="L1242" s="252"/>
    </row>
    <row r="1243" spans="1:12">
      <c r="A1243" s="239"/>
      <c r="B1243" s="239"/>
      <c r="C1243" s="264"/>
      <c r="D1243" s="264" t="s">
        <v>1854</v>
      </c>
      <c r="E1243" s="264" t="s">
        <v>1862</v>
      </c>
      <c r="F1243" s="239">
        <v>67</v>
      </c>
      <c r="G1243" s="265"/>
      <c r="H1243" s="239"/>
      <c r="I1243" s="264"/>
      <c r="L1243" s="252"/>
    </row>
    <row r="1244" spans="1:12">
      <c r="A1244" s="239"/>
      <c r="B1244" s="239"/>
      <c r="C1244" s="264"/>
      <c r="D1244" s="264" t="s">
        <v>1873</v>
      </c>
      <c r="E1244" s="264" t="s">
        <v>1863</v>
      </c>
      <c r="F1244" s="239">
        <v>46</v>
      </c>
      <c r="G1244" s="265"/>
      <c r="H1244" s="239"/>
      <c r="I1244" s="264"/>
      <c r="L1244" s="252"/>
    </row>
    <row r="1245" spans="1:12">
      <c r="A1245" s="239"/>
      <c r="B1245" s="239"/>
      <c r="C1245" s="264"/>
      <c r="D1245" s="264" t="s">
        <v>1874</v>
      </c>
      <c r="E1245" s="264" t="s">
        <v>1864</v>
      </c>
      <c r="F1245" s="239">
        <v>10</v>
      </c>
      <c r="G1245" s="265"/>
      <c r="H1245" s="239"/>
      <c r="I1245" s="264"/>
      <c r="L1245" s="252"/>
    </row>
    <row r="1246" spans="1:12">
      <c r="A1246" s="280">
        <v>72237</v>
      </c>
      <c r="B1246" s="280" t="s">
        <v>227</v>
      </c>
      <c r="C1246" s="281" t="s">
        <v>20</v>
      </c>
      <c r="D1246" s="281" t="s">
        <v>196</v>
      </c>
      <c r="E1246" s="281" t="s">
        <v>195</v>
      </c>
      <c r="F1246" s="280">
        <v>1</v>
      </c>
      <c r="G1246" s="282">
        <v>45985</v>
      </c>
      <c r="H1246" s="280"/>
      <c r="I1246" s="264"/>
      <c r="L1246" s="252"/>
    </row>
    <row r="1247" spans="1:12">
      <c r="A1247" s="239"/>
      <c r="B1247" s="239"/>
      <c r="C1247" s="264"/>
      <c r="D1247" s="284" t="s">
        <v>1867</v>
      </c>
      <c r="E1247" s="284" t="s">
        <v>1868</v>
      </c>
      <c r="F1247" s="285">
        <v>1</v>
      </c>
      <c r="G1247" s="286"/>
      <c r="H1247" s="285"/>
      <c r="I1247" s="264"/>
      <c r="L1247" s="252"/>
    </row>
    <row r="1248" spans="1:12">
      <c r="A1248" s="239"/>
      <c r="B1248" s="239"/>
      <c r="C1248" s="264"/>
      <c r="D1248" s="264" t="s">
        <v>1869</v>
      </c>
      <c r="E1248" s="264" t="s">
        <v>1870</v>
      </c>
      <c r="F1248" s="239">
        <v>1</v>
      </c>
      <c r="G1248" s="265"/>
      <c r="H1248" s="239"/>
      <c r="I1248" s="264"/>
      <c r="L1248" s="252"/>
    </row>
    <row r="1249" spans="1:12">
      <c r="A1249" s="239"/>
      <c r="B1249" s="239"/>
      <c r="C1249" s="264"/>
      <c r="D1249" s="264" t="s">
        <v>1871</v>
      </c>
      <c r="E1249" s="264" t="s">
        <v>1872</v>
      </c>
      <c r="F1249" s="239">
        <v>1</v>
      </c>
      <c r="G1249" s="265"/>
      <c r="H1249" s="239"/>
      <c r="I1249" s="264"/>
      <c r="L1249" s="252"/>
    </row>
    <row r="1250" spans="1:12">
      <c r="A1250" s="239"/>
      <c r="B1250" s="239"/>
      <c r="C1250" s="264"/>
      <c r="D1250" s="264" t="s">
        <v>1852</v>
      </c>
      <c r="E1250" s="264" t="s">
        <v>1860</v>
      </c>
      <c r="F1250" s="239">
        <v>21</v>
      </c>
      <c r="G1250" s="265"/>
      <c r="H1250" s="239"/>
      <c r="I1250" s="264"/>
      <c r="L1250" s="252"/>
    </row>
    <row r="1251" spans="1:12">
      <c r="A1251" s="239"/>
      <c r="B1251" s="239"/>
      <c r="C1251" s="264"/>
      <c r="D1251" s="264" t="s">
        <v>1853</v>
      </c>
      <c r="E1251" s="264" t="s">
        <v>1861</v>
      </c>
      <c r="F1251" s="239">
        <v>4</v>
      </c>
      <c r="G1251" s="265"/>
      <c r="H1251" s="239"/>
      <c r="I1251" s="264"/>
      <c r="L1251" s="252"/>
    </row>
    <row r="1252" spans="1:12">
      <c r="A1252" s="239"/>
      <c r="B1252" s="239"/>
      <c r="C1252" s="264"/>
      <c r="D1252" s="264" t="s">
        <v>1854</v>
      </c>
      <c r="E1252" s="264" t="s">
        <v>1862</v>
      </c>
      <c r="F1252" s="239">
        <v>67</v>
      </c>
      <c r="G1252" s="265"/>
      <c r="H1252" s="239"/>
      <c r="I1252" s="264"/>
      <c r="L1252" s="252"/>
    </row>
    <row r="1253" spans="1:12">
      <c r="A1253" s="239"/>
      <c r="B1253" s="239"/>
      <c r="C1253" s="264"/>
      <c r="D1253" s="264" t="s">
        <v>1855</v>
      </c>
      <c r="E1253" s="264" t="s">
        <v>1863</v>
      </c>
      <c r="F1253" s="239">
        <v>46</v>
      </c>
      <c r="G1253" s="265"/>
      <c r="H1253" s="239"/>
      <c r="I1253" s="264"/>
      <c r="L1253" s="252"/>
    </row>
    <row r="1254" spans="1:12">
      <c r="A1254" s="239"/>
      <c r="B1254" s="239"/>
      <c r="C1254" s="264"/>
      <c r="D1254" s="264" t="s">
        <v>1856</v>
      </c>
      <c r="E1254" s="264" t="s">
        <v>1864</v>
      </c>
      <c r="F1254" s="239">
        <v>10</v>
      </c>
      <c r="G1254" s="265"/>
      <c r="H1254" s="239"/>
      <c r="I1254" s="264"/>
      <c r="L1254" s="252"/>
    </row>
    <row r="1255" spans="1:12">
      <c r="A1255" s="280">
        <v>72238</v>
      </c>
      <c r="B1255" s="280" t="s">
        <v>227</v>
      </c>
      <c r="C1255" s="281" t="s">
        <v>20</v>
      </c>
      <c r="D1255" s="281" t="s">
        <v>198</v>
      </c>
      <c r="E1255" s="281" t="s">
        <v>197</v>
      </c>
      <c r="F1255" s="280">
        <v>1</v>
      </c>
      <c r="G1255" s="282">
        <v>45985</v>
      </c>
      <c r="H1255" s="280"/>
      <c r="I1255" s="264"/>
      <c r="L1255" s="252"/>
    </row>
    <row r="1256" spans="1:12">
      <c r="A1256" s="239"/>
      <c r="B1256" s="239"/>
      <c r="C1256" s="264"/>
      <c r="D1256" s="284" t="s">
        <v>1876</v>
      </c>
      <c r="E1256" s="284" t="s">
        <v>1878</v>
      </c>
      <c r="F1256" s="285">
        <v>1</v>
      </c>
      <c r="G1256" s="286"/>
      <c r="H1256" s="285"/>
      <c r="I1256" s="264" t="s">
        <v>2360</v>
      </c>
      <c r="J1256" s="243" t="s">
        <v>2360</v>
      </c>
      <c r="L1256" s="252"/>
    </row>
    <row r="1257" spans="1:12">
      <c r="A1257" s="239"/>
      <c r="B1257" s="239"/>
      <c r="C1257" s="264"/>
      <c r="D1257" s="264" t="s">
        <v>1877</v>
      </c>
      <c r="E1257" s="264" t="s">
        <v>1879</v>
      </c>
      <c r="F1257" s="239">
        <v>1</v>
      </c>
      <c r="G1257" s="265"/>
      <c r="H1257" s="239"/>
      <c r="I1257" s="264" t="s">
        <v>2360</v>
      </c>
      <c r="J1257" s="243" t="s">
        <v>2360</v>
      </c>
      <c r="L1257" s="252"/>
    </row>
    <row r="1258" spans="1:12">
      <c r="A1258" s="239"/>
      <c r="B1258" s="239"/>
      <c r="C1258" s="264"/>
      <c r="D1258" s="264" t="s">
        <v>1852</v>
      </c>
      <c r="E1258" s="264" t="s">
        <v>1860</v>
      </c>
      <c r="F1258" s="239">
        <v>5</v>
      </c>
      <c r="G1258" s="265"/>
      <c r="H1258" s="239"/>
      <c r="I1258" s="264"/>
      <c r="L1258" s="252"/>
    </row>
    <row r="1259" spans="1:12">
      <c r="A1259" s="239"/>
      <c r="B1259" s="239"/>
      <c r="C1259" s="264"/>
      <c r="D1259" s="264" t="s">
        <v>1853</v>
      </c>
      <c r="E1259" s="264" t="s">
        <v>1861</v>
      </c>
      <c r="F1259" s="239">
        <v>5</v>
      </c>
      <c r="G1259" s="265"/>
      <c r="H1259" s="239"/>
      <c r="I1259" s="264"/>
      <c r="L1259" s="252"/>
    </row>
    <row r="1260" spans="1:12">
      <c r="A1260" s="239"/>
      <c r="B1260" s="239"/>
      <c r="C1260" s="264"/>
      <c r="D1260" s="264" t="s">
        <v>1854</v>
      </c>
      <c r="E1260" s="264" t="s">
        <v>1862</v>
      </c>
      <c r="F1260" s="239">
        <v>15</v>
      </c>
      <c r="G1260" s="265"/>
      <c r="H1260" s="239"/>
      <c r="I1260" s="264"/>
      <c r="L1260" s="252"/>
    </row>
    <row r="1261" spans="1:12">
      <c r="A1261" s="239"/>
      <c r="B1261" s="239"/>
      <c r="C1261" s="264"/>
      <c r="D1261" s="264" t="s">
        <v>1855</v>
      </c>
      <c r="E1261" s="264" t="s">
        <v>1863</v>
      </c>
      <c r="F1261" s="239">
        <v>12</v>
      </c>
      <c r="G1261" s="265"/>
      <c r="H1261" s="239"/>
      <c r="I1261" s="264"/>
      <c r="L1261" s="252"/>
    </row>
    <row r="1262" spans="1:12">
      <c r="A1262" s="239"/>
      <c r="B1262" s="239"/>
      <c r="C1262" s="264"/>
      <c r="D1262" s="264" t="s">
        <v>1856</v>
      </c>
      <c r="E1262" s="264" t="s">
        <v>1864</v>
      </c>
      <c r="F1262" s="239">
        <v>5</v>
      </c>
      <c r="G1262" s="265"/>
      <c r="H1262" s="239"/>
      <c r="I1262" s="264"/>
      <c r="L1262" s="252"/>
    </row>
    <row r="1263" spans="1:12">
      <c r="A1263" s="280">
        <v>72239</v>
      </c>
      <c r="B1263" s="280" t="s">
        <v>227</v>
      </c>
      <c r="C1263" s="281" t="s">
        <v>20</v>
      </c>
      <c r="D1263" s="281" t="s">
        <v>200</v>
      </c>
      <c r="E1263" s="281" t="s">
        <v>199</v>
      </c>
      <c r="F1263" s="280">
        <v>1</v>
      </c>
      <c r="G1263" s="282">
        <v>45985</v>
      </c>
      <c r="H1263" s="280"/>
      <c r="I1263" s="264"/>
      <c r="L1263" s="252"/>
    </row>
    <row r="1264" spans="1:12">
      <c r="A1264" s="239"/>
      <c r="B1264" s="239"/>
      <c r="C1264" s="264"/>
      <c r="D1264" s="284" t="s">
        <v>1880</v>
      </c>
      <c r="E1264" s="284" t="s">
        <v>1882</v>
      </c>
      <c r="F1264" s="285">
        <v>1</v>
      </c>
      <c r="G1264" s="286"/>
      <c r="H1264" s="285"/>
      <c r="I1264" s="264"/>
      <c r="L1264" s="252"/>
    </row>
    <row r="1265" spans="1:12">
      <c r="A1265" s="239"/>
      <c r="B1265" s="239"/>
      <c r="C1265" s="264"/>
      <c r="D1265" s="264" t="s">
        <v>1881</v>
      </c>
      <c r="E1265" s="264" t="s">
        <v>1883</v>
      </c>
      <c r="F1265" s="239">
        <v>1</v>
      </c>
      <c r="G1265" s="265"/>
      <c r="H1265" s="239"/>
      <c r="I1265" s="264" t="s">
        <v>2360</v>
      </c>
      <c r="J1265" s="243" t="s">
        <v>2360</v>
      </c>
      <c r="L1265" s="252"/>
    </row>
    <row r="1266" spans="1:12">
      <c r="A1266" s="239"/>
      <c r="B1266" s="239"/>
      <c r="C1266" s="264"/>
      <c r="D1266" s="264" t="s">
        <v>1852</v>
      </c>
      <c r="E1266" s="264" t="s">
        <v>1860</v>
      </c>
      <c r="F1266" s="239">
        <v>5</v>
      </c>
      <c r="G1266" s="265"/>
      <c r="H1266" s="239"/>
      <c r="I1266" s="264"/>
      <c r="L1266" s="252"/>
    </row>
    <row r="1267" spans="1:12">
      <c r="A1267" s="239"/>
      <c r="B1267" s="239"/>
      <c r="C1267" s="264"/>
      <c r="D1267" s="264" t="s">
        <v>1853</v>
      </c>
      <c r="E1267" s="264" t="s">
        <v>1861</v>
      </c>
      <c r="F1267" s="239">
        <v>5</v>
      </c>
      <c r="G1267" s="265"/>
      <c r="H1267" s="239"/>
      <c r="I1267" s="264"/>
      <c r="L1267" s="252"/>
    </row>
    <row r="1268" spans="1:12">
      <c r="A1268" s="239"/>
      <c r="B1268" s="239"/>
      <c r="C1268" s="264"/>
      <c r="D1268" s="264" t="s">
        <v>1854</v>
      </c>
      <c r="E1268" s="264" t="s">
        <v>1862</v>
      </c>
      <c r="F1268" s="239">
        <v>15</v>
      </c>
      <c r="G1268" s="265"/>
      <c r="H1268" s="239"/>
      <c r="I1268" s="264"/>
      <c r="L1268" s="252"/>
    </row>
    <row r="1269" spans="1:12">
      <c r="A1269" s="239"/>
      <c r="B1269" s="239"/>
      <c r="C1269" s="264"/>
      <c r="D1269" s="264" t="s">
        <v>1855</v>
      </c>
      <c r="E1269" s="264" t="s">
        <v>1863</v>
      </c>
      <c r="F1269" s="239">
        <v>12</v>
      </c>
      <c r="G1269" s="265"/>
      <c r="H1269" s="239"/>
      <c r="I1269" s="264"/>
      <c r="L1269" s="252"/>
    </row>
    <row r="1270" spans="1:12">
      <c r="A1270" s="239"/>
      <c r="B1270" s="239"/>
      <c r="C1270" s="264"/>
      <c r="D1270" s="264" t="s">
        <v>1856</v>
      </c>
      <c r="E1270" s="264" t="s">
        <v>1864</v>
      </c>
      <c r="F1270" s="239">
        <v>5</v>
      </c>
      <c r="G1270" s="265"/>
      <c r="H1270" s="239"/>
      <c r="I1270" s="264"/>
      <c r="L1270" s="252"/>
    </row>
    <row r="1271" spans="1:12">
      <c r="A1271" s="280">
        <v>72240</v>
      </c>
      <c r="B1271" s="280" t="s">
        <v>227</v>
      </c>
      <c r="C1271" s="281" t="s">
        <v>20</v>
      </c>
      <c r="D1271" s="281" t="s">
        <v>202</v>
      </c>
      <c r="E1271" s="281" t="s">
        <v>201</v>
      </c>
      <c r="F1271" s="280">
        <v>1</v>
      </c>
      <c r="G1271" s="282">
        <v>45985</v>
      </c>
      <c r="H1271" s="280"/>
      <c r="I1271" s="264"/>
      <c r="L1271" s="252"/>
    </row>
    <row r="1272" spans="1:12">
      <c r="A1272" s="239"/>
      <c r="B1272" s="239"/>
      <c r="C1272" s="264"/>
      <c r="D1272" s="284" t="s">
        <v>1884</v>
      </c>
      <c r="E1272" s="284" t="s">
        <v>1886</v>
      </c>
      <c r="F1272" s="285">
        <v>1</v>
      </c>
      <c r="G1272" s="286"/>
      <c r="H1272" s="285"/>
      <c r="I1272" s="264"/>
      <c r="L1272" s="252"/>
    </row>
    <row r="1273" spans="1:12">
      <c r="A1273" s="239"/>
      <c r="B1273" s="239"/>
      <c r="C1273" s="264"/>
      <c r="D1273" s="264" t="s">
        <v>1885</v>
      </c>
      <c r="E1273" s="264" t="s">
        <v>1887</v>
      </c>
      <c r="F1273" s="239">
        <v>1</v>
      </c>
      <c r="G1273" s="265"/>
      <c r="H1273" s="239"/>
      <c r="I1273" s="264"/>
      <c r="L1273" s="252"/>
    </row>
    <row r="1274" spans="1:12">
      <c r="A1274" s="239"/>
      <c r="B1274" s="239"/>
      <c r="C1274" s="264"/>
      <c r="D1274" s="264" t="s">
        <v>1852</v>
      </c>
      <c r="E1274" s="264" t="s">
        <v>1860</v>
      </c>
      <c r="F1274" s="239">
        <v>7</v>
      </c>
      <c r="G1274" s="265"/>
      <c r="H1274" s="239"/>
      <c r="I1274" s="264"/>
      <c r="L1274" s="252"/>
    </row>
    <row r="1275" spans="1:12">
      <c r="A1275" s="239"/>
      <c r="B1275" s="239"/>
      <c r="C1275" s="264"/>
      <c r="D1275" s="264" t="s">
        <v>1853</v>
      </c>
      <c r="E1275" s="264" t="s">
        <v>1861</v>
      </c>
      <c r="F1275" s="239">
        <v>5</v>
      </c>
      <c r="G1275" s="265"/>
      <c r="H1275" s="239"/>
      <c r="I1275" s="264"/>
      <c r="L1275" s="252"/>
    </row>
    <row r="1276" spans="1:12">
      <c r="A1276" s="239"/>
      <c r="B1276" s="239"/>
      <c r="C1276" s="264"/>
      <c r="D1276" s="264" t="s">
        <v>1854</v>
      </c>
      <c r="E1276" s="264" t="s">
        <v>1862</v>
      </c>
      <c r="F1276" s="239">
        <v>13</v>
      </c>
      <c r="G1276" s="265"/>
      <c r="H1276" s="239"/>
      <c r="I1276" s="264"/>
      <c r="L1276" s="252"/>
    </row>
    <row r="1277" spans="1:12">
      <c r="A1277" s="239"/>
      <c r="B1277" s="239"/>
      <c r="C1277" s="264"/>
      <c r="D1277" s="264" t="s">
        <v>1855</v>
      </c>
      <c r="E1277" s="264" t="s">
        <v>1863</v>
      </c>
      <c r="F1277" s="239">
        <v>10</v>
      </c>
      <c r="G1277" s="265"/>
      <c r="H1277" s="239"/>
      <c r="I1277" s="264"/>
      <c r="L1277" s="252"/>
    </row>
    <row r="1278" spans="1:12">
      <c r="A1278" s="239"/>
      <c r="B1278" s="239"/>
      <c r="C1278" s="264"/>
      <c r="D1278" s="264" t="s">
        <v>1856</v>
      </c>
      <c r="E1278" s="264" t="s">
        <v>1864</v>
      </c>
      <c r="F1278" s="239">
        <v>7</v>
      </c>
      <c r="G1278" s="265"/>
      <c r="H1278" s="239"/>
      <c r="I1278" s="264"/>
      <c r="L1278" s="252"/>
    </row>
    <row r="1279" spans="1:12">
      <c r="A1279" s="280">
        <v>72241</v>
      </c>
      <c r="B1279" s="280" t="s">
        <v>227</v>
      </c>
      <c r="C1279" s="281" t="s">
        <v>20</v>
      </c>
      <c r="D1279" s="281" t="s">
        <v>204</v>
      </c>
      <c r="E1279" s="281" t="s">
        <v>203</v>
      </c>
      <c r="F1279" s="280">
        <v>1</v>
      </c>
      <c r="G1279" s="282">
        <v>45985</v>
      </c>
      <c r="H1279" s="280"/>
      <c r="I1279" s="264"/>
      <c r="L1279" s="252"/>
    </row>
    <row r="1280" spans="1:12">
      <c r="A1280" s="239"/>
      <c r="B1280" s="239"/>
      <c r="C1280" s="264"/>
      <c r="D1280" s="284" t="s">
        <v>1888</v>
      </c>
      <c r="E1280" s="284" t="s">
        <v>1890</v>
      </c>
      <c r="F1280" s="285">
        <v>1</v>
      </c>
      <c r="G1280" s="286"/>
      <c r="H1280" s="285"/>
      <c r="I1280" s="264"/>
      <c r="L1280" s="252"/>
    </row>
    <row r="1281" spans="1:12">
      <c r="A1281" s="239"/>
      <c r="B1281" s="239"/>
      <c r="C1281" s="264"/>
      <c r="D1281" s="264" t="s">
        <v>1889</v>
      </c>
      <c r="E1281" s="264" t="s">
        <v>1891</v>
      </c>
      <c r="F1281" s="239">
        <v>1</v>
      </c>
      <c r="G1281" s="265"/>
      <c r="H1281" s="239"/>
      <c r="I1281" s="264"/>
      <c r="L1281" s="252"/>
    </row>
    <row r="1282" spans="1:12">
      <c r="A1282" s="239"/>
      <c r="B1282" s="239"/>
      <c r="C1282" s="264"/>
      <c r="D1282" s="264" t="s">
        <v>1852</v>
      </c>
      <c r="E1282" s="264" t="s">
        <v>1860</v>
      </c>
      <c r="F1282" s="239">
        <v>7</v>
      </c>
      <c r="G1282" s="265"/>
      <c r="H1282" s="239"/>
      <c r="I1282" s="264"/>
      <c r="L1282" s="252"/>
    </row>
    <row r="1283" spans="1:12">
      <c r="A1283" s="239"/>
      <c r="B1283" s="239"/>
      <c r="C1283" s="264"/>
      <c r="D1283" s="264" t="s">
        <v>1853</v>
      </c>
      <c r="E1283" s="264" t="s">
        <v>1861</v>
      </c>
      <c r="F1283" s="239">
        <v>5</v>
      </c>
      <c r="G1283" s="265"/>
      <c r="H1283" s="239"/>
      <c r="I1283" s="264"/>
      <c r="L1283" s="252"/>
    </row>
    <row r="1284" spans="1:12">
      <c r="A1284" s="239"/>
      <c r="B1284" s="239"/>
      <c r="C1284" s="264"/>
      <c r="D1284" s="264" t="s">
        <v>1853</v>
      </c>
      <c r="E1284" s="264" t="s">
        <v>1862</v>
      </c>
      <c r="F1284" s="239">
        <v>13</v>
      </c>
      <c r="G1284" s="265"/>
      <c r="H1284" s="239"/>
      <c r="I1284" s="264"/>
      <c r="L1284" s="252"/>
    </row>
    <row r="1285" spans="1:12">
      <c r="A1285" s="239"/>
      <c r="B1285" s="239"/>
      <c r="C1285" s="264"/>
      <c r="D1285" s="264" t="s">
        <v>1855</v>
      </c>
      <c r="E1285" s="264" t="s">
        <v>1863</v>
      </c>
      <c r="F1285" s="239">
        <v>10</v>
      </c>
      <c r="G1285" s="265"/>
      <c r="H1285" s="239"/>
      <c r="I1285" s="264"/>
      <c r="L1285" s="252"/>
    </row>
    <row r="1286" spans="1:12">
      <c r="A1286" s="239"/>
      <c r="B1286" s="239"/>
      <c r="C1286" s="264"/>
      <c r="D1286" s="264" t="s">
        <v>1856</v>
      </c>
      <c r="E1286" s="264" t="s">
        <v>1864</v>
      </c>
      <c r="F1286" s="239">
        <v>7</v>
      </c>
      <c r="G1286" s="265"/>
      <c r="H1286" s="239"/>
      <c r="I1286" s="264"/>
      <c r="L1286" s="252"/>
    </row>
    <row r="1287" spans="1:12">
      <c r="A1287" s="280">
        <v>72242</v>
      </c>
      <c r="B1287" s="280" t="s">
        <v>227</v>
      </c>
      <c r="C1287" s="281" t="s">
        <v>20</v>
      </c>
      <c r="D1287" s="281" t="s">
        <v>206</v>
      </c>
      <c r="E1287" s="281" t="s">
        <v>205</v>
      </c>
      <c r="F1287" s="280">
        <v>2</v>
      </c>
      <c r="G1287" s="282">
        <v>45985</v>
      </c>
      <c r="H1287" s="280"/>
      <c r="I1287" s="264"/>
      <c r="L1287" s="252"/>
    </row>
    <row r="1288" spans="1:12">
      <c r="A1288" s="239"/>
      <c r="B1288" s="239"/>
      <c r="C1288" s="264"/>
      <c r="D1288" s="284" t="s">
        <v>1892</v>
      </c>
      <c r="E1288" s="284" t="s">
        <v>1904</v>
      </c>
      <c r="F1288" s="285">
        <v>1</v>
      </c>
      <c r="G1288" s="286"/>
      <c r="H1288" s="285"/>
      <c r="I1288" s="264"/>
      <c r="L1288" s="252"/>
    </row>
    <row r="1289" spans="1:12">
      <c r="A1289" s="239"/>
      <c r="B1289" s="239"/>
      <c r="C1289" s="264"/>
      <c r="D1289" s="298" t="s">
        <v>1911</v>
      </c>
      <c r="E1289" s="298" t="s">
        <v>1916</v>
      </c>
      <c r="F1289" s="299">
        <v>1</v>
      </c>
      <c r="G1289" s="300"/>
      <c r="H1289" s="299"/>
      <c r="I1289" s="264"/>
      <c r="L1289" s="252"/>
    </row>
    <row r="1290" spans="1:12">
      <c r="A1290" s="239"/>
      <c r="B1290" s="239"/>
      <c r="C1290" s="264"/>
      <c r="D1290" s="298" t="s">
        <v>1920</v>
      </c>
      <c r="E1290" s="298" t="s">
        <v>1924</v>
      </c>
      <c r="F1290" s="299">
        <v>1</v>
      </c>
      <c r="G1290" s="300"/>
      <c r="H1290" s="299"/>
      <c r="I1290" s="264" t="s">
        <v>2181</v>
      </c>
      <c r="L1290" s="252"/>
    </row>
    <row r="1291" spans="1:12">
      <c r="A1291" s="239"/>
      <c r="B1291" s="239"/>
      <c r="C1291" s="264"/>
      <c r="D1291" s="298" t="s">
        <v>1921</v>
      </c>
      <c r="E1291" s="298" t="s">
        <v>1925</v>
      </c>
      <c r="F1291" s="299">
        <v>1</v>
      </c>
      <c r="G1291" s="300"/>
      <c r="H1291" s="299"/>
      <c r="I1291" s="264" t="s">
        <v>2151</v>
      </c>
      <c r="L1291" s="252"/>
    </row>
    <row r="1292" spans="1:12">
      <c r="A1292" s="239"/>
      <c r="B1292" s="239"/>
      <c r="C1292" s="264"/>
      <c r="D1292" s="298" t="s">
        <v>1922</v>
      </c>
      <c r="E1292" s="298" t="s">
        <v>1926</v>
      </c>
      <c r="F1292" s="299">
        <v>1</v>
      </c>
      <c r="G1292" s="300"/>
      <c r="H1292" s="299"/>
      <c r="I1292" s="264" t="s">
        <v>2183</v>
      </c>
      <c r="L1292" s="252" t="s">
        <v>2183</v>
      </c>
    </row>
    <row r="1293" spans="1:12">
      <c r="A1293" s="239"/>
      <c r="B1293" s="239"/>
      <c r="C1293" s="264"/>
      <c r="D1293" s="298" t="s">
        <v>1923</v>
      </c>
      <c r="E1293" s="298" t="s">
        <v>1927</v>
      </c>
      <c r="F1293" s="299">
        <v>1</v>
      </c>
      <c r="G1293" s="300"/>
      <c r="H1293" s="299"/>
      <c r="I1293" s="264" t="s">
        <v>2183</v>
      </c>
      <c r="J1293" s="243" t="s">
        <v>2183</v>
      </c>
      <c r="L1293" s="252"/>
    </row>
    <row r="1294" spans="1:12">
      <c r="A1294" s="239"/>
      <c r="B1294" s="239"/>
      <c r="C1294" s="264"/>
      <c r="D1294" s="264"/>
      <c r="E1294" s="264"/>
      <c r="F1294" s="239"/>
      <c r="G1294" s="265"/>
      <c r="H1294" s="239"/>
      <c r="I1294" s="264"/>
      <c r="L1294" s="252"/>
    </row>
    <row r="1295" spans="1:12">
      <c r="A1295" s="239"/>
      <c r="B1295" s="239"/>
      <c r="C1295" s="264"/>
      <c r="D1295" s="298" t="s">
        <v>1912</v>
      </c>
      <c r="E1295" s="298" t="s">
        <v>1917</v>
      </c>
      <c r="F1295" s="299">
        <v>1</v>
      </c>
      <c r="G1295" s="300"/>
      <c r="H1295" s="299"/>
      <c r="I1295" s="264"/>
      <c r="L1295" s="252"/>
    </row>
    <row r="1296" spans="1:12">
      <c r="A1296" s="239"/>
      <c r="B1296" s="239"/>
      <c r="C1296" s="264"/>
      <c r="D1296" s="298" t="s">
        <v>1928</v>
      </c>
      <c r="E1296" s="298" t="s">
        <v>1932</v>
      </c>
      <c r="F1296" s="299">
        <v>1</v>
      </c>
      <c r="G1296" s="300"/>
      <c r="H1296" s="299"/>
      <c r="I1296" s="264"/>
      <c r="L1296" s="252"/>
    </row>
    <row r="1297" spans="1:44">
      <c r="A1297" s="239"/>
      <c r="B1297" s="239"/>
      <c r="C1297" s="264"/>
      <c r="D1297" s="298" t="s">
        <v>1929</v>
      </c>
      <c r="E1297" s="298" t="s">
        <v>1933</v>
      </c>
      <c r="F1297" s="299">
        <v>1</v>
      </c>
      <c r="G1297" s="300"/>
      <c r="H1297" s="299"/>
      <c r="I1297" s="264"/>
      <c r="L1297" s="252"/>
    </row>
    <row r="1298" spans="1:44">
      <c r="A1298" s="239"/>
      <c r="B1298" s="239"/>
      <c r="C1298" s="264"/>
      <c r="D1298" s="298" t="s">
        <v>1930</v>
      </c>
      <c r="E1298" s="298" t="s">
        <v>1934</v>
      </c>
      <c r="F1298" s="299">
        <v>1</v>
      </c>
      <c r="G1298" s="300"/>
      <c r="H1298" s="299"/>
      <c r="I1298" s="264" t="s">
        <v>2181</v>
      </c>
      <c r="L1298" s="252"/>
    </row>
    <row r="1299" spans="1:44">
      <c r="A1299" s="239"/>
      <c r="B1299" s="239"/>
      <c r="C1299" s="264"/>
      <c r="D1299" s="298" t="s">
        <v>1931</v>
      </c>
      <c r="E1299" s="298" t="s">
        <v>1935</v>
      </c>
      <c r="F1299" s="299">
        <v>1</v>
      </c>
      <c r="G1299" s="300"/>
      <c r="H1299" s="299"/>
      <c r="I1299" s="264"/>
      <c r="L1299" s="252"/>
    </row>
    <row r="1300" spans="1:44">
      <c r="A1300" s="239"/>
      <c r="B1300" s="239"/>
      <c r="C1300" s="264"/>
      <c r="D1300" s="264"/>
      <c r="E1300" s="264"/>
      <c r="F1300" s="239"/>
      <c r="G1300" s="265"/>
      <c r="H1300" s="239"/>
      <c r="I1300" s="264"/>
      <c r="L1300" s="252"/>
    </row>
    <row r="1301" spans="1:44">
      <c r="A1301" s="239"/>
      <c r="B1301" s="239"/>
      <c r="C1301" s="264"/>
      <c r="D1301" s="298" t="s">
        <v>1913</v>
      </c>
      <c r="E1301" s="298" t="s">
        <v>1918</v>
      </c>
      <c r="F1301" s="299">
        <v>8</v>
      </c>
      <c r="G1301" s="300"/>
      <c r="H1301" s="299"/>
      <c r="I1301" s="308" t="s">
        <v>2394</v>
      </c>
      <c r="J1301" s="259"/>
      <c r="L1301" s="252"/>
    </row>
    <row r="1302" spans="1:44">
      <c r="A1302" s="239"/>
      <c r="B1302" s="239"/>
      <c r="C1302" s="264"/>
      <c r="D1302" s="264"/>
      <c r="E1302" s="264"/>
      <c r="F1302" s="239"/>
      <c r="G1302" s="265"/>
      <c r="H1302" s="239"/>
      <c r="I1302" s="308"/>
      <c r="J1302" s="259"/>
      <c r="L1302" s="252"/>
    </row>
    <row r="1303" spans="1:44">
      <c r="A1303" s="239"/>
      <c r="B1303" s="239"/>
      <c r="C1303" s="264"/>
      <c r="D1303" s="298" t="s">
        <v>1914</v>
      </c>
      <c r="E1303" s="298" t="s">
        <v>1918</v>
      </c>
      <c r="F1303" s="299">
        <v>8</v>
      </c>
      <c r="G1303" s="300"/>
      <c r="H1303" s="299"/>
      <c r="I1303" s="308" t="s">
        <v>2558</v>
      </c>
      <c r="J1303" s="259"/>
      <c r="L1303" s="252"/>
      <c r="AR1303" s="243" t="s">
        <v>2558</v>
      </c>
    </row>
    <row r="1304" spans="1:44">
      <c r="A1304" s="239"/>
      <c r="B1304" s="239"/>
      <c r="C1304" s="264"/>
      <c r="D1304" s="264"/>
      <c r="E1304" s="264"/>
      <c r="F1304" s="239"/>
      <c r="G1304" s="265"/>
      <c r="H1304" s="239"/>
      <c r="I1304" s="264"/>
      <c r="L1304" s="252"/>
    </row>
    <row r="1305" spans="1:44">
      <c r="A1305" s="239"/>
      <c r="B1305" s="239"/>
      <c r="C1305" s="264"/>
      <c r="D1305" s="298" t="s">
        <v>1915</v>
      </c>
      <c r="E1305" s="298" t="s">
        <v>1919</v>
      </c>
      <c r="F1305" s="299">
        <v>4</v>
      </c>
      <c r="G1305" s="300"/>
      <c r="H1305" s="299"/>
      <c r="I1305" s="264" t="s">
        <v>2389</v>
      </c>
      <c r="L1305" s="252"/>
      <c r="O1305" s="243" t="s">
        <v>2389</v>
      </c>
    </row>
    <row r="1306" spans="1:44">
      <c r="A1306" s="239"/>
      <c r="B1306" s="239"/>
      <c r="C1306" s="264"/>
      <c r="D1306" s="284" t="s">
        <v>1893</v>
      </c>
      <c r="E1306" s="284" t="s">
        <v>1905</v>
      </c>
      <c r="F1306" s="285"/>
      <c r="G1306" s="286"/>
      <c r="H1306" s="285"/>
      <c r="I1306" s="264"/>
      <c r="L1306" s="252"/>
    </row>
    <row r="1307" spans="1:44">
      <c r="A1307" s="239"/>
      <c r="B1307" s="239"/>
      <c r="C1307" s="264"/>
      <c r="D1307" s="298" t="s">
        <v>1936</v>
      </c>
      <c r="E1307" s="298" t="s">
        <v>1938</v>
      </c>
      <c r="F1307" s="299"/>
      <c r="G1307" s="300"/>
      <c r="H1307" s="299"/>
      <c r="I1307" s="264"/>
      <c r="L1307" s="252"/>
    </row>
    <row r="1308" spans="1:44">
      <c r="A1308" s="239"/>
      <c r="B1308" s="239"/>
      <c r="C1308" s="264"/>
      <c r="D1308" s="290" t="s">
        <v>1951</v>
      </c>
      <c r="E1308" s="290" t="s">
        <v>1952</v>
      </c>
      <c r="F1308" s="291"/>
      <c r="G1308" s="292"/>
      <c r="H1308" s="291"/>
      <c r="I1308" s="264"/>
      <c r="L1308" s="252"/>
    </row>
    <row r="1309" spans="1:44">
      <c r="A1309" s="239"/>
      <c r="B1309" s="239"/>
      <c r="C1309" s="264"/>
      <c r="D1309" s="298" t="s">
        <v>1937</v>
      </c>
      <c r="E1309" s="298" t="s">
        <v>1953</v>
      </c>
      <c r="F1309" s="299"/>
      <c r="G1309" s="300"/>
      <c r="H1309" s="299"/>
      <c r="I1309" s="264"/>
      <c r="L1309" s="252"/>
    </row>
    <row r="1310" spans="1:44">
      <c r="A1310" s="239"/>
      <c r="B1310" s="239"/>
      <c r="C1310" s="264"/>
      <c r="D1310" s="298" t="s">
        <v>1954</v>
      </c>
      <c r="E1310" s="290" t="s">
        <v>1955</v>
      </c>
      <c r="F1310" s="291"/>
      <c r="G1310" s="292"/>
      <c r="H1310" s="291"/>
      <c r="I1310" s="264"/>
      <c r="L1310" s="252"/>
    </row>
    <row r="1311" spans="1:44">
      <c r="A1311" s="239"/>
      <c r="B1311" s="239"/>
      <c r="C1311" s="264"/>
      <c r="D1311" s="298" t="s">
        <v>1954</v>
      </c>
      <c r="E1311" s="290" t="s">
        <v>1956</v>
      </c>
      <c r="F1311" s="291"/>
      <c r="G1311" s="292"/>
      <c r="H1311" s="291"/>
      <c r="I1311" s="264"/>
      <c r="L1311" s="252"/>
    </row>
    <row r="1312" spans="1:44">
      <c r="A1312" s="239"/>
      <c r="B1312" s="239"/>
      <c r="C1312" s="264"/>
      <c r="D1312" s="264"/>
      <c r="E1312" s="264"/>
      <c r="F1312" s="239"/>
      <c r="G1312" s="265"/>
      <c r="H1312" s="239"/>
      <c r="I1312" s="264"/>
      <c r="L1312" s="252"/>
    </row>
    <row r="1313" spans="1:12">
      <c r="A1313" s="239"/>
      <c r="B1313" s="239"/>
      <c r="C1313" s="264"/>
      <c r="D1313" s="298" t="s">
        <v>1939</v>
      </c>
      <c r="E1313" s="298" t="s">
        <v>1941</v>
      </c>
      <c r="F1313" s="299"/>
      <c r="G1313" s="300"/>
      <c r="H1313" s="299"/>
      <c r="I1313" s="264"/>
      <c r="L1313" s="252"/>
    </row>
    <row r="1314" spans="1:12">
      <c r="A1314" s="239"/>
      <c r="B1314" s="239"/>
      <c r="C1314" s="264"/>
      <c r="D1314" s="298" t="s">
        <v>1940</v>
      </c>
      <c r="E1314" s="298" t="s">
        <v>1942</v>
      </c>
      <c r="F1314" s="299"/>
      <c r="G1314" s="300"/>
      <c r="H1314" s="299"/>
      <c r="I1314" s="264"/>
      <c r="L1314" s="252"/>
    </row>
    <row r="1315" spans="1:12">
      <c r="A1315" s="239"/>
      <c r="B1315" s="239"/>
      <c r="C1315" s="264"/>
      <c r="D1315" s="290" t="s">
        <v>1954</v>
      </c>
      <c r="E1315" s="290" t="s">
        <v>1957</v>
      </c>
      <c r="F1315" s="291"/>
      <c r="G1315" s="292"/>
      <c r="H1315" s="291"/>
      <c r="I1315" s="264"/>
      <c r="L1315" s="252"/>
    </row>
    <row r="1316" spans="1:12">
      <c r="A1316" s="239"/>
      <c r="B1316" s="239"/>
      <c r="C1316" s="264"/>
      <c r="D1316" s="290" t="s">
        <v>1954</v>
      </c>
      <c r="E1316" s="290" t="s">
        <v>1958</v>
      </c>
      <c r="F1316" s="291"/>
      <c r="G1316" s="292"/>
      <c r="H1316" s="291"/>
      <c r="I1316" s="264"/>
      <c r="L1316" s="252"/>
    </row>
    <row r="1317" spans="1:12">
      <c r="A1317" s="239"/>
      <c r="B1317" s="239"/>
      <c r="C1317" s="264"/>
      <c r="D1317" s="264"/>
      <c r="E1317" s="264"/>
      <c r="F1317" s="239"/>
      <c r="G1317" s="265"/>
      <c r="H1317" s="239"/>
      <c r="I1317" s="264"/>
      <c r="L1317" s="252"/>
    </row>
    <row r="1318" spans="1:12">
      <c r="A1318" s="239"/>
      <c r="B1318" s="239"/>
      <c r="C1318" s="264"/>
      <c r="D1318" s="298" t="s">
        <v>1943</v>
      </c>
      <c r="E1318" s="298" t="s">
        <v>1945</v>
      </c>
      <c r="F1318" s="299"/>
      <c r="G1318" s="300"/>
      <c r="H1318" s="299"/>
      <c r="I1318" s="264"/>
      <c r="L1318" s="252"/>
    </row>
    <row r="1319" spans="1:12">
      <c r="A1319" s="239"/>
      <c r="B1319" s="239"/>
      <c r="C1319" s="264"/>
      <c r="D1319" s="290" t="s">
        <v>1959</v>
      </c>
      <c r="E1319" s="290" t="s">
        <v>1960</v>
      </c>
      <c r="F1319" s="291"/>
      <c r="G1319" s="292"/>
      <c r="H1319" s="291"/>
      <c r="I1319" s="264"/>
      <c r="L1319" s="252"/>
    </row>
    <row r="1320" spans="1:12">
      <c r="A1320" s="239"/>
      <c r="B1320" s="239"/>
      <c r="C1320" s="264"/>
      <c r="D1320" s="298" t="s">
        <v>1944</v>
      </c>
      <c r="E1320" s="298" t="s">
        <v>1946</v>
      </c>
      <c r="F1320" s="299"/>
      <c r="G1320" s="300"/>
      <c r="H1320" s="299"/>
      <c r="I1320" s="264"/>
      <c r="L1320" s="252"/>
    </row>
    <row r="1321" spans="1:12">
      <c r="A1321" s="239"/>
      <c r="B1321" s="239"/>
      <c r="C1321" s="264"/>
      <c r="D1321" s="290" t="s">
        <v>1961</v>
      </c>
      <c r="E1321" s="290" t="s">
        <v>1962</v>
      </c>
      <c r="F1321" s="291"/>
      <c r="G1321" s="292"/>
      <c r="H1321" s="291"/>
      <c r="I1321" s="264"/>
      <c r="L1321" s="252"/>
    </row>
    <row r="1322" spans="1:12">
      <c r="A1322" s="239"/>
      <c r="B1322" s="239"/>
      <c r="C1322" s="264"/>
      <c r="D1322" s="290" t="s">
        <v>1961</v>
      </c>
      <c r="E1322" s="290" t="s">
        <v>1963</v>
      </c>
      <c r="F1322" s="291"/>
      <c r="G1322" s="292"/>
      <c r="H1322" s="291"/>
      <c r="I1322" s="264"/>
      <c r="L1322" s="252"/>
    </row>
    <row r="1323" spans="1:12">
      <c r="A1323" s="239"/>
      <c r="B1323" s="239"/>
      <c r="C1323" s="264"/>
      <c r="D1323" s="264"/>
      <c r="E1323" s="264"/>
      <c r="F1323" s="239"/>
      <c r="G1323" s="265"/>
      <c r="H1323" s="239"/>
      <c r="I1323" s="264"/>
      <c r="L1323" s="252"/>
    </row>
    <row r="1324" spans="1:12">
      <c r="A1324" s="239"/>
      <c r="B1324" s="239"/>
      <c r="C1324" s="264"/>
      <c r="D1324" s="298" t="s">
        <v>1947</v>
      </c>
      <c r="E1324" s="298" t="s">
        <v>1949</v>
      </c>
      <c r="F1324" s="299"/>
      <c r="G1324" s="300"/>
      <c r="H1324" s="299"/>
      <c r="I1324" s="264"/>
      <c r="L1324" s="252"/>
    </row>
    <row r="1325" spans="1:12">
      <c r="A1325" s="239"/>
      <c r="B1325" s="239"/>
      <c r="C1325" s="264"/>
      <c r="D1325" s="298" t="s">
        <v>1948</v>
      </c>
      <c r="E1325" s="298" t="s">
        <v>1950</v>
      </c>
      <c r="F1325" s="299"/>
      <c r="G1325" s="300"/>
      <c r="H1325" s="299"/>
      <c r="I1325" s="264"/>
      <c r="L1325" s="252"/>
    </row>
    <row r="1326" spans="1:12">
      <c r="A1326" s="239"/>
      <c r="B1326" s="239"/>
      <c r="C1326" s="264"/>
      <c r="D1326" s="290" t="s">
        <v>1964</v>
      </c>
      <c r="E1326" s="290" t="s">
        <v>1965</v>
      </c>
      <c r="F1326" s="291"/>
      <c r="G1326" s="292"/>
      <c r="H1326" s="291"/>
      <c r="I1326" s="264"/>
      <c r="L1326" s="252"/>
    </row>
    <row r="1327" spans="1:12">
      <c r="A1327" s="239"/>
      <c r="B1327" s="239"/>
      <c r="C1327" s="264"/>
      <c r="D1327" s="290" t="s">
        <v>1966</v>
      </c>
      <c r="E1327" s="290" t="s">
        <v>1967</v>
      </c>
      <c r="F1327" s="291">
        <v>2</v>
      </c>
      <c r="G1327" s="292"/>
      <c r="H1327" s="291"/>
      <c r="I1327" s="264" t="s">
        <v>2248</v>
      </c>
      <c r="J1327" s="243" t="s">
        <v>2248</v>
      </c>
      <c r="L1327" s="252"/>
    </row>
    <row r="1328" spans="1:12">
      <c r="A1328" s="239"/>
      <c r="B1328" s="239"/>
      <c r="C1328" s="264"/>
      <c r="D1328" s="264"/>
      <c r="E1328" s="264"/>
      <c r="F1328" s="239"/>
      <c r="G1328" s="265"/>
      <c r="H1328" s="239"/>
      <c r="I1328" s="264"/>
      <c r="L1328" s="252"/>
    </row>
    <row r="1329" spans="1:12">
      <c r="A1329" s="239"/>
      <c r="B1329" s="239"/>
      <c r="C1329" s="264"/>
      <c r="D1329" s="284" t="s">
        <v>1894</v>
      </c>
      <c r="E1329" s="284" t="s">
        <v>1905</v>
      </c>
      <c r="F1329" s="285"/>
      <c r="G1329" s="286"/>
      <c r="H1329" s="285"/>
      <c r="I1329" s="264"/>
      <c r="L1329" s="252"/>
    </row>
    <row r="1330" spans="1:12">
      <c r="A1330" s="239"/>
      <c r="B1330" s="239"/>
      <c r="C1330" s="264"/>
      <c r="D1330" s="298" t="s">
        <v>1936</v>
      </c>
      <c r="E1330" s="298" t="s">
        <v>1938</v>
      </c>
      <c r="F1330" s="299"/>
      <c r="G1330" s="300"/>
      <c r="H1330" s="299"/>
      <c r="I1330" s="264"/>
      <c r="L1330" s="252"/>
    </row>
    <row r="1331" spans="1:12">
      <c r="A1331" s="239"/>
      <c r="B1331" s="239"/>
      <c r="C1331" s="264"/>
      <c r="D1331" s="290" t="s">
        <v>1951</v>
      </c>
      <c r="E1331" s="290" t="s">
        <v>1952</v>
      </c>
      <c r="F1331" s="291"/>
      <c r="G1331" s="292"/>
      <c r="H1331" s="291"/>
      <c r="I1331" s="264"/>
      <c r="L1331" s="252"/>
    </row>
    <row r="1332" spans="1:12">
      <c r="A1332" s="239"/>
      <c r="B1332" s="239"/>
      <c r="C1332" s="264"/>
      <c r="D1332" s="298" t="s">
        <v>1937</v>
      </c>
      <c r="E1332" s="298" t="s">
        <v>1953</v>
      </c>
      <c r="F1332" s="299"/>
      <c r="G1332" s="300"/>
      <c r="H1332" s="299"/>
      <c r="I1332" s="264"/>
      <c r="L1332" s="252"/>
    </row>
    <row r="1333" spans="1:12">
      <c r="A1333" s="239"/>
      <c r="B1333" s="239"/>
      <c r="C1333" s="264"/>
      <c r="D1333" s="298" t="s">
        <v>1954</v>
      </c>
      <c r="E1333" s="290" t="s">
        <v>1955</v>
      </c>
      <c r="F1333" s="291"/>
      <c r="G1333" s="292"/>
      <c r="H1333" s="291"/>
      <c r="I1333" s="264"/>
      <c r="L1333" s="252"/>
    </row>
    <row r="1334" spans="1:12">
      <c r="A1334" s="239"/>
      <c r="B1334" s="239"/>
      <c r="C1334" s="264"/>
      <c r="D1334" s="298" t="s">
        <v>1954</v>
      </c>
      <c r="E1334" s="290" t="s">
        <v>1956</v>
      </c>
      <c r="F1334" s="291"/>
      <c r="G1334" s="292"/>
      <c r="H1334" s="291"/>
      <c r="I1334" s="264"/>
      <c r="L1334" s="252"/>
    </row>
    <row r="1335" spans="1:12">
      <c r="A1335" s="239"/>
      <c r="B1335" s="239"/>
      <c r="C1335" s="264"/>
      <c r="D1335" s="264"/>
      <c r="E1335" s="264"/>
      <c r="F1335" s="239"/>
      <c r="G1335" s="265"/>
      <c r="H1335" s="239"/>
      <c r="I1335" s="264"/>
      <c r="L1335" s="252"/>
    </row>
    <row r="1336" spans="1:12">
      <c r="A1336" s="239"/>
      <c r="B1336" s="239"/>
      <c r="C1336" s="264"/>
      <c r="D1336" s="298" t="s">
        <v>1939</v>
      </c>
      <c r="E1336" s="298" t="s">
        <v>1941</v>
      </c>
      <c r="F1336" s="299"/>
      <c r="G1336" s="300"/>
      <c r="H1336" s="299"/>
      <c r="I1336" s="264"/>
      <c r="L1336" s="252"/>
    </row>
    <row r="1337" spans="1:12">
      <c r="A1337" s="239"/>
      <c r="B1337" s="239"/>
      <c r="C1337" s="264"/>
      <c r="D1337" s="298" t="s">
        <v>1940</v>
      </c>
      <c r="E1337" s="298" t="s">
        <v>1942</v>
      </c>
      <c r="F1337" s="299"/>
      <c r="G1337" s="300"/>
      <c r="H1337" s="299"/>
      <c r="I1337" s="264"/>
      <c r="L1337" s="252"/>
    </row>
    <row r="1338" spans="1:12">
      <c r="A1338" s="239"/>
      <c r="B1338" s="239"/>
      <c r="C1338" s="264"/>
      <c r="D1338" s="290" t="s">
        <v>1954</v>
      </c>
      <c r="E1338" s="290" t="s">
        <v>1957</v>
      </c>
      <c r="F1338" s="291"/>
      <c r="G1338" s="292"/>
      <c r="H1338" s="291"/>
      <c r="I1338" s="264"/>
      <c r="L1338" s="252"/>
    </row>
    <row r="1339" spans="1:12">
      <c r="A1339" s="239"/>
      <c r="B1339" s="239"/>
      <c r="C1339" s="264"/>
      <c r="D1339" s="290" t="s">
        <v>1954</v>
      </c>
      <c r="E1339" s="290" t="s">
        <v>1958</v>
      </c>
      <c r="F1339" s="291"/>
      <c r="G1339" s="292"/>
      <c r="H1339" s="291"/>
      <c r="I1339" s="264"/>
      <c r="L1339" s="252"/>
    </row>
    <row r="1340" spans="1:12">
      <c r="A1340" s="239"/>
      <c r="B1340" s="239"/>
      <c r="C1340" s="264"/>
      <c r="D1340" s="264"/>
      <c r="E1340" s="264"/>
      <c r="F1340" s="239"/>
      <c r="G1340" s="265"/>
      <c r="H1340" s="239"/>
      <c r="I1340" s="264"/>
      <c r="L1340" s="252"/>
    </row>
    <row r="1341" spans="1:12">
      <c r="A1341" s="239"/>
      <c r="B1341" s="239"/>
      <c r="C1341" s="264"/>
      <c r="D1341" s="298" t="s">
        <v>1943</v>
      </c>
      <c r="E1341" s="298" t="s">
        <v>1945</v>
      </c>
      <c r="F1341" s="299"/>
      <c r="G1341" s="300"/>
      <c r="H1341" s="299"/>
      <c r="I1341" s="264"/>
      <c r="L1341" s="252"/>
    </row>
    <row r="1342" spans="1:12">
      <c r="A1342" s="239"/>
      <c r="B1342" s="239"/>
      <c r="C1342" s="264"/>
      <c r="D1342" s="290" t="s">
        <v>1959</v>
      </c>
      <c r="E1342" s="290" t="s">
        <v>1960</v>
      </c>
      <c r="F1342" s="291"/>
      <c r="G1342" s="292"/>
      <c r="H1342" s="291"/>
      <c r="I1342" s="264"/>
      <c r="L1342" s="252"/>
    </row>
    <row r="1343" spans="1:12">
      <c r="A1343" s="239"/>
      <c r="B1343" s="239"/>
      <c r="C1343" s="264"/>
      <c r="D1343" s="298" t="s">
        <v>1944</v>
      </c>
      <c r="E1343" s="298" t="s">
        <v>1946</v>
      </c>
      <c r="F1343" s="299"/>
      <c r="G1343" s="300"/>
      <c r="H1343" s="299"/>
      <c r="I1343" s="264"/>
      <c r="L1343" s="252"/>
    </row>
    <row r="1344" spans="1:12">
      <c r="A1344" s="239"/>
      <c r="B1344" s="239"/>
      <c r="C1344" s="264"/>
      <c r="D1344" s="290" t="s">
        <v>1961</v>
      </c>
      <c r="E1344" s="290" t="s">
        <v>1962</v>
      </c>
      <c r="F1344" s="291"/>
      <c r="G1344" s="292"/>
      <c r="H1344" s="291"/>
      <c r="I1344" s="264"/>
      <c r="L1344" s="252"/>
    </row>
    <row r="1345" spans="1:12">
      <c r="A1345" s="239"/>
      <c r="B1345" s="239"/>
      <c r="C1345" s="264"/>
      <c r="D1345" s="290" t="s">
        <v>1961</v>
      </c>
      <c r="E1345" s="290" t="s">
        <v>1963</v>
      </c>
      <c r="F1345" s="291"/>
      <c r="G1345" s="292"/>
      <c r="H1345" s="291"/>
      <c r="I1345" s="264"/>
      <c r="L1345" s="252"/>
    </row>
    <row r="1346" spans="1:12">
      <c r="A1346" s="239"/>
      <c r="B1346" s="239"/>
      <c r="C1346" s="264"/>
      <c r="D1346" s="264"/>
      <c r="E1346" s="264"/>
      <c r="F1346" s="239"/>
      <c r="G1346" s="265"/>
      <c r="H1346" s="239"/>
      <c r="I1346" s="264"/>
      <c r="L1346" s="252"/>
    </row>
    <row r="1347" spans="1:12">
      <c r="A1347" s="239"/>
      <c r="B1347" s="239"/>
      <c r="C1347" s="264"/>
      <c r="D1347" s="298" t="s">
        <v>1947</v>
      </c>
      <c r="E1347" s="298" t="s">
        <v>1949</v>
      </c>
      <c r="F1347" s="299"/>
      <c r="G1347" s="300"/>
      <c r="H1347" s="299"/>
      <c r="I1347" s="264"/>
      <c r="L1347" s="252"/>
    </row>
    <row r="1348" spans="1:12">
      <c r="A1348" s="239"/>
      <c r="B1348" s="239"/>
      <c r="C1348" s="264"/>
      <c r="D1348" s="298" t="s">
        <v>1948</v>
      </c>
      <c r="E1348" s="298" t="s">
        <v>1950</v>
      </c>
      <c r="F1348" s="299"/>
      <c r="G1348" s="300"/>
      <c r="H1348" s="299"/>
      <c r="I1348" s="264"/>
      <c r="L1348" s="252"/>
    </row>
    <row r="1349" spans="1:12">
      <c r="A1349" s="239"/>
      <c r="B1349" s="239"/>
      <c r="C1349" s="264"/>
      <c r="D1349" s="290" t="s">
        <v>1964</v>
      </c>
      <c r="E1349" s="290" t="s">
        <v>1965</v>
      </c>
      <c r="F1349" s="291"/>
      <c r="G1349" s="292"/>
      <c r="H1349" s="291"/>
      <c r="I1349" s="264"/>
      <c r="L1349" s="252"/>
    </row>
    <row r="1350" spans="1:12">
      <c r="A1350" s="239"/>
      <c r="B1350" s="239"/>
      <c r="C1350" s="264"/>
      <c r="D1350" s="290" t="s">
        <v>1966</v>
      </c>
      <c r="E1350" s="290" t="s">
        <v>1967</v>
      </c>
      <c r="F1350" s="291"/>
      <c r="G1350" s="292"/>
      <c r="H1350" s="291"/>
      <c r="I1350" s="264"/>
      <c r="L1350" s="252"/>
    </row>
    <row r="1351" spans="1:12">
      <c r="A1351" s="239"/>
      <c r="B1351" s="239"/>
      <c r="C1351" s="264"/>
      <c r="D1351" s="284" t="s">
        <v>1895</v>
      </c>
      <c r="E1351" s="284" t="s">
        <v>1905</v>
      </c>
      <c r="F1351" s="285"/>
      <c r="G1351" s="286"/>
      <c r="H1351" s="285"/>
      <c r="I1351" s="264"/>
      <c r="L1351" s="252"/>
    </row>
    <row r="1352" spans="1:12">
      <c r="A1352" s="239"/>
      <c r="B1352" s="239"/>
      <c r="C1352" s="264"/>
      <c r="D1352" s="298" t="s">
        <v>1936</v>
      </c>
      <c r="E1352" s="298" t="s">
        <v>1938</v>
      </c>
      <c r="F1352" s="299"/>
      <c r="G1352" s="300"/>
      <c r="H1352" s="299"/>
      <c r="I1352" s="264"/>
      <c r="L1352" s="252"/>
    </row>
    <row r="1353" spans="1:12">
      <c r="A1353" s="239"/>
      <c r="B1353" s="239"/>
      <c r="C1353" s="264"/>
      <c r="D1353" s="290" t="s">
        <v>1951</v>
      </c>
      <c r="E1353" s="290" t="s">
        <v>1952</v>
      </c>
      <c r="F1353" s="291"/>
      <c r="G1353" s="292"/>
      <c r="H1353" s="291"/>
      <c r="I1353" s="264"/>
      <c r="L1353" s="252"/>
    </row>
    <row r="1354" spans="1:12">
      <c r="A1354" s="239"/>
      <c r="B1354" s="239"/>
      <c r="C1354" s="264"/>
      <c r="D1354" s="298" t="s">
        <v>1937</v>
      </c>
      <c r="E1354" s="298" t="s">
        <v>1953</v>
      </c>
      <c r="F1354" s="299"/>
      <c r="G1354" s="300"/>
      <c r="H1354" s="299"/>
      <c r="I1354" s="264"/>
      <c r="L1354" s="252"/>
    </row>
    <row r="1355" spans="1:12">
      <c r="A1355" s="239"/>
      <c r="B1355" s="239"/>
      <c r="C1355" s="264"/>
      <c r="D1355" s="298" t="s">
        <v>1954</v>
      </c>
      <c r="E1355" s="290" t="s">
        <v>1955</v>
      </c>
      <c r="F1355" s="291"/>
      <c r="G1355" s="292"/>
      <c r="H1355" s="291"/>
      <c r="I1355" s="264"/>
      <c r="L1355" s="252"/>
    </row>
    <row r="1356" spans="1:12">
      <c r="A1356" s="239"/>
      <c r="B1356" s="239"/>
      <c r="C1356" s="264"/>
      <c r="D1356" s="298" t="s">
        <v>1954</v>
      </c>
      <c r="E1356" s="290" t="s">
        <v>1956</v>
      </c>
      <c r="F1356" s="291"/>
      <c r="G1356" s="292"/>
      <c r="H1356" s="291"/>
      <c r="I1356" s="264"/>
      <c r="L1356" s="252"/>
    </row>
    <row r="1357" spans="1:12">
      <c r="A1357" s="239"/>
      <c r="B1357" s="239"/>
      <c r="C1357" s="264"/>
      <c r="D1357" s="264"/>
      <c r="E1357" s="264"/>
      <c r="F1357" s="239"/>
      <c r="G1357" s="265"/>
      <c r="H1357" s="239"/>
      <c r="I1357" s="264"/>
      <c r="L1357" s="252"/>
    </row>
    <row r="1358" spans="1:12">
      <c r="A1358" s="239"/>
      <c r="B1358" s="239"/>
      <c r="C1358" s="264"/>
      <c r="D1358" s="298" t="s">
        <v>1939</v>
      </c>
      <c r="E1358" s="298" t="s">
        <v>1941</v>
      </c>
      <c r="F1358" s="299"/>
      <c r="G1358" s="300"/>
      <c r="H1358" s="299"/>
      <c r="I1358" s="264"/>
      <c r="L1358" s="252"/>
    </row>
    <row r="1359" spans="1:12">
      <c r="A1359" s="239"/>
      <c r="B1359" s="239"/>
      <c r="C1359" s="264"/>
      <c r="D1359" s="298" t="s">
        <v>1940</v>
      </c>
      <c r="E1359" s="298" t="s">
        <v>1942</v>
      </c>
      <c r="F1359" s="299"/>
      <c r="G1359" s="300"/>
      <c r="H1359" s="299"/>
      <c r="I1359" s="264"/>
      <c r="L1359" s="252"/>
    </row>
    <row r="1360" spans="1:12">
      <c r="A1360" s="239"/>
      <c r="B1360" s="239"/>
      <c r="C1360" s="264"/>
      <c r="D1360" s="290" t="s">
        <v>1954</v>
      </c>
      <c r="E1360" s="290" t="s">
        <v>1957</v>
      </c>
      <c r="F1360" s="291"/>
      <c r="G1360" s="292"/>
      <c r="H1360" s="291"/>
      <c r="I1360" s="264"/>
      <c r="L1360" s="252"/>
    </row>
    <row r="1361" spans="1:12">
      <c r="A1361" s="239"/>
      <c r="B1361" s="239"/>
      <c r="C1361" s="264"/>
      <c r="D1361" s="290" t="s">
        <v>1954</v>
      </c>
      <c r="E1361" s="290" t="s">
        <v>1958</v>
      </c>
      <c r="F1361" s="291"/>
      <c r="G1361" s="292"/>
      <c r="H1361" s="291"/>
      <c r="I1361" s="264"/>
      <c r="L1361" s="252"/>
    </row>
    <row r="1362" spans="1:12">
      <c r="A1362" s="239"/>
      <c r="B1362" s="239"/>
      <c r="C1362" s="264"/>
      <c r="D1362" s="264"/>
      <c r="E1362" s="264"/>
      <c r="F1362" s="239"/>
      <c r="G1362" s="265"/>
      <c r="H1362" s="239"/>
      <c r="I1362" s="264"/>
      <c r="L1362" s="252"/>
    </row>
    <row r="1363" spans="1:12">
      <c r="A1363" s="239"/>
      <c r="B1363" s="239"/>
      <c r="C1363" s="264"/>
      <c r="D1363" s="298" t="s">
        <v>1943</v>
      </c>
      <c r="E1363" s="298" t="s">
        <v>1945</v>
      </c>
      <c r="F1363" s="299"/>
      <c r="G1363" s="300"/>
      <c r="H1363" s="299"/>
      <c r="I1363" s="264"/>
      <c r="L1363" s="252"/>
    </row>
    <row r="1364" spans="1:12">
      <c r="A1364" s="239"/>
      <c r="B1364" s="239"/>
      <c r="C1364" s="264"/>
      <c r="D1364" s="290" t="s">
        <v>1959</v>
      </c>
      <c r="E1364" s="290" t="s">
        <v>1960</v>
      </c>
      <c r="F1364" s="291"/>
      <c r="G1364" s="292"/>
      <c r="H1364" s="291"/>
      <c r="I1364" s="264"/>
      <c r="L1364" s="252"/>
    </row>
    <row r="1365" spans="1:12">
      <c r="A1365" s="239"/>
      <c r="B1365" s="239"/>
      <c r="C1365" s="264"/>
      <c r="D1365" s="298" t="s">
        <v>1944</v>
      </c>
      <c r="E1365" s="298" t="s">
        <v>1946</v>
      </c>
      <c r="F1365" s="299"/>
      <c r="G1365" s="300"/>
      <c r="H1365" s="299"/>
      <c r="I1365" s="264"/>
      <c r="L1365" s="252"/>
    </row>
    <row r="1366" spans="1:12">
      <c r="A1366" s="239"/>
      <c r="B1366" s="239"/>
      <c r="C1366" s="264"/>
      <c r="D1366" s="290" t="s">
        <v>1961</v>
      </c>
      <c r="E1366" s="290" t="s">
        <v>1962</v>
      </c>
      <c r="F1366" s="291"/>
      <c r="G1366" s="292"/>
      <c r="H1366" s="291"/>
      <c r="I1366" s="264"/>
      <c r="L1366" s="252"/>
    </row>
    <row r="1367" spans="1:12">
      <c r="A1367" s="239"/>
      <c r="B1367" s="239"/>
      <c r="C1367" s="264"/>
      <c r="D1367" s="290" t="s">
        <v>1961</v>
      </c>
      <c r="E1367" s="290" t="s">
        <v>1963</v>
      </c>
      <c r="F1367" s="291"/>
      <c r="G1367" s="292"/>
      <c r="H1367" s="291"/>
      <c r="I1367" s="264"/>
      <c r="L1367" s="252"/>
    </row>
    <row r="1368" spans="1:12">
      <c r="A1368" s="239"/>
      <c r="B1368" s="239"/>
      <c r="C1368" s="264"/>
      <c r="D1368" s="264"/>
      <c r="E1368" s="264"/>
      <c r="F1368" s="239"/>
      <c r="G1368" s="265"/>
      <c r="H1368" s="239"/>
      <c r="I1368" s="264"/>
      <c r="L1368" s="252"/>
    </row>
    <row r="1369" spans="1:12">
      <c r="A1369" s="239"/>
      <c r="B1369" s="239"/>
      <c r="C1369" s="264"/>
      <c r="D1369" s="298" t="s">
        <v>1947</v>
      </c>
      <c r="E1369" s="298" t="s">
        <v>1949</v>
      </c>
      <c r="F1369" s="299"/>
      <c r="G1369" s="300"/>
      <c r="H1369" s="299"/>
      <c r="I1369" s="264"/>
      <c r="L1369" s="252"/>
    </row>
    <row r="1370" spans="1:12">
      <c r="A1370" s="239"/>
      <c r="B1370" s="239"/>
      <c r="C1370" s="264"/>
      <c r="D1370" s="298" t="s">
        <v>1948</v>
      </c>
      <c r="E1370" s="298" t="s">
        <v>1950</v>
      </c>
      <c r="F1370" s="299"/>
      <c r="G1370" s="300"/>
      <c r="H1370" s="299"/>
      <c r="I1370" s="264"/>
      <c r="L1370" s="252"/>
    </row>
    <row r="1371" spans="1:12">
      <c r="A1371" s="239"/>
      <c r="B1371" s="239"/>
      <c r="C1371" s="264"/>
      <c r="D1371" s="290" t="s">
        <v>1964</v>
      </c>
      <c r="E1371" s="290" t="s">
        <v>1965</v>
      </c>
      <c r="F1371" s="291"/>
      <c r="G1371" s="292"/>
      <c r="H1371" s="291"/>
      <c r="I1371" s="264"/>
      <c r="L1371" s="252"/>
    </row>
    <row r="1372" spans="1:12">
      <c r="A1372" s="239"/>
      <c r="B1372" s="239"/>
      <c r="C1372" s="264"/>
      <c r="D1372" s="290" t="s">
        <v>1966</v>
      </c>
      <c r="E1372" s="290" t="s">
        <v>1967</v>
      </c>
      <c r="F1372" s="291"/>
      <c r="G1372" s="292"/>
      <c r="H1372" s="291"/>
      <c r="I1372" s="264"/>
      <c r="L1372" s="252"/>
    </row>
    <row r="1373" spans="1:12">
      <c r="A1373" s="239"/>
      <c r="B1373" s="239"/>
      <c r="C1373" s="264"/>
      <c r="D1373" s="284" t="s">
        <v>1896</v>
      </c>
      <c r="E1373" s="284" t="s">
        <v>1905</v>
      </c>
      <c r="F1373" s="285"/>
      <c r="G1373" s="286"/>
      <c r="H1373" s="285"/>
      <c r="I1373" s="264"/>
      <c r="L1373" s="252"/>
    </row>
    <row r="1374" spans="1:12">
      <c r="A1374" s="239"/>
      <c r="B1374" s="239"/>
      <c r="C1374" s="264"/>
      <c r="D1374" s="298" t="s">
        <v>1936</v>
      </c>
      <c r="E1374" s="298" t="s">
        <v>1938</v>
      </c>
      <c r="F1374" s="299"/>
      <c r="G1374" s="300"/>
      <c r="H1374" s="299"/>
      <c r="I1374" s="264"/>
      <c r="L1374" s="252"/>
    </row>
    <row r="1375" spans="1:12">
      <c r="A1375" s="239"/>
      <c r="B1375" s="239"/>
      <c r="C1375" s="264"/>
      <c r="D1375" s="290" t="s">
        <v>1951</v>
      </c>
      <c r="E1375" s="290" t="s">
        <v>1952</v>
      </c>
      <c r="F1375" s="291"/>
      <c r="G1375" s="292"/>
      <c r="H1375" s="291"/>
      <c r="I1375" s="264"/>
      <c r="L1375" s="252"/>
    </row>
    <row r="1376" spans="1:12">
      <c r="A1376" s="239"/>
      <c r="B1376" s="239"/>
      <c r="C1376" s="264"/>
      <c r="D1376" s="298" t="s">
        <v>1937</v>
      </c>
      <c r="E1376" s="298" t="s">
        <v>1953</v>
      </c>
      <c r="F1376" s="299"/>
      <c r="G1376" s="300"/>
      <c r="H1376" s="299"/>
      <c r="I1376" s="264"/>
      <c r="L1376" s="252"/>
    </row>
    <row r="1377" spans="1:12">
      <c r="A1377" s="239"/>
      <c r="B1377" s="239"/>
      <c r="C1377" s="264"/>
      <c r="D1377" s="298" t="s">
        <v>1954</v>
      </c>
      <c r="E1377" s="290" t="s">
        <v>1955</v>
      </c>
      <c r="F1377" s="291"/>
      <c r="G1377" s="292"/>
      <c r="H1377" s="291"/>
      <c r="I1377" s="264"/>
      <c r="L1377" s="252"/>
    </row>
    <row r="1378" spans="1:12">
      <c r="A1378" s="239"/>
      <c r="B1378" s="239"/>
      <c r="C1378" s="264"/>
      <c r="D1378" s="298" t="s">
        <v>1954</v>
      </c>
      <c r="E1378" s="290" t="s">
        <v>1956</v>
      </c>
      <c r="F1378" s="291"/>
      <c r="G1378" s="292"/>
      <c r="H1378" s="291"/>
      <c r="I1378" s="264"/>
      <c r="L1378" s="252"/>
    </row>
    <row r="1379" spans="1:12">
      <c r="A1379" s="239"/>
      <c r="B1379" s="239"/>
      <c r="C1379" s="264"/>
      <c r="D1379" s="264"/>
      <c r="E1379" s="264"/>
      <c r="F1379" s="239"/>
      <c r="G1379" s="265"/>
      <c r="H1379" s="239"/>
      <c r="I1379" s="264"/>
      <c r="L1379" s="252"/>
    </row>
    <row r="1380" spans="1:12">
      <c r="A1380" s="239"/>
      <c r="B1380" s="239"/>
      <c r="C1380" s="264"/>
      <c r="D1380" s="298" t="s">
        <v>1939</v>
      </c>
      <c r="E1380" s="298" t="s">
        <v>1941</v>
      </c>
      <c r="F1380" s="299"/>
      <c r="G1380" s="300"/>
      <c r="H1380" s="299"/>
      <c r="I1380" s="264"/>
      <c r="L1380" s="252"/>
    </row>
    <row r="1381" spans="1:12">
      <c r="A1381" s="239"/>
      <c r="B1381" s="239"/>
      <c r="C1381" s="264"/>
      <c r="D1381" s="298" t="s">
        <v>1940</v>
      </c>
      <c r="E1381" s="298" t="s">
        <v>1942</v>
      </c>
      <c r="F1381" s="299"/>
      <c r="G1381" s="300"/>
      <c r="H1381" s="299"/>
      <c r="I1381" s="264"/>
      <c r="L1381" s="252"/>
    </row>
    <row r="1382" spans="1:12">
      <c r="A1382" s="239"/>
      <c r="B1382" s="239"/>
      <c r="C1382" s="264"/>
      <c r="D1382" s="290" t="s">
        <v>1954</v>
      </c>
      <c r="E1382" s="290" t="s">
        <v>1957</v>
      </c>
      <c r="F1382" s="291"/>
      <c r="G1382" s="292"/>
      <c r="H1382" s="291"/>
      <c r="I1382" s="264"/>
      <c r="L1382" s="252"/>
    </row>
    <row r="1383" spans="1:12">
      <c r="A1383" s="239"/>
      <c r="B1383" s="239"/>
      <c r="C1383" s="264"/>
      <c r="D1383" s="290" t="s">
        <v>1954</v>
      </c>
      <c r="E1383" s="290" t="s">
        <v>1958</v>
      </c>
      <c r="F1383" s="291"/>
      <c r="G1383" s="292"/>
      <c r="H1383" s="291"/>
      <c r="I1383" s="264"/>
      <c r="L1383" s="252"/>
    </row>
    <row r="1384" spans="1:12">
      <c r="A1384" s="239"/>
      <c r="B1384" s="239"/>
      <c r="C1384" s="264"/>
      <c r="D1384" s="264"/>
      <c r="E1384" s="264"/>
      <c r="F1384" s="239"/>
      <c r="G1384" s="265"/>
      <c r="H1384" s="239"/>
      <c r="I1384" s="264"/>
      <c r="L1384" s="252"/>
    </row>
    <row r="1385" spans="1:12">
      <c r="A1385" s="239"/>
      <c r="B1385" s="239"/>
      <c r="C1385" s="264"/>
      <c r="D1385" s="298" t="s">
        <v>1943</v>
      </c>
      <c r="E1385" s="298" t="s">
        <v>1945</v>
      </c>
      <c r="F1385" s="299"/>
      <c r="G1385" s="300"/>
      <c r="H1385" s="299"/>
      <c r="I1385" s="264"/>
      <c r="L1385" s="252"/>
    </row>
    <row r="1386" spans="1:12">
      <c r="A1386" s="239"/>
      <c r="B1386" s="239"/>
      <c r="C1386" s="264"/>
      <c r="D1386" s="290" t="s">
        <v>1959</v>
      </c>
      <c r="E1386" s="290" t="s">
        <v>1960</v>
      </c>
      <c r="F1386" s="291"/>
      <c r="G1386" s="292"/>
      <c r="H1386" s="291"/>
      <c r="I1386" s="264"/>
      <c r="L1386" s="252"/>
    </row>
    <row r="1387" spans="1:12">
      <c r="A1387" s="239"/>
      <c r="B1387" s="239"/>
      <c r="C1387" s="264"/>
      <c r="D1387" s="298" t="s">
        <v>1944</v>
      </c>
      <c r="E1387" s="298" t="s">
        <v>1946</v>
      </c>
      <c r="F1387" s="299"/>
      <c r="G1387" s="300"/>
      <c r="H1387" s="299"/>
      <c r="I1387" s="264"/>
      <c r="L1387" s="252"/>
    </row>
    <row r="1388" spans="1:12">
      <c r="A1388" s="239"/>
      <c r="B1388" s="239"/>
      <c r="C1388" s="264"/>
      <c r="D1388" s="290" t="s">
        <v>1961</v>
      </c>
      <c r="E1388" s="290" t="s">
        <v>1962</v>
      </c>
      <c r="F1388" s="291"/>
      <c r="G1388" s="292"/>
      <c r="H1388" s="291"/>
      <c r="I1388" s="264"/>
      <c r="L1388" s="252"/>
    </row>
    <row r="1389" spans="1:12">
      <c r="A1389" s="239"/>
      <c r="B1389" s="239"/>
      <c r="C1389" s="264"/>
      <c r="D1389" s="290" t="s">
        <v>1961</v>
      </c>
      <c r="E1389" s="290" t="s">
        <v>1963</v>
      </c>
      <c r="F1389" s="291"/>
      <c r="G1389" s="292"/>
      <c r="H1389" s="291"/>
      <c r="I1389" s="264"/>
      <c r="L1389" s="252"/>
    </row>
    <row r="1390" spans="1:12">
      <c r="A1390" s="239"/>
      <c r="B1390" s="239"/>
      <c r="C1390" s="264"/>
      <c r="D1390" s="264"/>
      <c r="E1390" s="264"/>
      <c r="F1390" s="239"/>
      <c r="G1390" s="265"/>
      <c r="H1390" s="239"/>
      <c r="I1390" s="264"/>
      <c r="L1390" s="252"/>
    </row>
    <row r="1391" spans="1:12">
      <c r="A1391" s="239"/>
      <c r="B1391" s="239"/>
      <c r="C1391" s="264"/>
      <c r="D1391" s="298" t="s">
        <v>1947</v>
      </c>
      <c r="E1391" s="298" t="s">
        <v>1949</v>
      </c>
      <c r="F1391" s="299"/>
      <c r="G1391" s="300"/>
      <c r="H1391" s="299"/>
      <c r="I1391" s="264"/>
      <c r="L1391" s="252"/>
    </row>
    <row r="1392" spans="1:12">
      <c r="A1392" s="239"/>
      <c r="B1392" s="239"/>
      <c r="C1392" s="264"/>
      <c r="D1392" s="298" t="s">
        <v>1948</v>
      </c>
      <c r="E1392" s="298" t="s">
        <v>1950</v>
      </c>
      <c r="F1392" s="299"/>
      <c r="G1392" s="300"/>
      <c r="H1392" s="299"/>
      <c r="I1392" s="264"/>
      <c r="L1392" s="252"/>
    </row>
    <row r="1393" spans="1:12">
      <c r="A1393" s="239"/>
      <c r="B1393" s="239"/>
      <c r="C1393" s="264"/>
      <c r="D1393" s="290" t="s">
        <v>1964</v>
      </c>
      <c r="E1393" s="290" t="s">
        <v>1965</v>
      </c>
      <c r="F1393" s="291"/>
      <c r="G1393" s="292"/>
      <c r="H1393" s="291"/>
      <c r="I1393" s="264"/>
      <c r="L1393" s="252"/>
    </row>
    <row r="1394" spans="1:12">
      <c r="A1394" s="239"/>
      <c r="B1394" s="239"/>
      <c r="C1394" s="264"/>
      <c r="D1394" s="290" t="s">
        <v>1966</v>
      </c>
      <c r="E1394" s="290" t="s">
        <v>1967</v>
      </c>
      <c r="F1394" s="291"/>
      <c r="G1394" s="292"/>
      <c r="H1394" s="291"/>
      <c r="I1394" s="264"/>
      <c r="L1394" s="252"/>
    </row>
    <row r="1395" spans="1:12">
      <c r="A1395" s="239"/>
      <c r="B1395" s="239"/>
      <c r="C1395" s="264"/>
      <c r="D1395" s="284" t="s">
        <v>1897</v>
      </c>
      <c r="E1395" s="284" t="s">
        <v>1906</v>
      </c>
      <c r="F1395" s="285">
        <v>20</v>
      </c>
      <c r="G1395" s="286"/>
      <c r="H1395" s="285"/>
      <c r="I1395" s="264" t="s">
        <v>2389</v>
      </c>
      <c r="J1395" s="243" t="s">
        <v>2389</v>
      </c>
      <c r="L1395" s="252"/>
    </row>
    <row r="1396" spans="1:12">
      <c r="A1396" s="239"/>
      <c r="B1396" s="239"/>
      <c r="C1396" s="264"/>
      <c r="D1396" s="284" t="s">
        <v>1898</v>
      </c>
      <c r="E1396" s="284" t="s">
        <v>1907</v>
      </c>
      <c r="F1396" s="285"/>
      <c r="G1396" s="286"/>
      <c r="H1396" s="285"/>
      <c r="I1396" s="264"/>
      <c r="L1396" s="252"/>
    </row>
    <row r="1397" spans="1:12" ht="42">
      <c r="A1397" s="239"/>
      <c r="B1397" s="239"/>
      <c r="C1397" s="264"/>
      <c r="D1397" s="287" t="s">
        <v>1899</v>
      </c>
      <c r="E1397" s="284" t="s">
        <v>1908</v>
      </c>
      <c r="F1397" s="285"/>
      <c r="G1397" s="286"/>
      <c r="H1397" s="285"/>
      <c r="I1397" s="264"/>
      <c r="L1397" s="252"/>
    </row>
    <row r="1398" spans="1:12">
      <c r="A1398" s="239"/>
      <c r="B1398" s="239"/>
      <c r="C1398" s="264"/>
      <c r="D1398" s="304" t="s">
        <v>1968</v>
      </c>
      <c r="E1398" s="298" t="s">
        <v>1908</v>
      </c>
      <c r="F1398" s="299"/>
      <c r="G1398" s="300"/>
      <c r="H1398" s="299"/>
      <c r="I1398" s="264"/>
      <c r="L1398" s="252"/>
    </row>
    <row r="1399" spans="1:12">
      <c r="A1399" s="239"/>
      <c r="B1399" s="239"/>
      <c r="C1399" s="264"/>
      <c r="D1399" s="304" t="s">
        <v>1969</v>
      </c>
      <c r="E1399" s="298" t="s">
        <v>1908</v>
      </c>
      <c r="F1399" s="299"/>
      <c r="G1399" s="300"/>
      <c r="H1399" s="299"/>
      <c r="I1399" s="264"/>
      <c r="L1399" s="252"/>
    </row>
    <row r="1400" spans="1:12" ht="42">
      <c r="A1400" s="239"/>
      <c r="B1400" s="239"/>
      <c r="C1400" s="264"/>
      <c r="D1400" s="287" t="s">
        <v>1900</v>
      </c>
      <c r="E1400" s="284" t="s">
        <v>1908</v>
      </c>
      <c r="F1400" s="285"/>
      <c r="G1400" s="286"/>
      <c r="H1400" s="285"/>
      <c r="I1400" s="264"/>
      <c r="L1400" s="252"/>
    </row>
    <row r="1401" spans="1:12">
      <c r="A1401" s="239"/>
      <c r="B1401" s="239"/>
      <c r="C1401" s="264"/>
      <c r="D1401" s="304" t="s">
        <v>1968</v>
      </c>
      <c r="E1401" s="298" t="s">
        <v>1908</v>
      </c>
      <c r="F1401" s="299"/>
      <c r="G1401" s="300"/>
      <c r="H1401" s="299"/>
      <c r="I1401" s="264"/>
      <c r="L1401" s="252"/>
    </row>
    <row r="1402" spans="1:12">
      <c r="A1402" s="239"/>
      <c r="B1402" s="239"/>
      <c r="C1402" s="264"/>
      <c r="D1402" s="304" t="s">
        <v>1969</v>
      </c>
      <c r="E1402" s="298" t="s">
        <v>1908</v>
      </c>
      <c r="F1402" s="299"/>
      <c r="G1402" s="300"/>
      <c r="H1402" s="299"/>
      <c r="I1402" s="264"/>
      <c r="L1402" s="252"/>
    </row>
    <row r="1403" spans="1:12" ht="42">
      <c r="A1403" s="239"/>
      <c r="B1403" s="239"/>
      <c r="C1403" s="264"/>
      <c r="D1403" s="287" t="s">
        <v>1901</v>
      </c>
      <c r="E1403" s="284" t="s">
        <v>1909</v>
      </c>
      <c r="F1403" s="285"/>
      <c r="G1403" s="286"/>
      <c r="H1403" s="285"/>
      <c r="I1403" s="264"/>
      <c r="L1403" s="252"/>
    </row>
    <row r="1404" spans="1:12">
      <c r="A1404" s="239"/>
      <c r="B1404" s="239"/>
      <c r="C1404" s="264"/>
      <c r="D1404" s="304" t="s">
        <v>1970</v>
      </c>
      <c r="E1404" s="298" t="s">
        <v>1909</v>
      </c>
      <c r="F1404" s="299"/>
      <c r="G1404" s="300"/>
      <c r="H1404" s="299"/>
      <c r="I1404" s="264"/>
      <c r="L1404" s="252"/>
    </row>
    <row r="1405" spans="1:12">
      <c r="A1405" s="239"/>
      <c r="B1405" s="239"/>
      <c r="C1405" s="264"/>
      <c r="D1405" s="304" t="s">
        <v>1971</v>
      </c>
      <c r="E1405" s="298" t="s">
        <v>1909</v>
      </c>
      <c r="F1405" s="299"/>
      <c r="G1405" s="300"/>
      <c r="H1405" s="299"/>
      <c r="I1405" s="264"/>
      <c r="L1405" s="252"/>
    </row>
    <row r="1406" spans="1:12">
      <c r="A1406" s="239"/>
      <c r="B1406" s="239"/>
      <c r="C1406" s="264"/>
      <c r="D1406" s="304" t="s">
        <v>1972</v>
      </c>
      <c r="E1406" s="298" t="s">
        <v>1909</v>
      </c>
      <c r="F1406" s="299"/>
      <c r="G1406" s="300"/>
      <c r="H1406" s="299"/>
      <c r="I1406" s="264"/>
      <c r="L1406" s="252"/>
    </row>
    <row r="1407" spans="1:12">
      <c r="A1407" s="239"/>
      <c r="B1407" s="239"/>
      <c r="C1407" s="264"/>
      <c r="D1407" s="304" t="s">
        <v>1971</v>
      </c>
      <c r="E1407" s="298" t="s">
        <v>1909</v>
      </c>
      <c r="F1407" s="299"/>
      <c r="G1407" s="300"/>
      <c r="H1407" s="299"/>
      <c r="I1407" s="264"/>
      <c r="L1407" s="252"/>
    </row>
    <row r="1408" spans="1:12">
      <c r="A1408" s="239"/>
      <c r="B1408" s="239"/>
      <c r="C1408" s="264"/>
      <c r="D1408" s="283"/>
      <c r="E1408" s="264"/>
      <c r="F1408" s="239"/>
      <c r="G1408" s="265"/>
      <c r="H1408" s="239"/>
      <c r="I1408" s="264"/>
      <c r="L1408" s="252"/>
    </row>
    <row r="1409" spans="1:52" ht="42">
      <c r="A1409" s="239"/>
      <c r="B1409" s="239"/>
      <c r="C1409" s="264"/>
      <c r="D1409" s="287" t="s">
        <v>1902</v>
      </c>
      <c r="E1409" s="284" t="s">
        <v>1909</v>
      </c>
      <c r="F1409" s="285"/>
      <c r="G1409" s="286"/>
      <c r="H1409" s="285"/>
      <c r="I1409" s="264"/>
      <c r="L1409" s="252"/>
    </row>
    <row r="1410" spans="1:52">
      <c r="A1410" s="239"/>
      <c r="B1410" s="239"/>
      <c r="C1410" s="264"/>
      <c r="D1410" s="304" t="s">
        <v>1970</v>
      </c>
      <c r="E1410" s="298" t="s">
        <v>1909</v>
      </c>
      <c r="F1410" s="299"/>
      <c r="G1410" s="300"/>
      <c r="H1410" s="299"/>
      <c r="I1410" s="264"/>
      <c r="L1410" s="252"/>
    </row>
    <row r="1411" spans="1:52">
      <c r="A1411" s="239"/>
      <c r="B1411" s="239"/>
      <c r="C1411" s="264"/>
      <c r="D1411" s="304" t="s">
        <v>1971</v>
      </c>
      <c r="E1411" s="298" t="s">
        <v>1909</v>
      </c>
      <c r="F1411" s="299"/>
      <c r="G1411" s="300"/>
      <c r="H1411" s="299"/>
      <c r="I1411" s="264"/>
      <c r="L1411" s="252"/>
    </row>
    <row r="1412" spans="1:52">
      <c r="A1412" s="239"/>
      <c r="B1412" s="239"/>
      <c r="C1412" s="264"/>
      <c r="D1412" s="304" t="s">
        <v>1972</v>
      </c>
      <c r="E1412" s="298" t="s">
        <v>1909</v>
      </c>
      <c r="F1412" s="299"/>
      <c r="G1412" s="300"/>
      <c r="H1412" s="299"/>
      <c r="I1412" s="264"/>
      <c r="L1412" s="252"/>
    </row>
    <row r="1413" spans="1:52">
      <c r="A1413" s="239"/>
      <c r="B1413" s="239"/>
      <c r="C1413" s="264"/>
      <c r="D1413" s="304" t="s">
        <v>1971</v>
      </c>
      <c r="E1413" s="298" t="s">
        <v>1909</v>
      </c>
      <c r="F1413" s="299"/>
      <c r="G1413" s="300"/>
      <c r="H1413" s="299"/>
      <c r="I1413" s="264"/>
      <c r="L1413" s="252"/>
    </row>
    <row r="1414" spans="1:52">
      <c r="A1414" s="239"/>
      <c r="B1414" s="239"/>
      <c r="C1414" s="264"/>
      <c r="D1414" s="264" t="s">
        <v>1903</v>
      </c>
      <c r="E1414" s="264" t="s">
        <v>1910</v>
      </c>
      <c r="F1414" s="239"/>
      <c r="G1414" s="265"/>
      <c r="H1414" s="239"/>
      <c r="I1414" s="264"/>
      <c r="L1414" s="252"/>
    </row>
    <row r="1415" spans="1:52">
      <c r="A1415" s="239"/>
      <c r="B1415" s="239"/>
      <c r="C1415" s="264"/>
      <c r="D1415" s="264" t="s">
        <v>1903</v>
      </c>
      <c r="E1415" s="264" t="s">
        <v>1973</v>
      </c>
      <c r="F1415" s="239"/>
      <c r="G1415" s="265"/>
      <c r="H1415" s="239"/>
      <c r="I1415" s="264" t="s">
        <v>2248</v>
      </c>
      <c r="J1415" s="243" t="s">
        <v>2248</v>
      </c>
      <c r="L1415" s="252"/>
    </row>
    <row r="1416" spans="1:52">
      <c r="A1416" s="239"/>
      <c r="B1416" s="239"/>
      <c r="C1416" s="264"/>
      <c r="D1416" s="264"/>
      <c r="E1416" s="264"/>
      <c r="F1416" s="239"/>
      <c r="G1416" s="265"/>
      <c r="H1416" s="239"/>
      <c r="I1416" s="264"/>
      <c r="L1416" s="252"/>
    </row>
    <row r="1417" spans="1:52">
      <c r="A1417" s="280">
        <v>72264</v>
      </c>
      <c r="B1417" s="280" t="s">
        <v>228</v>
      </c>
      <c r="C1417" s="281" t="s">
        <v>20</v>
      </c>
      <c r="D1417" s="281" t="s">
        <v>230</v>
      </c>
      <c r="E1417" s="281" t="s">
        <v>229</v>
      </c>
      <c r="F1417" s="280">
        <v>1</v>
      </c>
      <c r="G1417" s="282">
        <v>45884</v>
      </c>
      <c r="H1417" s="321">
        <v>45891</v>
      </c>
      <c r="I1417" s="308" t="s">
        <v>2151</v>
      </c>
      <c r="J1417" s="245" t="s">
        <v>2209</v>
      </c>
      <c r="L1417" s="252"/>
      <c r="AL1417" s="243" t="s">
        <v>2339</v>
      </c>
      <c r="AM1417" s="243" t="s">
        <v>2339</v>
      </c>
      <c r="AN1417" s="243" t="s">
        <v>2339</v>
      </c>
      <c r="AO1417" s="243" t="s">
        <v>2339</v>
      </c>
      <c r="AP1417" s="243" t="s">
        <v>2433</v>
      </c>
      <c r="AQ1417" s="243" t="s">
        <v>2427</v>
      </c>
      <c r="AR1417" s="243" t="s">
        <v>2427</v>
      </c>
      <c r="AS1417" s="243" t="s">
        <v>2426</v>
      </c>
      <c r="AT1417" s="243" t="s">
        <v>2426</v>
      </c>
    </row>
    <row r="1418" spans="1:52" ht="42">
      <c r="A1418" s="239"/>
      <c r="B1418" s="239"/>
      <c r="C1418" s="264"/>
      <c r="D1418" s="287" t="s">
        <v>1974</v>
      </c>
      <c r="E1418" s="284" t="s">
        <v>579</v>
      </c>
      <c r="F1418" s="285">
        <v>1</v>
      </c>
      <c r="G1418" s="286"/>
      <c r="H1418" s="285"/>
      <c r="I1418" s="308" t="s">
        <v>2151</v>
      </c>
      <c r="J1418" s="245"/>
      <c r="L1418" s="252"/>
    </row>
    <row r="1419" spans="1:52" ht="60">
      <c r="A1419" s="280">
        <v>72265</v>
      </c>
      <c r="B1419" s="280" t="s">
        <v>228</v>
      </c>
      <c r="C1419" s="281" t="s">
        <v>20</v>
      </c>
      <c r="D1419" s="281" t="s">
        <v>232</v>
      </c>
      <c r="E1419" s="281" t="s">
        <v>231</v>
      </c>
      <c r="F1419" s="280">
        <v>1</v>
      </c>
      <c r="G1419" s="282">
        <v>45884</v>
      </c>
      <c r="H1419" s="280"/>
      <c r="I1419" s="308" t="s">
        <v>2151</v>
      </c>
      <c r="J1419" s="245" t="s">
        <v>2209</v>
      </c>
      <c r="L1419" s="252"/>
      <c r="AR1419" s="243" t="s">
        <v>2429</v>
      </c>
      <c r="AS1419" s="243" t="s">
        <v>2339</v>
      </c>
      <c r="AT1419" s="243" t="s">
        <v>2339</v>
      </c>
      <c r="AU1419" s="246" t="s">
        <v>2430</v>
      </c>
      <c r="AV1419" s="246" t="s">
        <v>2487</v>
      </c>
      <c r="AW1419" s="246" t="s">
        <v>2487</v>
      </c>
      <c r="AX1419" s="243" t="s">
        <v>2426</v>
      </c>
      <c r="AY1419" s="243" t="s">
        <v>2426</v>
      </c>
      <c r="AZ1419" s="243" t="s">
        <v>2208</v>
      </c>
    </row>
    <row r="1420" spans="1:52">
      <c r="A1420" s="261"/>
      <c r="B1420" s="261"/>
      <c r="C1420" s="262"/>
      <c r="D1420" s="262" t="s">
        <v>1975</v>
      </c>
      <c r="E1420" s="262" t="s">
        <v>1986</v>
      </c>
      <c r="F1420" s="261">
        <v>1</v>
      </c>
      <c r="G1420" s="263"/>
      <c r="H1420" s="261"/>
      <c r="I1420" s="308" t="s">
        <v>2151</v>
      </c>
      <c r="J1420" s="245"/>
      <c r="L1420" s="252"/>
    </row>
    <row r="1421" spans="1:52">
      <c r="A1421" s="261"/>
      <c r="B1421" s="261"/>
      <c r="C1421" s="262"/>
      <c r="D1421" s="262" t="s">
        <v>1976</v>
      </c>
      <c r="E1421" s="262" t="s">
        <v>1987</v>
      </c>
      <c r="F1421" s="261">
        <v>1</v>
      </c>
      <c r="G1421" s="263"/>
      <c r="H1421" s="261"/>
      <c r="I1421" s="308" t="s">
        <v>2151</v>
      </c>
      <c r="J1421" s="245"/>
      <c r="L1421" s="252"/>
    </row>
    <row r="1422" spans="1:52" ht="42">
      <c r="A1422" s="261"/>
      <c r="B1422" s="261"/>
      <c r="C1422" s="262"/>
      <c r="D1422" s="288" t="s">
        <v>1977</v>
      </c>
      <c r="E1422" s="262" t="s">
        <v>1988</v>
      </c>
      <c r="F1422" s="261">
        <v>1</v>
      </c>
      <c r="G1422" s="263"/>
      <c r="H1422" s="261"/>
      <c r="I1422" s="308" t="s">
        <v>2151</v>
      </c>
      <c r="J1422" s="245"/>
      <c r="L1422" s="252"/>
    </row>
    <row r="1423" spans="1:52">
      <c r="A1423" s="261"/>
      <c r="B1423" s="261"/>
      <c r="C1423" s="262"/>
      <c r="D1423" s="262" t="s">
        <v>1978</v>
      </c>
      <c r="E1423" s="262" t="s">
        <v>1989</v>
      </c>
      <c r="F1423" s="261">
        <v>1</v>
      </c>
      <c r="G1423" s="263"/>
      <c r="H1423" s="261"/>
      <c r="I1423" s="308" t="s">
        <v>2151</v>
      </c>
      <c r="J1423" s="245"/>
      <c r="L1423" s="252"/>
    </row>
    <row r="1424" spans="1:52">
      <c r="A1424" s="239"/>
      <c r="B1424" s="239"/>
      <c r="C1424" s="264"/>
      <c r="D1424" s="264" t="s">
        <v>1979</v>
      </c>
      <c r="E1424" s="264" t="s">
        <v>578</v>
      </c>
      <c r="F1424" s="239">
        <v>1</v>
      </c>
      <c r="G1424" s="265"/>
      <c r="H1424" s="239"/>
      <c r="I1424" s="308" t="s">
        <v>2225</v>
      </c>
      <c r="J1424" s="245" t="s">
        <v>2225</v>
      </c>
      <c r="L1424" s="252"/>
      <c r="AN1424" s="243" t="s">
        <v>2428</v>
      </c>
      <c r="AO1424" s="243" t="s">
        <v>2428</v>
      </c>
      <c r="AP1424" s="243" t="s">
        <v>2427</v>
      </c>
      <c r="AQ1424" s="243" t="s">
        <v>2427</v>
      </c>
    </row>
    <row r="1425" spans="1:36">
      <c r="A1425" s="261"/>
      <c r="B1425" s="261"/>
      <c r="C1425" s="262"/>
      <c r="D1425" s="262" t="s">
        <v>1980</v>
      </c>
      <c r="E1425" s="262" t="s">
        <v>562</v>
      </c>
      <c r="F1425" s="261">
        <v>1</v>
      </c>
      <c r="G1425" s="263"/>
      <c r="H1425" s="261"/>
      <c r="I1425" s="308" t="s">
        <v>2151</v>
      </c>
      <c r="J1425" s="245"/>
      <c r="L1425" s="252"/>
    </row>
    <row r="1426" spans="1:36">
      <c r="A1426" s="261"/>
      <c r="B1426" s="261"/>
      <c r="C1426" s="262"/>
      <c r="D1426" s="262" t="s">
        <v>1981</v>
      </c>
      <c r="E1426" s="262" t="s">
        <v>1990</v>
      </c>
      <c r="F1426" s="261">
        <v>1</v>
      </c>
      <c r="G1426" s="263"/>
      <c r="H1426" s="261"/>
      <c r="I1426" s="308" t="s">
        <v>2151</v>
      </c>
      <c r="J1426" s="245"/>
      <c r="L1426" s="252"/>
    </row>
    <row r="1427" spans="1:36">
      <c r="A1427" s="261"/>
      <c r="B1427" s="261"/>
      <c r="C1427" s="262"/>
      <c r="D1427" s="262" t="s">
        <v>1982</v>
      </c>
      <c r="E1427" s="262" t="s">
        <v>1991</v>
      </c>
      <c r="F1427" s="261">
        <v>1</v>
      </c>
      <c r="G1427" s="263"/>
      <c r="H1427" s="261"/>
      <c r="I1427" s="308" t="s">
        <v>2151</v>
      </c>
      <c r="J1427" s="245"/>
      <c r="L1427" s="252"/>
    </row>
    <row r="1428" spans="1:36">
      <c r="A1428" s="261"/>
      <c r="B1428" s="261"/>
      <c r="C1428" s="262"/>
      <c r="D1428" s="262" t="s">
        <v>1983</v>
      </c>
      <c r="E1428" s="262" t="s">
        <v>1992</v>
      </c>
      <c r="F1428" s="261">
        <v>1</v>
      </c>
      <c r="G1428" s="263"/>
      <c r="H1428" s="261"/>
      <c r="I1428" s="308" t="s">
        <v>2151</v>
      </c>
      <c r="J1428" s="245"/>
      <c r="L1428" s="252"/>
    </row>
    <row r="1429" spans="1:36">
      <c r="A1429" s="261"/>
      <c r="B1429" s="261"/>
      <c r="C1429" s="262"/>
      <c r="D1429" s="262" t="s">
        <v>1984</v>
      </c>
      <c r="E1429" s="262" t="s">
        <v>1993</v>
      </c>
      <c r="F1429" s="261">
        <v>1</v>
      </c>
      <c r="G1429" s="263"/>
      <c r="H1429" s="261"/>
      <c r="I1429" s="308" t="s">
        <v>2151</v>
      </c>
      <c r="J1429" s="245"/>
      <c r="L1429" s="252"/>
    </row>
    <row r="1430" spans="1:36">
      <c r="A1430" s="261"/>
      <c r="B1430" s="261"/>
      <c r="C1430" s="262"/>
      <c r="D1430" s="262" t="s">
        <v>1256</v>
      </c>
      <c r="E1430" s="262" t="s">
        <v>1994</v>
      </c>
      <c r="F1430" s="261">
        <v>1</v>
      </c>
      <c r="G1430" s="263"/>
      <c r="H1430" s="261"/>
      <c r="I1430" s="308" t="s">
        <v>2151</v>
      </c>
      <c r="J1430" s="245"/>
      <c r="L1430" s="252"/>
    </row>
    <row r="1431" spans="1:36">
      <c r="A1431" s="261"/>
      <c r="B1431" s="261"/>
      <c r="C1431" s="262"/>
      <c r="D1431" s="262" t="s">
        <v>1985</v>
      </c>
      <c r="E1431" s="262" t="s">
        <v>1995</v>
      </c>
      <c r="F1431" s="261">
        <v>1</v>
      </c>
      <c r="G1431" s="263"/>
      <c r="H1431" s="261"/>
      <c r="I1431" s="308" t="s">
        <v>2151</v>
      </c>
      <c r="J1431" s="245"/>
      <c r="L1431" s="252"/>
    </row>
    <row r="1432" spans="1:36">
      <c r="A1432" s="261"/>
      <c r="B1432" s="261"/>
      <c r="C1432" s="262"/>
      <c r="D1432" s="262" t="s">
        <v>1996</v>
      </c>
      <c r="E1432" s="262" t="s">
        <v>561</v>
      </c>
      <c r="F1432" s="261">
        <v>1</v>
      </c>
      <c r="G1432" s="263"/>
      <c r="H1432" s="261"/>
      <c r="I1432" s="308" t="s">
        <v>2151</v>
      </c>
      <c r="J1432" s="245"/>
      <c r="L1432" s="252"/>
    </row>
    <row r="1433" spans="1:36">
      <c r="A1433" s="239"/>
      <c r="B1433" s="294"/>
      <c r="C1433" s="264"/>
      <c r="D1433" s="264"/>
      <c r="E1433" s="264"/>
      <c r="F1433" s="239"/>
      <c r="G1433" s="265"/>
      <c r="H1433" s="239"/>
      <c r="I1433" s="308"/>
      <c r="J1433" s="245"/>
      <c r="L1433" s="252"/>
    </row>
    <row r="1434" spans="1:36" ht="180">
      <c r="A1434" s="261">
        <v>72272</v>
      </c>
      <c r="B1434" s="261">
        <v>88308</v>
      </c>
      <c r="C1434" s="262" t="s">
        <v>164</v>
      </c>
      <c r="D1434" s="262" t="s">
        <v>912</v>
      </c>
      <c r="E1434" s="319">
        <v>700567102</v>
      </c>
      <c r="F1434" s="261" t="s">
        <v>1865</v>
      </c>
      <c r="G1434" s="263">
        <v>45790</v>
      </c>
      <c r="H1434" s="261"/>
      <c r="I1434" s="311" t="s">
        <v>2151</v>
      </c>
      <c r="J1434" s="245"/>
      <c r="L1434" s="252"/>
      <c r="AC1434" s="246" t="s">
        <v>2179</v>
      </c>
      <c r="AD1434" s="246" t="s">
        <v>2179</v>
      </c>
      <c r="AE1434" s="246" t="s">
        <v>2179</v>
      </c>
      <c r="AF1434" s="246" t="s">
        <v>2179</v>
      </c>
      <c r="AG1434" s="246" t="s">
        <v>2179</v>
      </c>
      <c r="AH1434" s="246" t="s">
        <v>2179</v>
      </c>
      <c r="AI1434" s="246" t="s">
        <v>2179</v>
      </c>
      <c r="AJ1434" s="246" t="s">
        <v>2403</v>
      </c>
    </row>
    <row r="1435" spans="1:36">
      <c r="A1435" s="239"/>
      <c r="B1435" s="294"/>
      <c r="C1435" s="264"/>
      <c r="D1435" s="264"/>
      <c r="E1435" s="310"/>
      <c r="F1435" s="239"/>
      <c r="G1435" s="265"/>
      <c r="H1435" s="239"/>
      <c r="I1435" s="308"/>
      <c r="J1435" s="245"/>
      <c r="L1435" s="252"/>
    </row>
    <row r="1436" spans="1:36">
      <c r="A1436" s="280">
        <v>72276</v>
      </c>
      <c r="B1436" s="280" t="s">
        <v>233</v>
      </c>
      <c r="C1436" s="281" t="s">
        <v>20</v>
      </c>
      <c r="D1436" s="281" t="s">
        <v>235</v>
      </c>
      <c r="E1436" s="281" t="s">
        <v>234</v>
      </c>
      <c r="F1436" s="280">
        <v>5</v>
      </c>
      <c r="G1436" s="282">
        <v>45844</v>
      </c>
      <c r="H1436" s="280" t="s">
        <v>2640</v>
      </c>
      <c r="I1436" s="308" t="s">
        <v>2151</v>
      </c>
      <c r="J1436" s="245"/>
      <c r="L1436" s="252"/>
    </row>
    <row r="1437" spans="1:36">
      <c r="A1437" s="261"/>
      <c r="B1437" s="261"/>
      <c r="C1437" s="262"/>
      <c r="D1437" s="262" t="s">
        <v>1997</v>
      </c>
      <c r="E1437" s="262" t="s">
        <v>2000</v>
      </c>
      <c r="F1437" s="261">
        <v>1</v>
      </c>
      <c r="G1437" s="263"/>
      <c r="H1437" s="261"/>
      <c r="I1437" s="308" t="s">
        <v>2151</v>
      </c>
      <c r="J1437" s="245"/>
      <c r="L1437" s="252"/>
    </row>
    <row r="1438" spans="1:36">
      <c r="A1438" s="261"/>
      <c r="B1438" s="261"/>
      <c r="C1438" s="262"/>
      <c r="D1438" s="262" t="s">
        <v>1998</v>
      </c>
      <c r="E1438" s="262" t="s">
        <v>2001</v>
      </c>
      <c r="F1438" s="261">
        <v>1</v>
      </c>
      <c r="G1438" s="263"/>
      <c r="H1438" s="261"/>
      <c r="I1438" s="308" t="s">
        <v>2151</v>
      </c>
      <c r="J1438" s="245"/>
      <c r="L1438" s="252"/>
    </row>
    <row r="1439" spans="1:36">
      <c r="A1439" s="261"/>
      <c r="B1439" s="261"/>
      <c r="C1439" s="262"/>
      <c r="D1439" s="262" t="s">
        <v>1999</v>
      </c>
      <c r="E1439" s="262" t="s">
        <v>2002</v>
      </c>
      <c r="F1439" s="261">
        <v>1</v>
      </c>
      <c r="G1439" s="263"/>
      <c r="H1439" s="261"/>
      <c r="I1439" s="308" t="s">
        <v>2151</v>
      </c>
      <c r="J1439" s="245"/>
      <c r="L1439" s="252"/>
    </row>
    <row r="1440" spans="1:36">
      <c r="A1440" s="280">
        <v>72277</v>
      </c>
      <c r="B1440" s="280" t="s">
        <v>233</v>
      </c>
      <c r="C1440" s="281" t="s">
        <v>20</v>
      </c>
      <c r="D1440" s="281" t="s">
        <v>237</v>
      </c>
      <c r="E1440" s="281" t="s">
        <v>236</v>
      </c>
      <c r="F1440" s="280">
        <v>5</v>
      </c>
      <c r="G1440" s="282">
        <v>45844</v>
      </c>
      <c r="H1440" s="280" t="s">
        <v>2640</v>
      </c>
      <c r="I1440" s="308" t="s">
        <v>2151</v>
      </c>
      <c r="J1440" s="245"/>
      <c r="L1440" s="252"/>
    </row>
    <row r="1441" spans="1:111">
      <c r="A1441" s="261"/>
      <c r="B1441" s="261"/>
      <c r="C1441" s="262"/>
      <c r="D1441" s="262" t="s">
        <v>2003</v>
      </c>
      <c r="E1441" s="262" t="s">
        <v>2005</v>
      </c>
      <c r="F1441" s="261">
        <v>1</v>
      </c>
      <c r="G1441" s="263"/>
      <c r="H1441" s="261"/>
      <c r="I1441" s="308" t="s">
        <v>2151</v>
      </c>
      <c r="J1441" s="245"/>
      <c r="L1441" s="252"/>
    </row>
    <row r="1442" spans="1:111">
      <c r="A1442" s="261"/>
      <c r="B1442" s="261"/>
      <c r="C1442" s="262"/>
      <c r="D1442" s="262" t="s">
        <v>2004</v>
      </c>
      <c r="E1442" s="262" t="s">
        <v>2006</v>
      </c>
      <c r="F1442" s="261">
        <v>1</v>
      </c>
      <c r="G1442" s="263"/>
      <c r="H1442" s="261"/>
      <c r="I1442" s="308" t="s">
        <v>2151</v>
      </c>
      <c r="J1442" s="245"/>
      <c r="L1442" s="252"/>
    </row>
    <row r="1443" spans="1:111">
      <c r="A1443" s="261"/>
      <c r="B1443" s="261"/>
      <c r="C1443" s="262"/>
      <c r="D1443" s="262" t="s">
        <v>1999</v>
      </c>
      <c r="E1443" s="262" t="s">
        <v>2002</v>
      </c>
      <c r="F1443" s="261">
        <v>1</v>
      </c>
      <c r="G1443" s="263"/>
      <c r="H1443" s="261"/>
      <c r="I1443" s="308" t="s">
        <v>2151</v>
      </c>
      <c r="J1443" s="245"/>
      <c r="L1443" s="252"/>
    </row>
    <row r="1444" spans="1:111">
      <c r="A1444" s="280">
        <v>72278</v>
      </c>
      <c r="B1444" s="280" t="s">
        <v>238</v>
      </c>
      <c r="C1444" s="281" t="s">
        <v>20</v>
      </c>
      <c r="D1444" s="281" t="s">
        <v>240</v>
      </c>
      <c r="E1444" s="281" t="s">
        <v>239</v>
      </c>
      <c r="F1444" s="280">
        <v>2</v>
      </c>
      <c r="G1444" s="282">
        <v>45896</v>
      </c>
      <c r="H1444" s="280" t="s">
        <v>2643</v>
      </c>
      <c r="I1444" s="308" t="s">
        <v>2196</v>
      </c>
      <c r="J1444" s="245" t="s">
        <v>2196</v>
      </c>
      <c r="L1444" s="252"/>
      <c r="CX1444" s="243" t="s">
        <v>2343</v>
      </c>
      <c r="CY1444" s="243" t="s">
        <v>2343</v>
      </c>
      <c r="CZ1444" s="243" t="s">
        <v>2225</v>
      </c>
      <c r="DA1444" s="243" t="s">
        <v>2225</v>
      </c>
      <c r="DB1444" s="243" t="s">
        <v>2225</v>
      </c>
      <c r="DC1444" s="243" t="s">
        <v>3090</v>
      </c>
      <c r="DD1444" s="243" t="s">
        <v>3090</v>
      </c>
      <c r="DE1444" s="243" t="s">
        <v>3090</v>
      </c>
      <c r="DF1444" s="243" t="s">
        <v>3090</v>
      </c>
      <c r="DG1444" s="243" t="s">
        <v>3090</v>
      </c>
    </row>
    <row r="1445" spans="1:111">
      <c r="A1445" s="239"/>
      <c r="B1445" s="239"/>
      <c r="C1445" s="264"/>
      <c r="D1445" s="264" t="s">
        <v>1382</v>
      </c>
      <c r="E1445" s="264" t="s">
        <v>2008</v>
      </c>
      <c r="F1445" s="239">
        <v>1</v>
      </c>
      <c r="G1445" s="265"/>
      <c r="H1445" s="239"/>
      <c r="I1445" s="308" t="s">
        <v>2248</v>
      </c>
      <c r="J1445" s="245" t="s">
        <v>2248</v>
      </c>
      <c r="L1445" s="252"/>
    </row>
    <row r="1446" spans="1:111">
      <c r="A1446" s="239"/>
      <c r="B1446" s="239"/>
      <c r="C1446" s="264"/>
      <c r="D1446" s="264" t="s">
        <v>2007</v>
      </c>
      <c r="E1446" s="264" t="s">
        <v>2009</v>
      </c>
      <c r="F1446" s="239">
        <v>2</v>
      </c>
      <c r="G1446" s="265"/>
      <c r="H1446" s="239"/>
      <c r="I1446" s="308" t="s">
        <v>2366</v>
      </c>
      <c r="J1446" s="245" t="s">
        <v>2366</v>
      </c>
      <c r="L1446" s="252"/>
    </row>
    <row r="1447" spans="1:111">
      <c r="A1447" s="239"/>
      <c r="B1447" s="239"/>
      <c r="C1447" s="264"/>
      <c r="D1447" s="264" t="s">
        <v>2521</v>
      </c>
      <c r="E1447" s="264" t="s">
        <v>2010</v>
      </c>
      <c r="F1447" s="239">
        <v>1</v>
      </c>
      <c r="G1447" s="265"/>
      <c r="H1447" s="239"/>
      <c r="I1447" s="308" t="s">
        <v>2395</v>
      </c>
      <c r="J1447" s="245" t="s">
        <v>2395</v>
      </c>
      <c r="L1447" s="252"/>
      <c r="AS1447" s="243" t="s">
        <v>2389</v>
      </c>
      <c r="AT1447" s="243" t="s">
        <v>2225</v>
      </c>
      <c r="AU1447" s="243" t="s">
        <v>2225</v>
      </c>
    </row>
    <row r="1448" spans="1:111">
      <c r="A1448" s="280">
        <v>72279</v>
      </c>
      <c r="B1448" s="280" t="s">
        <v>241</v>
      </c>
      <c r="C1448" s="281" t="s">
        <v>20</v>
      </c>
      <c r="D1448" s="281" t="s">
        <v>240</v>
      </c>
      <c r="E1448" s="281" t="s">
        <v>239</v>
      </c>
      <c r="F1448" s="280">
        <v>2</v>
      </c>
      <c r="G1448" s="282">
        <v>45896</v>
      </c>
      <c r="H1448" s="280" t="s">
        <v>2643</v>
      </c>
      <c r="I1448" s="308" t="s">
        <v>2196</v>
      </c>
      <c r="J1448" s="245"/>
      <c r="L1448" s="252"/>
      <c r="CX1448" s="243" t="s">
        <v>2343</v>
      </c>
      <c r="CY1448" s="243" t="s">
        <v>2343</v>
      </c>
      <c r="CZ1448" s="243" t="s">
        <v>2225</v>
      </c>
      <c r="DA1448" s="243" t="s">
        <v>2225</v>
      </c>
      <c r="DB1448" s="243" t="s">
        <v>2225</v>
      </c>
      <c r="DC1448" s="243" t="s">
        <v>3090</v>
      </c>
      <c r="DD1448" s="243" t="s">
        <v>3090</v>
      </c>
      <c r="DE1448" s="243" t="s">
        <v>3090</v>
      </c>
      <c r="DF1448" s="243" t="s">
        <v>3090</v>
      </c>
      <c r="DG1448" s="243" t="s">
        <v>3090</v>
      </c>
    </row>
    <row r="1449" spans="1:111">
      <c r="A1449" s="239"/>
      <c r="B1449" s="239"/>
      <c r="C1449" s="264"/>
      <c r="D1449" s="264" t="s">
        <v>1382</v>
      </c>
      <c r="E1449" s="264" t="s">
        <v>2008</v>
      </c>
      <c r="F1449" s="239">
        <v>1</v>
      </c>
      <c r="G1449" s="265"/>
      <c r="H1449" s="239"/>
      <c r="I1449" s="308" t="s">
        <v>2248</v>
      </c>
      <c r="J1449" s="245" t="s">
        <v>2248</v>
      </c>
      <c r="L1449" s="252"/>
    </row>
    <row r="1450" spans="1:111">
      <c r="A1450" s="239"/>
      <c r="B1450" s="239"/>
      <c r="C1450" s="264"/>
      <c r="D1450" s="264" t="s">
        <v>2007</v>
      </c>
      <c r="E1450" s="264" t="s">
        <v>2009</v>
      </c>
      <c r="F1450" s="239">
        <v>2</v>
      </c>
      <c r="G1450" s="265"/>
      <c r="H1450" s="239"/>
      <c r="I1450" s="308" t="s">
        <v>2366</v>
      </c>
      <c r="J1450" s="245" t="s">
        <v>2366</v>
      </c>
      <c r="L1450" s="252"/>
    </row>
    <row r="1451" spans="1:111">
      <c r="A1451" s="239"/>
      <c r="B1451" s="239"/>
      <c r="C1451" s="264"/>
      <c r="D1451" s="264" t="s">
        <v>2521</v>
      </c>
      <c r="E1451" s="264" t="s">
        <v>2010</v>
      </c>
      <c r="F1451" s="239">
        <v>1</v>
      </c>
      <c r="G1451" s="265"/>
      <c r="H1451" s="239"/>
      <c r="I1451" s="308" t="s">
        <v>2395</v>
      </c>
      <c r="J1451" s="245" t="s">
        <v>2395</v>
      </c>
      <c r="L1451" s="252"/>
      <c r="AS1451" s="243" t="s">
        <v>2389</v>
      </c>
      <c r="AT1451" s="243" t="s">
        <v>2225</v>
      </c>
      <c r="AU1451" s="243" t="s">
        <v>2225</v>
      </c>
    </row>
    <row r="1452" spans="1:111">
      <c r="A1452" s="280">
        <v>72280</v>
      </c>
      <c r="B1452" s="280" t="s">
        <v>242</v>
      </c>
      <c r="C1452" s="281" t="s">
        <v>20</v>
      </c>
      <c r="D1452" s="281" t="s">
        <v>244</v>
      </c>
      <c r="E1452" s="281" t="s">
        <v>243</v>
      </c>
      <c r="F1452" s="280">
        <v>1</v>
      </c>
      <c r="G1452" s="282">
        <v>45884</v>
      </c>
      <c r="H1452" s="321">
        <v>45908</v>
      </c>
      <c r="I1452" s="308" t="s">
        <v>2517</v>
      </c>
      <c r="J1452" s="245"/>
      <c r="L1452" s="252"/>
      <c r="CX1452" s="243" t="s">
        <v>2517</v>
      </c>
      <c r="CY1452" s="243" t="s">
        <v>2517</v>
      </c>
      <c r="CZ1452" s="243" t="s">
        <v>2517</v>
      </c>
    </row>
    <row r="1453" spans="1:111">
      <c r="A1453" s="239"/>
      <c r="B1453" s="239"/>
      <c r="C1453" s="264"/>
      <c r="D1453" s="284" t="s">
        <v>2044</v>
      </c>
      <c r="E1453" s="284" t="s">
        <v>2048</v>
      </c>
      <c r="F1453" s="285">
        <v>1</v>
      </c>
      <c r="G1453" s="286"/>
      <c r="H1453" s="285"/>
      <c r="I1453" s="308" t="s">
        <v>2151</v>
      </c>
      <c r="J1453" s="245"/>
      <c r="L1453" s="252"/>
    </row>
    <row r="1454" spans="1:111">
      <c r="A1454" s="261"/>
      <c r="B1454" s="261"/>
      <c r="C1454" s="262"/>
      <c r="D1454" s="262" t="s">
        <v>2489</v>
      </c>
      <c r="E1454" s="262" t="s">
        <v>2490</v>
      </c>
      <c r="F1454" s="261"/>
      <c r="G1454" s="263"/>
      <c r="H1454" s="261"/>
      <c r="I1454" s="308" t="s">
        <v>2151</v>
      </c>
      <c r="J1454" s="245"/>
      <c r="L1454" s="252"/>
    </row>
    <row r="1455" spans="1:111">
      <c r="A1455" s="261"/>
      <c r="B1455" s="261"/>
      <c r="C1455" s="262"/>
      <c r="D1455" s="262" t="s">
        <v>2438</v>
      </c>
      <c r="E1455" s="262" t="s">
        <v>2439</v>
      </c>
      <c r="F1455" s="261"/>
      <c r="G1455" s="263"/>
      <c r="H1455" s="261"/>
      <c r="I1455" s="308" t="s">
        <v>2151</v>
      </c>
      <c r="J1455" s="245"/>
      <c r="L1455" s="252"/>
    </row>
    <row r="1456" spans="1:111">
      <c r="A1456" s="261"/>
      <c r="B1456" s="261"/>
      <c r="C1456" s="262"/>
      <c r="D1456" s="262" t="s">
        <v>2440</v>
      </c>
      <c r="E1456" s="262" t="s">
        <v>2441</v>
      </c>
      <c r="F1456" s="261"/>
      <c r="G1456" s="263"/>
      <c r="H1456" s="261"/>
      <c r="I1456" s="308" t="s">
        <v>2151</v>
      </c>
      <c r="J1456" s="245"/>
      <c r="L1456" s="252"/>
    </row>
    <row r="1457" spans="1:12">
      <c r="A1457" s="261"/>
      <c r="B1457" s="261"/>
      <c r="C1457" s="262"/>
      <c r="D1457" s="262" t="s">
        <v>2442</v>
      </c>
      <c r="E1457" s="262" t="s">
        <v>2443</v>
      </c>
      <c r="F1457" s="261"/>
      <c r="G1457" s="263"/>
      <c r="H1457" s="261"/>
      <c r="I1457" s="308" t="s">
        <v>2151</v>
      </c>
      <c r="J1457" s="245"/>
      <c r="L1457" s="252"/>
    </row>
    <row r="1458" spans="1:12">
      <c r="A1458" s="261"/>
      <c r="B1458" s="261"/>
      <c r="C1458" s="262"/>
      <c r="D1458" s="262" t="s">
        <v>2444</v>
      </c>
      <c r="E1458" s="262" t="s">
        <v>2445</v>
      </c>
      <c r="F1458" s="261"/>
      <c r="G1458" s="263"/>
      <c r="H1458" s="261"/>
      <c r="I1458" s="308" t="s">
        <v>2151</v>
      </c>
      <c r="J1458" s="245"/>
      <c r="L1458" s="252"/>
    </row>
    <row r="1459" spans="1:12">
      <c r="A1459" s="261"/>
      <c r="B1459" s="261"/>
      <c r="C1459" s="262"/>
      <c r="D1459" s="262" t="s">
        <v>2446</v>
      </c>
      <c r="E1459" s="262" t="s">
        <v>2447</v>
      </c>
      <c r="F1459" s="261"/>
      <c r="G1459" s="263"/>
      <c r="H1459" s="261"/>
      <c r="I1459" s="308" t="s">
        <v>2151</v>
      </c>
      <c r="J1459" s="245"/>
      <c r="L1459" s="252"/>
    </row>
    <row r="1460" spans="1:12">
      <c r="A1460" s="261"/>
      <c r="B1460" s="261"/>
      <c r="C1460" s="262"/>
      <c r="D1460" s="262" t="s">
        <v>2448</v>
      </c>
      <c r="E1460" s="262" t="s">
        <v>2449</v>
      </c>
      <c r="F1460" s="261"/>
      <c r="G1460" s="263"/>
      <c r="H1460" s="261"/>
      <c r="I1460" s="308" t="s">
        <v>2151</v>
      </c>
      <c r="J1460" s="245"/>
      <c r="L1460" s="252"/>
    </row>
    <row r="1461" spans="1:12">
      <c r="A1461" s="261"/>
      <c r="B1461" s="261"/>
      <c r="C1461" s="262"/>
      <c r="D1461" s="262" t="s">
        <v>2450</v>
      </c>
      <c r="E1461" s="262" t="s">
        <v>2451</v>
      </c>
      <c r="F1461" s="261"/>
      <c r="G1461" s="263"/>
      <c r="H1461" s="261"/>
      <c r="I1461" s="308" t="s">
        <v>2151</v>
      </c>
      <c r="J1461" s="245"/>
      <c r="L1461" s="252"/>
    </row>
    <row r="1462" spans="1:12">
      <c r="A1462" s="261"/>
      <c r="B1462" s="261"/>
      <c r="C1462" s="262"/>
      <c r="D1462" s="262" t="s">
        <v>2452</v>
      </c>
      <c r="E1462" s="262" t="s">
        <v>2453</v>
      </c>
      <c r="F1462" s="261"/>
      <c r="G1462" s="263"/>
      <c r="H1462" s="261"/>
      <c r="I1462" s="308" t="s">
        <v>2151</v>
      </c>
      <c r="J1462" s="245"/>
      <c r="L1462" s="252"/>
    </row>
    <row r="1463" spans="1:12">
      <c r="A1463" s="261"/>
      <c r="B1463" s="261"/>
      <c r="C1463" s="262"/>
      <c r="D1463" s="262" t="s">
        <v>2454</v>
      </c>
      <c r="E1463" s="262" t="s">
        <v>2455</v>
      </c>
      <c r="F1463" s="261"/>
      <c r="G1463" s="263"/>
      <c r="H1463" s="261"/>
      <c r="I1463" s="308" t="s">
        <v>2151</v>
      </c>
      <c r="J1463" s="245"/>
      <c r="L1463" s="252"/>
    </row>
    <row r="1464" spans="1:12">
      <c r="A1464" s="261"/>
      <c r="B1464" s="261"/>
      <c r="C1464" s="262"/>
      <c r="D1464" s="262" t="s">
        <v>2456</v>
      </c>
      <c r="E1464" s="262" t="s">
        <v>2457</v>
      </c>
      <c r="F1464" s="261"/>
      <c r="G1464" s="263"/>
      <c r="H1464" s="261"/>
      <c r="I1464" s="308" t="s">
        <v>2151</v>
      </c>
      <c r="J1464" s="245"/>
      <c r="L1464" s="252"/>
    </row>
    <row r="1465" spans="1:12">
      <c r="A1465" s="261"/>
      <c r="B1465" s="261"/>
      <c r="C1465" s="262"/>
      <c r="D1465" s="262" t="s">
        <v>2281</v>
      </c>
      <c r="E1465" s="262" t="s">
        <v>2232</v>
      </c>
      <c r="F1465" s="261"/>
      <c r="G1465" s="263"/>
      <c r="H1465" s="261"/>
      <c r="I1465" s="308" t="s">
        <v>2151</v>
      </c>
      <c r="J1465" s="245"/>
      <c r="L1465" s="252"/>
    </row>
    <row r="1466" spans="1:12">
      <c r="A1466" s="261"/>
      <c r="B1466" s="261"/>
      <c r="C1466" s="262"/>
      <c r="D1466" s="262" t="s">
        <v>2458</v>
      </c>
      <c r="E1466" s="262" t="s">
        <v>2459</v>
      </c>
      <c r="F1466" s="261"/>
      <c r="G1466" s="263"/>
      <c r="H1466" s="261"/>
      <c r="I1466" s="308" t="s">
        <v>2151</v>
      </c>
      <c r="J1466" s="245"/>
      <c r="L1466" s="252"/>
    </row>
    <row r="1467" spans="1:12">
      <c r="A1467" s="261"/>
      <c r="B1467" s="261"/>
      <c r="C1467" s="262"/>
      <c r="D1467" s="262" t="s">
        <v>2460</v>
      </c>
      <c r="E1467" s="262" t="s">
        <v>2461</v>
      </c>
      <c r="F1467" s="261"/>
      <c r="G1467" s="263"/>
      <c r="H1467" s="261"/>
      <c r="I1467" s="308" t="s">
        <v>2151</v>
      </c>
      <c r="J1467" s="245"/>
      <c r="L1467" s="252"/>
    </row>
    <row r="1468" spans="1:12">
      <c r="A1468" s="261"/>
      <c r="B1468" s="261"/>
      <c r="C1468" s="262"/>
      <c r="D1468" s="262" t="s">
        <v>2462</v>
      </c>
      <c r="E1468" s="262" t="s">
        <v>2463</v>
      </c>
      <c r="F1468" s="261"/>
      <c r="G1468" s="263"/>
      <c r="H1468" s="261"/>
      <c r="I1468" s="308" t="s">
        <v>2151</v>
      </c>
      <c r="J1468" s="245"/>
      <c r="L1468" s="252"/>
    </row>
    <row r="1469" spans="1:12">
      <c r="A1469" s="261"/>
      <c r="B1469" s="261"/>
      <c r="C1469" s="262"/>
      <c r="D1469" s="262" t="s">
        <v>2464</v>
      </c>
      <c r="E1469" s="262" t="s">
        <v>2465</v>
      </c>
      <c r="F1469" s="261"/>
      <c r="G1469" s="263"/>
      <c r="H1469" s="261"/>
      <c r="I1469" s="308" t="s">
        <v>2151</v>
      </c>
      <c r="J1469" s="245"/>
      <c r="L1469" s="252"/>
    </row>
    <row r="1470" spans="1:12">
      <c r="A1470" s="261"/>
      <c r="B1470" s="261"/>
      <c r="C1470" s="262"/>
      <c r="D1470" s="262" t="s">
        <v>2466</v>
      </c>
      <c r="E1470" s="262" t="s">
        <v>2467</v>
      </c>
      <c r="F1470" s="261"/>
      <c r="G1470" s="263"/>
      <c r="H1470" s="261"/>
      <c r="I1470" s="308" t="s">
        <v>2151</v>
      </c>
      <c r="J1470" s="245"/>
      <c r="L1470" s="252"/>
    </row>
    <row r="1471" spans="1:12">
      <c r="A1471" s="261"/>
      <c r="B1471" s="261"/>
      <c r="C1471" s="262"/>
      <c r="D1471" s="262" t="s">
        <v>2468</v>
      </c>
      <c r="E1471" s="262" t="s">
        <v>2469</v>
      </c>
      <c r="F1471" s="261"/>
      <c r="G1471" s="263"/>
      <c r="H1471" s="261"/>
      <c r="I1471" s="308" t="s">
        <v>2151</v>
      </c>
      <c r="J1471" s="245"/>
      <c r="L1471" s="252"/>
    </row>
    <row r="1472" spans="1:12">
      <c r="A1472" s="261"/>
      <c r="B1472" s="261"/>
      <c r="C1472" s="262"/>
      <c r="D1472" s="262" t="s">
        <v>2470</v>
      </c>
      <c r="E1472" s="262" t="s">
        <v>2471</v>
      </c>
      <c r="F1472" s="261"/>
      <c r="G1472" s="263"/>
      <c r="H1472" s="261"/>
      <c r="I1472" s="308" t="s">
        <v>2151</v>
      </c>
      <c r="J1472" s="245"/>
      <c r="L1472" s="252"/>
    </row>
    <row r="1473" spans="1:12">
      <c r="A1473" s="261"/>
      <c r="B1473" s="261"/>
      <c r="C1473" s="262"/>
      <c r="D1473" s="262" t="s">
        <v>2472</v>
      </c>
      <c r="E1473" s="262" t="s">
        <v>2473</v>
      </c>
      <c r="F1473" s="261"/>
      <c r="G1473" s="263"/>
      <c r="H1473" s="261"/>
      <c r="I1473" s="308" t="s">
        <v>2151</v>
      </c>
      <c r="J1473" s="245"/>
      <c r="L1473" s="252"/>
    </row>
    <row r="1474" spans="1:12">
      <c r="A1474" s="261"/>
      <c r="B1474" s="261"/>
      <c r="C1474" s="262"/>
      <c r="D1474" s="262" t="s">
        <v>2474</v>
      </c>
      <c r="E1474" s="262" t="s">
        <v>2475</v>
      </c>
      <c r="F1474" s="261"/>
      <c r="G1474" s="263"/>
      <c r="H1474" s="261"/>
      <c r="I1474" s="308" t="s">
        <v>2151</v>
      </c>
      <c r="J1474" s="245"/>
      <c r="L1474" s="252"/>
    </row>
    <row r="1475" spans="1:12">
      <c r="A1475" s="261"/>
      <c r="B1475" s="261"/>
      <c r="C1475" s="262"/>
      <c r="D1475" s="262" t="s">
        <v>2476</v>
      </c>
      <c r="E1475" s="262" t="s">
        <v>2477</v>
      </c>
      <c r="F1475" s="261"/>
      <c r="G1475" s="263"/>
      <c r="H1475" s="261"/>
      <c r="I1475" s="308" t="s">
        <v>2151</v>
      </c>
      <c r="J1475" s="245"/>
      <c r="L1475" s="252"/>
    </row>
    <row r="1476" spans="1:12">
      <c r="A1476" s="261"/>
      <c r="B1476" s="261"/>
      <c r="C1476" s="262"/>
      <c r="D1476" s="262" t="s">
        <v>2478</v>
      </c>
      <c r="E1476" s="262" t="s">
        <v>2479</v>
      </c>
      <c r="F1476" s="261"/>
      <c r="G1476" s="263"/>
      <c r="H1476" s="261"/>
      <c r="I1476" s="308" t="s">
        <v>2151</v>
      </c>
      <c r="J1476" s="245"/>
      <c r="L1476" s="252"/>
    </row>
    <row r="1477" spans="1:12">
      <c r="A1477" s="261"/>
      <c r="B1477" s="261"/>
      <c r="C1477" s="262"/>
      <c r="D1477" s="262" t="s">
        <v>2788</v>
      </c>
      <c r="E1477" s="262" t="s">
        <v>2789</v>
      </c>
      <c r="F1477" s="261">
        <v>1</v>
      </c>
      <c r="G1477" s="263"/>
      <c r="H1477" s="261" t="s">
        <v>2784</v>
      </c>
      <c r="I1477" s="308" t="s">
        <v>2151</v>
      </c>
      <c r="J1477" s="245"/>
      <c r="L1477" s="252"/>
    </row>
    <row r="1478" spans="1:12">
      <c r="A1478" s="261"/>
      <c r="B1478" s="261"/>
      <c r="C1478" s="262"/>
      <c r="D1478" s="262" t="s">
        <v>2785</v>
      </c>
      <c r="E1478" s="262" t="s">
        <v>2786</v>
      </c>
      <c r="F1478" s="261">
        <v>1</v>
      </c>
      <c r="G1478" s="263"/>
      <c r="H1478" s="261" t="s">
        <v>2784</v>
      </c>
      <c r="I1478" s="308" t="s">
        <v>2151</v>
      </c>
      <c r="J1478" s="245"/>
      <c r="L1478" s="252"/>
    </row>
    <row r="1479" spans="1:12">
      <c r="A1479" s="261"/>
      <c r="B1479" s="261"/>
      <c r="C1479" s="262"/>
      <c r="D1479" s="262" t="s">
        <v>2336</v>
      </c>
      <c r="E1479" s="262" t="s">
        <v>2337</v>
      </c>
      <c r="F1479" s="261">
        <v>2</v>
      </c>
      <c r="G1479" s="263"/>
      <c r="H1479" s="261"/>
      <c r="I1479" s="308" t="s">
        <v>2151</v>
      </c>
      <c r="J1479" s="245"/>
      <c r="L1479" s="252"/>
    </row>
    <row r="1480" spans="1:12">
      <c r="A1480" s="261"/>
      <c r="B1480" s="261"/>
      <c r="C1480" s="262"/>
      <c r="D1480" s="262" t="s">
        <v>2332</v>
      </c>
      <c r="E1480" s="262" t="s">
        <v>2333</v>
      </c>
      <c r="F1480" s="261">
        <v>1</v>
      </c>
      <c r="G1480" s="263"/>
      <c r="H1480" s="261" t="s">
        <v>2784</v>
      </c>
      <c r="I1480" s="308" t="s">
        <v>2151</v>
      </c>
      <c r="J1480" s="245" t="s">
        <v>2248</v>
      </c>
      <c r="L1480" s="252"/>
    </row>
    <row r="1481" spans="1:12">
      <c r="A1481" s="261"/>
      <c r="B1481" s="261"/>
      <c r="C1481" s="262"/>
      <c r="D1481" s="262" t="s">
        <v>2327</v>
      </c>
      <c r="E1481" s="262" t="s">
        <v>2328</v>
      </c>
      <c r="F1481" s="261">
        <v>1</v>
      </c>
      <c r="G1481" s="263"/>
      <c r="H1481" s="261"/>
      <c r="I1481" s="308" t="s">
        <v>2151</v>
      </c>
      <c r="J1481" s="245"/>
      <c r="L1481" s="252"/>
    </row>
    <row r="1482" spans="1:12">
      <c r="A1482" s="261"/>
      <c r="B1482" s="261"/>
      <c r="C1482" s="262"/>
      <c r="D1482" s="262" t="s">
        <v>2325</v>
      </c>
      <c r="E1482" s="262" t="s">
        <v>2326</v>
      </c>
      <c r="F1482" s="261">
        <v>1</v>
      </c>
      <c r="G1482" s="263"/>
      <c r="H1482" s="261"/>
      <c r="I1482" s="308" t="s">
        <v>2151</v>
      </c>
      <c r="J1482" s="245"/>
      <c r="L1482" s="252"/>
    </row>
    <row r="1483" spans="1:12">
      <c r="A1483" s="261"/>
      <c r="B1483" s="261"/>
      <c r="C1483" s="262"/>
      <c r="D1483" s="262" t="s">
        <v>2046</v>
      </c>
      <c r="E1483" s="262" t="s">
        <v>2049</v>
      </c>
      <c r="F1483" s="261">
        <v>1</v>
      </c>
      <c r="G1483" s="263"/>
      <c r="H1483" s="261"/>
      <c r="I1483" s="308" t="s">
        <v>2151</v>
      </c>
      <c r="J1483" s="245"/>
      <c r="L1483" s="252"/>
    </row>
    <row r="1484" spans="1:12">
      <c r="A1484" s="261"/>
      <c r="B1484" s="261"/>
      <c r="C1484" s="262"/>
      <c r="D1484" s="262" t="s">
        <v>2047</v>
      </c>
      <c r="E1484" s="262" t="s">
        <v>2050</v>
      </c>
      <c r="F1484" s="261">
        <v>1</v>
      </c>
      <c r="G1484" s="263"/>
      <c r="H1484" s="261"/>
      <c r="I1484" s="308" t="s">
        <v>2151</v>
      </c>
      <c r="J1484" s="245"/>
      <c r="L1484" s="252"/>
    </row>
    <row r="1485" spans="1:12">
      <c r="A1485" s="261"/>
      <c r="B1485" s="261"/>
      <c r="C1485" s="262"/>
      <c r="D1485" s="262" t="s">
        <v>2301</v>
      </c>
      <c r="E1485" s="262" t="s">
        <v>2302</v>
      </c>
      <c r="F1485" s="261">
        <v>1</v>
      </c>
      <c r="G1485" s="263"/>
      <c r="H1485" s="261"/>
      <c r="I1485" s="308" t="s">
        <v>2151</v>
      </c>
      <c r="J1485" s="245"/>
      <c r="L1485" s="252"/>
    </row>
    <row r="1486" spans="1:12">
      <c r="A1486" s="261"/>
      <c r="B1486" s="261"/>
      <c r="C1486" s="262"/>
      <c r="D1486" s="262" t="s">
        <v>2318</v>
      </c>
      <c r="E1486" s="262" t="s">
        <v>2227</v>
      </c>
      <c r="F1486" s="261">
        <v>1</v>
      </c>
      <c r="G1486" s="263"/>
      <c r="H1486" s="261"/>
      <c r="I1486" s="308" t="s">
        <v>2151</v>
      </c>
      <c r="J1486" s="245"/>
      <c r="L1486" s="252"/>
    </row>
    <row r="1487" spans="1:12">
      <c r="A1487" s="261"/>
      <c r="B1487" s="261"/>
      <c r="C1487" s="262"/>
      <c r="D1487" s="262"/>
      <c r="E1487" s="262" t="s">
        <v>2239</v>
      </c>
      <c r="F1487" s="261">
        <v>2</v>
      </c>
      <c r="G1487" s="263"/>
      <c r="H1487" s="261"/>
      <c r="I1487" s="308" t="s">
        <v>2151</v>
      </c>
      <c r="J1487" s="245"/>
      <c r="L1487" s="252"/>
    </row>
    <row r="1488" spans="1:12">
      <c r="A1488" s="261"/>
      <c r="B1488" s="261"/>
      <c r="C1488" s="262"/>
      <c r="D1488" s="262" t="s">
        <v>2280</v>
      </c>
      <c r="E1488" s="262" t="s">
        <v>2228</v>
      </c>
      <c r="F1488" s="261">
        <v>1</v>
      </c>
      <c r="G1488" s="263"/>
      <c r="H1488" s="261"/>
      <c r="I1488" s="308" t="s">
        <v>2151</v>
      </c>
      <c r="J1488" s="245"/>
      <c r="L1488" s="252"/>
    </row>
    <row r="1489" spans="1:26">
      <c r="A1489" s="261"/>
      <c r="B1489" s="261"/>
      <c r="C1489" s="262"/>
      <c r="D1489" s="262" t="s">
        <v>2307</v>
      </c>
      <c r="E1489" s="262" t="s">
        <v>2240</v>
      </c>
      <c r="F1489" s="261">
        <v>1</v>
      </c>
      <c r="G1489" s="263"/>
      <c r="H1489" s="261"/>
      <c r="I1489" s="308" t="s">
        <v>2151</v>
      </c>
      <c r="J1489" s="245"/>
      <c r="L1489" s="252"/>
    </row>
    <row r="1490" spans="1:26">
      <c r="A1490" s="261"/>
      <c r="B1490" s="261"/>
      <c r="C1490" s="262"/>
      <c r="D1490" s="262" t="s">
        <v>2278</v>
      </c>
      <c r="E1490" s="262" t="s">
        <v>2226</v>
      </c>
      <c r="F1490" s="261">
        <v>1</v>
      </c>
      <c r="G1490" s="263"/>
      <c r="H1490" s="261"/>
      <c r="I1490" s="308" t="s">
        <v>2151</v>
      </c>
      <c r="J1490" s="245"/>
      <c r="L1490" s="252"/>
    </row>
    <row r="1491" spans="1:26">
      <c r="A1491" s="261"/>
      <c r="B1491" s="261"/>
      <c r="C1491" s="262"/>
      <c r="D1491" s="262" t="s">
        <v>2305</v>
      </c>
      <c r="E1491" s="262" t="s">
        <v>2229</v>
      </c>
      <c r="F1491" s="261">
        <v>2</v>
      </c>
      <c r="G1491" s="263"/>
      <c r="H1491" s="261"/>
      <c r="I1491" s="308" t="s">
        <v>2151</v>
      </c>
      <c r="J1491" s="245"/>
      <c r="L1491" s="252"/>
    </row>
    <row r="1492" spans="1:26">
      <c r="A1492" s="261"/>
      <c r="B1492" s="261"/>
      <c r="C1492" s="262"/>
      <c r="D1492" s="262" t="s">
        <v>2303</v>
      </c>
      <c r="E1492" s="262" t="s">
        <v>2304</v>
      </c>
      <c r="F1492" s="261">
        <v>1</v>
      </c>
      <c r="G1492" s="263"/>
      <c r="H1492" s="261"/>
      <c r="I1492" s="308" t="s">
        <v>2151</v>
      </c>
      <c r="J1492" s="245"/>
      <c r="L1492" s="252"/>
    </row>
    <row r="1493" spans="1:26">
      <c r="A1493" s="261"/>
      <c r="B1493" s="261"/>
      <c r="C1493" s="262"/>
      <c r="D1493" s="262" t="s">
        <v>2306</v>
      </c>
      <c r="E1493" s="262" t="s">
        <v>2230</v>
      </c>
      <c r="F1493" s="261">
        <v>2</v>
      </c>
      <c r="G1493" s="263"/>
      <c r="H1493" s="261"/>
      <c r="I1493" s="308" t="s">
        <v>2151</v>
      </c>
      <c r="J1493" s="245"/>
      <c r="L1493" s="252"/>
    </row>
    <row r="1494" spans="1:26">
      <c r="A1494" s="261"/>
      <c r="B1494" s="261"/>
      <c r="C1494" s="262"/>
      <c r="D1494" s="262" t="s">
        <v>2279</v>
      </c>
      <c r="E1494" s="262" t="s">
        <v>2231</v>
      </c>
      <c r="F1494" s="261">
        <v>2</v>
      </c>
      <c r="G1494" s="263"/>
      <c r="H1494" s="261"/>
      <c r="I1494" s="308" t="s">
        <v>2151</v>
      </c>
      <c r="J1494" s="245"/>
      <c r="L1494" s="252"/>
    </row>
    <row r="1495" spans="1:26">
      <c r="A1495" s="261"/>
      <c r="B1495" s="261"/>
      <c r="C1495" s="262"/>
      <c r="D1495" s="262" t="s">
        <v>2281</v>
      </c>
      <c r="E1495" s="262" t="s">
        <v>2232</v>
      </c>
      <c r="F1495" s="261">
        <v>2</v>
      </c>
      <c r="G1495" s="263"/>
      <c r="H1495" s="261"/>
      <c r="I1495" s="308" t="s">
        <v>2151</v>
      </c>
      <c r="J1495" s="245"/>
      <c r="L1495" s="252"/>
    </row>
    <row r="1496" spans="1:26">
      <c r="A1496" s="261"/>
      <c r="B1496" s="261"/>
      <c r="C1496" s="262"/>
      <c r="D1496" s="262" t="s">
        <v>2308</v>
      </c>
      <c r="E1496" s="262" t="s">
        <v>2309</v>
      </c>
      <c r="F1496" s="261">
        <v>1</v>
      </c>
      <c r="G1496" s="263"/>
      <c r="H1496" s="261"/>
      <c r="I1496" s="308" t="s">
        <v>2151</v>
      </c>
      <c r="J1496" s="245"/>
      <c r="L1496" s="252"/>
    </row>
    <row r="1497" spans="1:26">
      <c r="A1497" s="261"/>
      <c r="B1497" s="261"/>
      <c r="C1497" s="262"/>
      <c r="D1497" s="262" t="s">
        <v>2310</v>
      </c>
      <c r="E1497" s="262" t="s">
        <v>2311</v>
      </c>
      <c r="F1497" s="261">
        <v>1</v>
      </c>
      <c r="G1497" s="263"/>
      <c r="H1497" s="261"/>
      <c r="I1497" s="308" t="s">
        <v>2151</v>
      </c>
      <c r="J1497" s="245"/>
      <c r="L1497" s="252"/>
    </row>
    <row r="1498" spans="1:26">
      <c r="A1498" s="261"/>
      <c r="B1498" s="261"/>
      <c r="C1498" s="262"/>
      <c r="D1498" s="262" t="s">
        <v>2312</v>
      </c>
      <c r="E1498" s="262" t="s">
        <v>2313</v>
      </c>
      <c r="F1498" s="261">
        <v>6</v>
      </c>
      <c r="G1498" s="263"/>
      <c r="H1498" s="261"/>
      <c r="I1498" s="308" t="s">
        <v>2151</v>
      </c>
      <c r="J1498" s="245"/>
      <c r="L1498" s="252"/>
    </row>
    <row r="1499" spans="1:26">
      <c r="A1499" s="261"/>
      <c r="B1499" s="261"/>
      <c r="C1499" s="262"/>
      <c r="D1499" s="262" t="s">
        <v>2314</v>
      </c>
      <c r="E1499" s="262" t="s">
        <v>2315</v>
      </c>
      <c r="F1499" s="261">
        <v>1</v>
      </c>
      <c r="G1499" s="263"/>
      <c r="H1499" s="261"/>
      <c r="I1499" s="308" t="s">
        <v>2151</v>
      </c>
      <c r="J1499" s="245"/>
      <c r="L1499" s="252"/>
    </row>
    <row r="1500" spans="1:26">
      <c r="A1500" s="261"/>
      <c r="B1500" s="261"/>
      <c r="C1500" s="262"/>
      <c r="D1500" s="262" t="s">
        <v>2316</v>
      </c>
      <c r="E1500" s="262" t="s">
        <v>2317</v>
      </c>
      <c r="F1500" s="261">
        <v>1</v>
      </c>
      <c r="G1500" s="263"/>
      <c r="H1500" s="261"/>
      <c r="I1500" s="308" t="s">
        <v>2151</v>
      </c>
      <c r="J1500" s="245"/>
      <c r="L1500" s="252"/>
    </row>
    <row r="1501" spans="1:26">
      <c r="A1501" s="280">
        <v>72284</v>
      </c>
      <c r="B1501" s="280" t="s">
        <v>1077</v>
      </c>
      <c r="C1501" s="281" t="s">
        <v>164</v>
      </c>
      <c r="D1501" s="281" t="s">
        <v>246</v>
      </c>
      <c r="E1501" s="281" t="s">
        <v>245</v>
      </c>
      <c r="F1501" s="280">
        <v>1</v>
      </c>
      <c r="G1501" s="282">
        <v>45793</v>
      </c>
      <c r="H1501" s="280" t="s">
        <v>2591</v>
      </c>
      <c r="I1501" s="308" t="s">
        <v>2151</v>
      </c>
      <c r="J1501" s="245"/>
      <c r="L1501" s="252"/>
      <c r="Z1501" s="243" t="s">
        <v>2248</v>
      </c>
    </row>
    <row r="1502" spans="1:26">
      <c r="A1502" s="261"/>
      <c r="B1502" s="261"/>
      <c r="C1502" s="262"/>
      <c r="D1502" s="262" t="s">
        <v>2260</v>
      </c>
      <c r="E1502" s="262" t="s">
        <v>2261</v>
      </c>
      <c r="F1502" s="261">
        <v>1</v>
      </c>
      <c r="G1502" s="263"/>
      <c r="H1502" s="261"/>
      <c r="I1502" s="308" t="s">
        <v>2151</v>
      </c>
      <c r="J1502" s="245"/>
      <c r="L1502" s="252"/>
    </row>
    <row r="1503" spans="1:26">
      <c r="A1503" s="261"/>
      <c r="B1503" s="261"/>
      <c r="C1503" s="262"/>
      <c r="D1503" s="262" t="s">
        <v>2260</v>
      </c>
      <c r="E1503" s="262" t="s">
        <v>2262</v>
      </c>
      <c r="F1503" s="261">
        <v>1</v>
      </c>
      <c r="G1503" s="263"/>
      <c r="H1503" s="261"/>
      <c r="I1503" s="308" t="s">
        <v>2151</v>
      </c>
      <c r="J1503" s="245" t="s">
        <v>2248</v>
      </c>
      <c r="L1503" s="252"/>
    </row>
    <row r="1504" spans="1:26">
      <c r="A1504" s="261"/>
      <c r="B1504" s="261"/>
      <c r="C1504" s="262"/>
      <c r="D1504" s="262" t="s">
        <v>2263</v>
      </c>
      <c r="E1504" s="262" t="s">
        <v>2264</v>
      </c>
      <c r="F1504" s="261">
        <v>2</v>
      </c>
      <c r="G1504" s="263"/>
      <c r="H1504" s="261"/>
      <c r="I1504" s="308" t="s">
        <v>2151</v>
      </c>
      <c r="J1504" s="245"/>
      <c r="L1504" s="252"/>
    </row>
    <row r="1505" spans="1:86">
      <c r="A1505" s="261"/>
      <c r="B1505" s="261"/>
      <c r="C1505" s="262"/>
      <c r="D1505" s="262" t="s">
        <v>2265</v>
      </c>
      <c r="E1505" s="262" t="s">
        <v>2266</v>
      </c>
      <c r="F1505" s="261">
        <v>2</v>
      </c>
      <c r="G1505" s="263"/>
      <c r="H1505" s="261"/>
      <c r="I1505" s="308" t="s">
        <v>2151</v>
      </c>
      <c r="J1505" s="245"/>
      <c r="L1505" s="252"/>
    </row>
    <row r="1506" spans="1:86">
      <c r="A1506" s="261"/>
      <c r="B1506" s="261"/>
      <c r="C1506" s="262"/>
      <c r="D1506" s="262" t="s">
        <v>2267</v>
      </c>
      <c r="E1506" s="262" t="s">
        <v>2268</v>
      </c>
      <c r="F1506" s="261">
        <v>1</v>
      </c>
      <c r="G1506" s="263"/>
      <c r="H1506" s="261"/>
      <c r="I1506" s="308" t="s">
        <v>2151</v>
      </c>
      <c r="J1506" s="245"/>
      <c r="L1506" s="252"/>
    </row>
    <row r="1507" spans="1:86">
      <c r="A1507" s="261"/>
      <c r="B1507" s="261"/>
      <c r="C1507" s="262"/>
      <c r="D1507" s="262" t="s">
        <v>2269</v>
      </c>
      <c r="E1507" s="262" t="s">
        <v>2270</v>
      </c>
      <c r="F1507" s="261">
        <v>1</v>
      </c>
      <c r="G1507" s="263"/>
      <c r="H1507" s="261"/>
      <c r="I1507" s="308" t="s">
        <v>2151</v>
      </c>
      <c r="J1507" s="245"/>
      <c r="L1507" s="252"/>
    </row>
    <row r="1508" spans="1:86">
      <c r="A1508" s="280">
        <v>72286</v>
      </c>
      <c r="B1508" s="280" t="s">
        <v>1077</v>
      </c>
      <c r="C1508" s="281" t="s">
        <v>164</v>
      </c>
      <c r="D1508" s="281" t="s">
        <v>248</v>
      </c>
      <c r="E1508" s="281" t="s">
        <v>247</v>
      </c>
      <c r="F1508" s="280">
        <v>1</v>
      </c>
      <c r="G1508" s="282">
        <v>45804</v>
      </c>
      <c r="H1508" s="280"/>
      <c r="I1508" s="308" t="s">
        <v>2151</v>
      </c>
      <c r="J1508" s="245"/>
      <c r="L1508" s="252"/>
    </row>
    <row r="1509" spans="1:86">
      <c r="A1509" s="261">
        <v>72290</v>
      </c>
      <c r="B1509" s="261" t="s">
        <v>1077</v>
      </c>
      <c r="C1509" s="262" t="s">
        <v>164</v>
      </c>
      <c r="D1509" s="262" t="s">
        <v>250</v>
      </c>
      <c r="E1509" s="262" t="s">
        <v>249</v>
      </c>
      <c r="F1509" s="261">
        <v>1</v>
      </c>
      <c r="G1509" s="263">
        <v>45793</v>
      </c>
      <c r="H1509" s="261"/>
      <c r="I1509" s="308" t="s">
        <v>2151</v>
      </c>
      <c r="J1509" s="245"/>
      <c r="L1509" s="252"/>
    </row>
    <row r="1510" spans="1:86">
      <c r="A1510" s="239"/>
      <c r="B1510" s="264"/>
      <c r="C1510" s="264"/>
      <c r="D1510" s="264"/>
      <c r="E1510" s="264"/>
      <c r="F1510" s="239"/>
      <c r="G1510" s="265"/>
      <c r="H1510" s="239"/>
      <c r="I1510" s="308"/>
      <c r="J1510" s="245"/>
      <c r="L1510" s="252"/>
    </row>
    <row r="1511" spans="1:86" ht="60">
      <c r="A1511" s="280">
        <v>72295</v>
      </c>
      <c r="B1511" s="280" t="s">
        <v>1078</v>
      </c>
      <c r="C1511" s="281" t="s">
        <v>20</v>
      </c>
      <c r="D1511" s="281" t="s">
        <v>252</v>
      </c>
      <c r="E1511" s="281" t="s">
        <v>251</v>
      </c>
      <c r="F1511" s="280">
        <v>3</v>
      </c>
      <c r="G1511" s="282">
        <v>45854</v>
      </c>
      <c r="H1511" s="280"/>
      <c r="I1511" s="308" t="s">
        <v>2151</v>
      </c>
      <c r="J1511" s="245"/>
      <c r="L1511" s="252"/>
      <c r="R1511" s="243" t="s">
        <v>2253</v>
      </c>
      <c r="AM1511" s="243" t="s">
        <v>2398</v>
      </c>
      <c r="AN1511" s="246" t="s">
        <v>2399</v>
      </c>
      <c r="AO1511" s="243" t="s">
        <v>2225</v>
      </c>
    </row>
    <row r="1512" spans="1:86">
      <c r="A1512" s="239"/>
      <c r="B1512" s="239"/>
      <c r="C1512" s="264"/>
      <c r="D1512" s="264"/>
      <c r="E1512" s="264"/>
      <c r="F1512" s="239"/>
      <c r="G1512" s="265"/>
      <c r="H1512" s="239"/>
      <c r="I1512" s="308"/>
      <c r="J1512" s="245"/>
      <c r="L1512" s="252"/>
    </row>
    <row r="1513" spans="1:86">
      <c r="A1513" s="239">
        <v>72297</v>
      </c>
      <c r="B1513" s="239"/>
      <c r="C1513" s="264" t="s">
        <v>255</v>
      </c>
      <c r="D1513" s="264" t="s">
        <v>254</v>
      </c>
      <c r="E1513" s="264" t="s">
        <v>253</v>
      </c>
      <c r="F1513" s="239">
        <v>15</v>
      </c>
      <c r="G1513" s="265">
        <v>45775</v>
      </c>
      <c r="H1513" s="239"/>
      <c r="I1513" s="308"/>
      <c r="J1513" s="245"/>
      <c r="L1513" s="252"/>
    </row>
    <row r="1514" spans="1:86">
      <c r="A1514" s="239"/>
      <c r="B1514" s="294"/>
      <c r="C1514" s="264"/>
      <c r="D1514" s="264"/>
      <c r="E1514" s="264"/>
      <c r="F1514" s="239"/>
      <c r="G1514" s="265"/>
      <c r="H1514" s="239"/>
      <c r="I1514" s="308"/>
      <c r="J1514" s="245"/>
      <c r="L1514" s="252"/>
    </row>
    <row r="1515" spans="1:86">
      <c r="A1515" s="261">
        <v>72317</v>
      </c>
      <c r="B1515" s="261" t="s">
        <v>256</v>
      </c>
      <c r="C1515" s="262" t="s">
        <v>20</v>
      </c>
      <c r="D1515" s="262" t="s">
        <v>258</v>
      </c>
      <c r="E1515" s="262" t="s">
        <v>257</v>
      </c>
      <c r="F1515" s="261">
        <v>4</v>
      </c>
      <c r="G1515" s="263">
        <v>45883</v>
      </c>
      <c r="H1515" s="261"/>
      <c r="I1515" s="308" t="s">
        <v>2151</v>
      </c>
      <c r="J1515" s="245"/>
      <c r="L1515" s="252"/>
      <c r="AE1515" s="243" t="s">
        <v>2244</v>
      </c>
      <c r="AN1515" s="243" t="s">
        <v>2331</v>
      </c>
      <c r="AO1515" s="243" t="s">
        <v>2331</v>
      </c>
      <c r="AP1515" s="243" t="s">
        <v>2331</v>
      </c>
      <c r="AQ1515" s="243" t="s">
        <v>2331</v>
      </c>
      <c r="AR1515" s="243" t="s">
        <v>2389</v>
      </c>
      <c r="AS1515" s="243" t="s">
        <v>2427</v>
      </c>
      <c r="AT1515" s="243" t="s">
        <v>2427</v>
      </c>
      <c r="AU1515" s="243" t="s">
        <v>2426</v>
      </c>
      <c r="AV1515" s="243" t="s">
        <v>2426</v>
      </c>
    </row>
    <row r="1516" spans="1:86">
      <c r="A1516" s="239">
        <v>72318</v>
      </c>
      <c r="B1516" s="239" t="s">
        <v>256</v>
      </c>
      <c r="C1516" s="264" t="s">
        <v>20</v>
      </c>
      <c r="D1516" s="264" t="s">
        <v>260</v>
      </c>
      <c r="E1516" s="264" t="s">
        <v>259</v>
      </c>
      <c r="F1516" s="239">
        <v>4</v>
      </c>
      <c r="G1516" s="265">
        <v>45883</v>
      </c>
      <c r="H1516" s="239" t="s">
        <v>2897</v>
      </c>
      <c r="I1516" s="308" t="s">
        <v>2765</v>
      </c>
      <c r="J1516" s="245"/>
      <c r="L1516" s="252"/>
      <c r="Y1516" s="243" t="s">
        <v>2244</v>
      </c>
      <c r="AN1516" s="243" t="s">
        <v>2331</v>
      </c>
      <c r="AO1516" s="243" t="s">
        <v>2331</v>
      </c>
      <c r="AP1516" s="243" t="s">
        <v>2389</v>
      </c>
      <c r="AQ1516" s="243" t="s">
        <v>2427</v>
      </c>
      <c r="AR1516" s="243" t="s">
        <v>2427</v>
      </c>
      <c r="AS1516" s="346" t="s">
        <v>2434</v>
      </c>
      <c r="AT1516" s="243" t="s">
        <v>2434</v>
      </c>
      <c r="AU1516" s="243" t="s">
        <v>2434</v>
      </c>
      <c r="AV1516" s="243" t="s">
        <v>2434</v>
      </c>
      <c r="AW1516" s="243" t="s">
        <v>2434</v>
      </c>
      <c r="AX1516" s="243" t="s">
        <v>2434</v>
      </c>
      <c r="AY1516" s="243" t="s">
        <v>2434</v>
      </c>
      <c r="AZ1516" s="243" t="s">
        <v>2428</v>
      </c>
      <c r="BA1516" s="243" t="s">
        <v>2427</v>
      </c>
      <c r="BB1516" s="243" t="s">
        <v>2427</v>
      </c>
      <c r="BC1516" s="243" t="s">
        <v>2426</v>
      </c>
      <c r="BD1516" s="243" t="s">
        <v>2426</v>
      </c>
      <c r="BN1516" s="243" t="s">
        <v>2765</v>
      </c>
      <c r="BO1516" s="243" t="s">
        <v>2765</v>
      </c>
      <c r="BP1516" s="243" t="s">
        <v>2765</v>
      </c>
      <c r="BQ1516" s="243" t="s">
        <v>2765</v>
      </c>
      <c r="BR1516" s="243" t="s">
        <v>2765</v>
      </c>
      <c r="BS1516" s="243" t="s">
        <v>2765</v>
      </c>
      <c r="BT1516" s="243" t="s">
        <v>2765</v>
      </c>
      <c r="BU1516" s="243" t="s">
        <v>2765</v>
      </c>
      <c r="BV1516" s="243" t="s">
        <v>2765</v>
      </c>
      <c r="BW1516" s="243" t="s">
        <v>2765</v>
      </c>
      <c r="BX1516" s="243" t="s">
        <v>2765</v>
      </c>
      <c r="BY1516" s="243" t="s">
        <v>2765</v>
      </c>
      <c r="BZ1516" s="243" t="s">
        <v>2765</v>
      </c>
      <c r="CA1516" s="243" t="s">
        <v>2196</v>
      </c>
      <c r="CB1516" s="243" t="s">
        <v>2427</v>
      </c>
      <c r="CC1516" s="243" t="s">
        <v>2427</v>
      </c>
      <c r="CD1516" s="243" t="s">
        <v>2427</v>
      </c>
      <c r="CE1516" s="243" t="s">
        <v>2427</v>
      </c>
      <c r="CF1516" s="243" t="s">
        <v>2427</v>
      </c>
      <c r="CG1516" s="243" t="s">
        <v>2426</v>
      </c>
      <c r="CH1516" s="243" t="s">
        <v>2208</v>
      </c>
    </row>
    <row r="1517" spans="1:86" ht="90">
      <c r="A1517" s="239">
        <v>72319</v>
      </c>
      <c r="B1517" s="239" t="s">
        <v>256</v>
      </c>
      <c r="C1517" s="264" t="s">
        <v>20</v>
      </c>
      <c r="D1517" s="264" t="s">
        <v>266</v>
      </c>
      <c r="E1517" s="264" t="s">
        <v>936</v>
      </c>
      <c r="F1517" s="239">
        <v>4</v>
      </c>
      <c r="G1517" s="265">
        <v>45883</v>
      </c>
      <c r="H1517" s="239" t="s">
        <v>2819</v>
      </c>
      <c r="I1517" s="313" t="s">
        <v>2225</v>
      </c>
      <c r="J1517" s="245" t="s">
        <v>2338</v>
      </c>
      <c r="L1517" s="252"/>
      <c r="AM1517" s="246" t="s">
        <v>2414</v>
      </c>
      <c r="AN1517" s="246" t="s">
        <v>2414</v>
      </c>
      <c r="AO1517" s="246" t="s">
        <v>2414</v>
      </c>
      <c r="AP1517" s="246" t="s">
        <v>2414</v>
      </c>
      <c r="AQ1517" s="246" t="s">
        <v>2414</v>
      </c>
      <c r="AR1517" s="246" t="s">
        <v>2414</v>
      </c>
      <c r="AS1517" s="246" t="s">
        <v>2414</v>
      </c>
      <c r="AW1517" s="243" t="s">
        <v>2428</v>
      </c>
      <c r="AX1517" s="243" t="s">
        <v>2244</v>
      </c>
      <c r="AY1517" s="243" t="s">
        <v>2244</v>
      </c>
      <c r="AZ1517" s="243" t="s">
        <v>2331</v>
      </c>
      <c r="BA1517" s="243" t="s">
        <v>2331</v>
      </c>
      <c r="BH1517" s="243" t="s">
        <v>2417</v>
      </c>
      <c r="BI1517" s="243" t="s">
        <v>2417</v>
      </c>
      <c r="BJ1517" s="243" t="s">
        <v>2389</v>
      </c>
      <c r="BK1517" s="243" t="s">
        <v>2225</v>
      </c>
      <c r="BL1517" s="243" t="s">
        <v>2225</v>
      </c>
      <c r="BM1517" s="243" t="s">
        <v>2225</v>
      </c>
      <c r="BN1517" s="243" t="s">
        <v>2225</v>
      </c>
      <c r="BO1517" s="243" t="s">
        <v>2412</v>
      </c>
      <c r="BP1517" s="243" t="s">
        <v>2412</v>
      </c>
      <c r="BQ1517" s="243" t="s">
        <v>2412</v>
      </c>
      <c r="BR1517" s="243" t="s">
        <v>2412</v>
      </c>
      <c r="BS1517" s="243" t="s">
        <v>2412</v>
      </c>
      <c r="BT1517" s="243" t="s">
        <v>2412</v>
      </c>
      <c r="BU1517" s="243" t="s">
        <v>2412</v>
      </c>
      <c r="BV1517" s="243" t="s">
        <v>2196</v>
      </c>
      <c r="BW1517" s="243" t="s">
        <v>2427</v>
      </c>
      <c r="BX1517" s="243" t="s">
        <v>2427</v>
      </c>
      <c r="BY1517" s="243" t="s">
        <v>2427</v>
      </c>
      <c r="BZ1517" s="243" t="s">
        <v>2427</v>
      </c>
      <c r="CA1517" s="243" t="s">
        <v>2427</v>
      </c>
      <c r="CB1517" s="243" t="s">
        <v>2426</v>
      </c>
      <c r="CC1517" s="243" t="s">
        <v>2208</v>
      </c>
    </row>
    <row r="1518" spans="1:86">
      <c r="A1518" s="239">
        <v>72320</v>
      </c>
      <c r="B1518" s="239" t="s">
        <v>256</v>
      </c>
      <c r="C1518" s="264" t="s">
        <v>20</v>
      </c>
      <c r="D1518" s="264" t="s">
        <v>262</v>
      </c>
      <c r="E1518" s="264" t="s">
        <v>261</v>
      </c>
      <c r="F1518" s="239">
        <v>4</v>
      </c>
      <c r="G1518" s="265">
        <v>45883</v>
      </c>
      <c r="H1518" s="239"/>
      <c r="I1518" s="313" t="s">
        <v>2225</v>
      </c>
      <c r="J1518" s="245" t="s">
        <v>2338</v>
      </c>
      <c r="L1518" s="252"/>
      <c r="AK1518" s="246"/>
      <c r="AL1518" s="246"/>
      <c r="AM1518" s="246"/>
      <c r="AN1518" s="246"/>
      <c r="AO1518" s="246"/>
      <c r="AP1518" s="246"/>
      <c r="AQ1518" s="246"/>
      <c r="AR1518" s="246"/>
      <c r="AS1518" s="246"/>
      <c r="AT1518" s="246"/>
      <c r="AU1518" s="246"/>
      <c r="AV1518" s="246"/>
      <c r="AW1518" s="246"/>
      <c r="BG1518" s="243" t="s">
        <v>2340</v>
      </c>
      <c r="BH1518" s="243" t="s">
        <v>2417</v>
      </c>
      <c r="BI1518" s="243" t="s">
        <v>2417</v>
      </c>
      <c r="BJ1518" s="243" t="s">
        <v>2331</v>
      </c>
      <c r="BK1518" s="243" t="s">
        <v>2427</v>
      </c>
      <c r="BL1518" s="243" t="s">
        <v>2427</v>
      </c>
      <c r="BM1518" s="243" t="s">
        <v>2427</v>
      </c>
      <c r="BN1518" s="243" t="s">
        <v>2427</v>
      </c>
      <c r="BO1518" s="243" t="s">
        <v>2426</v>
      </c>
      <c r="BP1518" s="243" t="s">
        <v>2208</v>
      </c>
    </row>
    <row r="1519" spans="1:86">
      <c r="A1519" s="239">
        <v>72321</v>
      </c>
      <c r="B1519" s="239" t="s">
        <v>256</v>
      </c>
      <c r="C1519" s="264" t="s">
        <v>20</v>
      </c>
      <c r="D1519" s="264" t="s">
        <v>264</v>
      </c>
      <c r="E1519" s="264" t="s">
        <v>263</v>
      </c>
      <c r="F1519" s="239">
        <v>4</v>
      </c>
      <c r="G1519" s="265">
        <v>45883</v>
      </c>
      <c r="H1519" s="239"/>
      <c r="I1519" s="313" t="s">
        <v>2225</v>
      </c>
      <c r="J1519" s="245" t="s">
        <v>2338</v>
      </c>
      <c r="L1519" s="252"/>
      <c r="AK1519" s="246"/>
      <c r="AL1519" s="246"/>
      <c r="AM1519" s="246"/>
      <c r="AN1519" s="246"/>
      <c r="AO1519" s="246"/>
      <c r="AP1519" s="246"/>
      <c r="AQ1519" s="246"/>
      <c r="AR1519" s="246"/>
      <c r="AS1519" s="246"/>
      <c r="AT1519" s="246"/>
      <c r="AU1519" s="246"/>
      <c r="AV1519" s="246"/>
      <c r="AW1519" s="246"/>
      <c r="BG1519" s="243" t="s">
        <v>2340</v>
      </c>
      <c r="BH1519" s="243" t="s">
        <v>2417</v>
      </c>
      <c r="BI1519" s="243" t="s">
        <v>2417</v>
      </c>
      <c r="BJ1519" s="243" t="s">
        <v>2331</v>
      </c>
      <c r="BK1519" s="243" t="s">
        <v>2427</v>
      </c>
      <c r="BL1519" s="243" t="s">
        <v>2427</v>
      </c>
      <c r="BM1519" s="243" t="s">
        <v>2427</v>
      </c>
      <c r="BN1519" s="243" t="s">
        <v>2427</v>
      </c>
      <c r="BO1519" s="243" t="s">
        <v>2426</v>
      </c>
      <c r="BP1519" s="243" t="s">
        <v>2208</v>
      </c>
    </row>
    <row r="1520" spans="1:86" ht="90">
      <c r="A1520" s="239">
        <v>72322</v>
      </c>
      <c r="B1520" s="239" t="s">
        <v>256</v>
      </c>
      <c r="C1520" s="264" t="s">
        <v>20</v>
      </c>
      <c r="D1520" s="264" t="s">
        <v>266</v>
      </c>
      <c r="E1520" s="264" t="s">
        <v>265</v>
      </c>
      <c r="F1520" s="239">
        <v>4</v>
      </c>
      <c r="G1520" s="265">
        <v>45883</v>
      </c>
      <c r="H1520" s="303" t="s">
        <v>2898</v>
      </c>
      <c r="I1520" s="313" t="s">
        <v>2225</v>
      </c>
      <c r="J1520" s="245"/>
      <c r="L1520" s="252"/>
      <c r="AK1520" s="246" t="s">
        <v>2414</v>
      </c>
      <c r="AL1520" s="246" t="s">
        <v>2414</v>
      </c>
      <c r="AM1520" s="246" t="s">
        <v>2414</v>
      </c>
      <c r="AN1520" s="246" t="s">
        <v>2414</v>
      </c>
      <c r="AO1520" s="246" t="s">
        <v>2414</v>
      </c>
      <c r="AP1520" s="246" t="s">
        <v>2414</v>
      </c>
      <c r="AQ1520" s="246" t="s">
        <v>2414</v>
      </c>
      <c r="AW1520" s="243" t="s">
        <v>2428</v>
      </c>
      <c r="AX1520" s="243" t="s">
        <v>2340</v>
      </c>
      <c r="AY1520" s="243" t="s">
        <v>2340</v>
      </c>
      <c r="BG1520" s="243" t="s">
        <v>2331</v>
      </c>
      <c r="BH1520" s="243" t="s">
        <v>2331</v>
      </c>
      <c r="BI1520" s="243" t="s">
        <v>2331</v>
      </c>
      <c r="BJ1520" s="243" t="s">
        <v>2331</v>
      </c>
      <c r="BK1520" s="243" t="s">
        <v>2389</v>
      </c>
      <c r="BL1520" s="243" t="s">
        <v>2225</v>
      </c>
      <c r="BM1520" s="243" t="s">
        <v>2225</v>
      </c>
      <c r="BN1520" s="243" t="s">
        <v>2225</v>
      </c>
      <c r="BO1520" s="243" t="s">
        <v>2412</v>
      </c>
      <c r="BP1520" s="243" t="s">
        <v>2412</v>
      </c>
      <c r="BQ1520" s="243" t="s">
        <v>2412</v>
      </c>
      <c r="BR1520" s="243" t="s">
        <v>2412</v>
      </c>
      <c r="BS1520" s="243" t="s">
        <v>2412</v>
      </c>
      <c r="BT1520" s="243" t="s">
        <v>2412</v>
      </c>
      <c r="BU1520" s="243" t="s">
        <v>2412</v>
      </c>
      <c r="BV1520" s="243" t="s">
        <v>2196</v>
      </c>
      <c r="BW1520" s="243" t="s">
        <v>2427</v>
      </c>
      <c r="BX1520" s="243" t="s">
        <v>2427</v>
      </c>
      <c r="BY1520" s="243" t="s">
        <v>2427</v>
      </c>
      <c r="BZ1520" s="243" t="s">
        <v>2427</v>
      </c>
      <c r="CA1520" s="243" t="s">
        <v>2427</v>
      </c>
      <c r="CB1520" s="243" t="s">
        <v>2426</v>
      </c>
      <c r="CC1520" s="243" t="s">
        <v>2208</v>
      </c>
    </row>
    <row r="1521" spans="1:77">
      <c r="A1521" s="239"/>
      <c r="B1521" s="294"/>
      <c r="C1521" s="264"/>
      <c r="D1521" s="264"/>
      <c r="E1521" s="264"/>
      <c r="F1521" s="239"/>
      <c r="G1521" s="265"/>
      <c r="H1521" s="239"/>
      <c r="I1521" s="308"/>
      <c r="J1521" s="245"/>
      <c r="L1521" s="252"/>
    </row>
    <row r="1522" spans="1:77">
      <c r="A1522" s="280">
        <v>72324</v>
      </c>
      <c r="B1522" s="280" t="s">
        <v>267</v>
      </c>
      <c r="C1522" s="281" t="s">
        <v>20</v>
      </c>
      <c r="D1522" s="281" t="s">
        <v>269</v>
      </c>
      <c r="E1522" s="281" t="s">
        <v>268</v>
      </c>
      <c r="F1522" s="280">
        <v>2</v>
      </c>
      <c r="G1522" s="282">
        <v>45898</v>
      </c>
      <c r="H1522" s="280"/>
      <c r="I1522" s="308" t="s">
        <v>2644</v>
      </c>
      <c r="J1522" s="245" t="s">
        <v>2196</v>
      </c>
      <c r="L1522" s="252"/>
      <c r="AU1522" s="243" t="s">
        <v>2644</v>
      </c>
      <c r="AV1522" s="243" t="s">
        <v>2644</v>
      </c>
      <c r="AW1522" s="243" t="s">
        <v>2644</v>
      </c>
      <c r="AX1522" s="243" t="s">
        <v>2644</v>
      </c>
      <c r="AY1522" s="243" t="s">
        <v>2644</v>
      </c>
      <c r="AZ1522" s="243" t="s">
        <v>2644</v>
      </c>
      <c r="BA1522" s="243" t="s">
        <v>2644</v>
      </c>
    </row>
    <row r="1523" spans="1:77">
      <c r="A1523" s="239"/>
      <c r="B1523" s="239"/>
      <c r="C1523" s="264"/>
      <c r="D1523" s="284" t="s">
        <v>2011</v>
      </c>
      <c r="E1523" s="284" t="s">
        <v>2014</v>
      </c>
      <c r="F1523" s="285">
        <v>1</v>
      </c>
      <c r="G1523" s="286"/>
      <c r="H1523" s="285"/>
      <c r="I1523" s="308"/>
      <c r="J1523" s="245"/>
      <c r="L1523" s="252"/>
    </row>
    <row r="1524" spans="1:77">
      <c r="A1524" s="239"/>
      <c r="B1524" s="239"/>
      <c r="C1524" s="264"/>
      <c r="D1524" s="284" t="s">
        <v>2012</v>
      </c>
      <c r="E1524" s="284" t="s">
        <v>2015</v>
      </c>
      <c r="F1524" s="285">
        <v>2</v>
      </c>
      <c r="G1524" s="286"/>
      <c r="H1524" s="285" t="s">
        <v>2498</v>
      </c>
      <c r="I1524" s="308" t="s">
        <v>2527</v>
      </c>
      <c r="J1524" s="245"/>
      <c r="L1524" s="252"/>
      <c r="AB1524" s="243" t="s">
        <v>2527</v>
      </c>
      <c r="AC1524" s="243" t="s">
        <v>2527</v>
      </c>
      <c r="AD1524" s="243" t="s">
        <v>2527</v>
      </c>
      <c r="AE1524" s="243" t="s">
        <v>2527</v>
      </c>
      <c r="AF1524" s="243" t="s">
        <v>2527</v>
      </c>
      <c r="AG1524" s="243" t="s">
        <v>2527</v>
      </c>
      <c r="AH1524" s="243" t="s">
        <v>2527</v>
      </c>
      <c r="AI1524" s="243" t="s">
        <v>2527</v>
      </c>
      <c r="AJ1524" s="243" t="s">
        <v>2392</v>
      </c>
    </row>
    <row r="1525" spans="1:77">
      <c r="A1525" s="239"/>
      <c r="B1525" s="239"/>
      <c r="C1525" s="264"/>
      <c r="D1525" s="298" t="s">
        <v>2017</v>
      </c>
      <c r="E1525" s="298" t="s">
        <v>536</v>
      </c>
      <c r="F1525" s="299">
        <v>1</v>
      </c>
      <c r="G1525" s="300"/>
      <c r="H1525" s="299" t="s">
        <v>2876</v>
      </c>
      <c r="I1525" s="308" t="s">
        <v>2225</v>
      </c>
      <c r="J1525" s="245" t="s">
        <v>2389</v>
      </c>
      <c r="L1525" s="252"/>
      <c r="BK1525" s="243" t="s">
        <v>2225</v>
      </c>
      <c r="BN1525" s="243" t="s">
        <v>2753</v>
      </c>
      <c r="BO1525" s="243" t="s">
        <v>2753</v>
      </c>
      <c r="BP1525" s="243" t="s">
        <v>2753</v>
      </c>
      <c r="BQ1525" s="243" t="s">
        <v>2753</v>
      </c>
      <c r="BR1525" s="243" t="s">
        <v>2753</v>
      </c>
      <c r="BS1525" s="243" t="s">
        <v>2753</v>
      </c>
      <c r="BT1525" s="243" t="s">
        <v>2753</v>
      </c>
      <c r="BU1525" s="243" t="s">
        <v>2196</v>
      </c>
      <c r="BV1525" s="243" t="s">
        <v>2427</v>
      </c>
      <c r="BW1525" s="243" t="s">
        <v>2427</v>
      </c>
    </row>
    <row r="1526" spans="1:77">
      <c r="A1526" s="261"/>
      <c r="B1526" s="261"/>
      <c r="C1526" s="262"/>
      <c r="D1526" s="262" t="s">
        <v>2013</v>
      </c>
      <c r="E1526" s="262" t="s">
        <v>2016</v>
      </c>
      <c r="F1526" s="261">
        <v>4</v>
      </c>
      <c r="G1526" s="263"/>
      <c r="H1526" s="261"/>
      <c r="I1526" s="308" t="s">
        <v>2151</v>
      </c>
      <c r="J1526" s="245"/>
      <c r="L1526" s="252"/>
    </row>
    <row r="1527" spans="1:77">
      <c r="A1527" s="239">
        <v>72326</v>
      </c>
      <c r="B1527" s="239"/>
      <c r="C1527" s="264" t="s">
        <v>49</v>
      </c>
      <c r="D1527" s="264" t="s">
        <v>270</v>
      </c>
      <c r="E1527" s="264" t="s">
        <v>47</v>
      </c>
      <c r="F1527" s="239">
        <v>1</v>
      </c>
      <c r="G1527" s="265">
        <v>45779</v>
      </c>
      <c r="H1527" s="239"/>
      <c r="I1527" s="308"/>
      <c r="J1527" s="245"/>
      <c r="L1527" s="252"/>
    </row>
    <row r="1528" spans="1:77">
      <c r="A1528" s="239">
        <v>72327</v>
      </c>
      <c r="B1528" s="239"/>
      <c r="C1528" s="264" t="s">
        <v>49</v>
      </c>
      <c r="D1528" s="264" t="s">
        <v>271</v>
      </c>
      <c r="E1528" s="264" t="s">
        <v>47</v>
      </c>
      <c r="F1528" s="239">
        <v>1</v>
      </c>
      <c r="G1528" s="265">
        <v>45779</v>
      </c>
      <c r="H1528" s="239"/>
      <c r="I1528" s="308"/>
      <c r="J1528" s="245"/>
      <c r="L1528" s="252"/>
    </row>
    <row r="1529" spans="1:77">
      <c r="A1529" s="239">
        <v>72328</v>
      </c>
      <c r="B1529" s="239"/>
      <c r="C1529" s="264" t="s">
        <v>49</v>
      </c>
      <c r="D1529" s="264" t="s">
        <v>272</v>
      </c>
      <c r="E1529" s="264" t="s">
        <v>47</v>
      </c>
      <c r="F1529" s="239">
        <v>1</v>
      </c>
      <c r="G1529" s="265">
        <v>45779</v>
      </c>
      <c r="H1529" s="239"/>
      <c r="I1529" s="308"/>
      <c r="J1529" s="245"/>
      <c r="L1529" s="252"/>
    </row>
    <row r="1530" spans="1:77">
      <c r="A1530" s="280">
        <v>72330</v>
      </c>
      <c r="B1530" s="280" t="s">
        <v>1079</v>
      </c>
      <c r="C1530" s="281" t="s">
        <v>20</v>
      </c>
      <c r="D1530" s="281" t="s">
        <v>274</v>
      </c>
      <c r="E1530" s="281" t="s">
        <v>273</v>
      </c>
      <c r="F1530" s="280">
        <v>1</v>
      </c>
      <c r="G1530" s="282">
        <v>45919</v>
      </c>
      <c r="H1530" s="280" t="s">
        <v>2498</v>
      </c>
      <c r="I1530" s="308" t="s">
        <v>2516</v>
      </c>
      <c r="J1530" s="245"/>
      <c r="L1530" s="252"/>
      <c r="BI1530" s="243" t="s">
        <v>2196</v>
      </c>
      <c r="BJ1530" s="243" t="s">
        <v>2205</v>
      </c>
      <c r="BK1530" s="243" t="s">
        <v>2339</v>
      </c>
      <c r="BL1530" s="243" t="s">
        <v>2339</v>
      </c>
      <c r="BM1530" s="243" t="s">
        <v>2253</v>
      </c>
      <c r="BN1530" s="243" t="s">
        <v>2253</v>
      </c>
      <c r="BO1530" s="243" t="s">
        <v>2518</v>
      </c>
      <c r="BP1530" s="243" t="s">
        <v>2518</v>
      </c>
      <c r="BQ1530" s="243" t="s">
        <v>2437</v>
      </c>
      <c r="BR1530" s="243" t="s">
        <v>2437</v>
      </c>
      <c r="BS1530" s="243" t="s">
        <v>2225</v>
      </c>
      <c r="BT1530" s="243" t="s">
        <v>2225</v>
      </c>
      <c r="BU1530" s="243" t="s">
        <v>2517</v>
      </c>
      <c r="BV1530" s="243" t="s">
        <v>2517</v>
      </c>
      <c r="BW1530" s="243" t="s">
        <v>2426</v>
      </c>
      <c r="BX1530" s="243" t="s">
        <v>2426</v>
      </c>
      <c r="BY1530" s="243" t="s">
        <v>2208</v>
      </c>
    </row>
    <row r="1531" spans="1:77">
      <c r="A1531" s="239"/>
      <c r="B1531" s="239"/>
      <c r="C1531" s="264"/>
      <c r="D1531" s="284" t="s">
        <v>1531</v>
      </c>
      <c r="E1531" s="284" t="s">
        <v>531</v>
      </c>
      <c r="F1531" s="285">
        <v>1</v>
      </c>
      <c r="G1531" s="286"/>
      <c r="H1531" s="285"/>
      <c r="I1531" s="308" t="s">
        <v>2389</v>
      </c>
      <c r="J1531" s="245"/>
      <c r="L1531" s="252"/>
      <c r="AU1531" s="243" t="s">
        <v>2389</v>
      </c>
      <c r="AV1531" s="243" t="s">
        <v>2427</v>
      </c>
      <c r="AW1531" s="243" t="s">
        <v>2427</v>
      </c>
    </row>
    <row r="1532" spans="1:77">
      <c r="A1532" s="261"/>
      <c r="B1532" s="261"/>
      <c r="C1532" s="262"/>
      <c r="D1532" s="262" t="s">
        <v>1532</v>
      </c>
      <c r="E1532" s="262" t="s">
        <v>2241</v>
      </c>
      <c r="F1532" s="261">
        <v>1</v>
      </c>
      <c r="G1532" s="263"/>
      <c r="H1532" s="261"/>
      <c r="I1532" s="308" t="s">
        <v>2151</v>
      </c>
      <c r="J1532" s="245"/>
      <c r="L1532" s="252"/>
    </row>
    <row r="1533" spans="1:77">
      <c r="A1533" s="261"/>
      <c r="B1533" s="261"/>
      <c r="C1533" s="262"/>
      <c r="D1533" s="262" t="s">
        <v>1182</v>
      </c>
      <c r="E1533" s="262" t="s">
        <v>1534</v>
      </c>
      <c r="F1533" s="261">
        <v>1</v>
      </c>
      <c r="G1533" s="263"/>
      <c r="H1533" s="261"/>
      <c r="I1533" s="308" t="s">
        <v>2151</v>
      </c>
      <c r="J1533" s="245"/>
      <c r="L1533" s="252"/>
    </row>
    <row r="1534" spans="1:77">
      <c r="A1534" s="261"/>
      <c r="B1534" s="261"/>
      <c r="C1534" s="262"/>
      <c r="D1534" s="262" t="s">
        <v>1505</v>
      </c>
      <c r="E1534" s="262" t="s">
        <v>1535</v>
      </c>
      <c r="F1534" s="261">
        <v>1</v>
      </c>
      <c r="G1534" s="263"/>
      <c r="H1534" s="261"/>
      <c r="I1534" s="308" t="s">
        <v>2151</v>
      </c>
      <c r="J1534" s="245"/>
      <c r="L1534" s="252"/>
    </row>
    <row r="1535" spans="1:77">
      <c r="A1535" s="266">
        <v>72331</v>
      </c>
      <c r="B1535" s="280" t="s">
        <v>1076</v>
      </c>
      <c r="C1535" s="281" t="s">
        <v>20</v>
      </c>
      <c r="D1535" s="281" t="s">
        <v>276</v>
      </c>
      <c r="E1535" s="281" t="s">
        <v>273</v>
      </c>
      <c r="F1535" s="280">
        <v>1</v>
      </c>
      <c r="G1535" s="282">
        <v>45919</v>
      </c>
      <c r="H1535" s="280" t="s">
        <v>2498</v>
      </c>
      <c r="I1535" s="308" t="s">
        <v>2516</v>
      </c>
      <c r="J1535" s="245"/>
      <c r="L1535" s="252"/>
    </row>
    <row r="1536" spans="1:77">
      <c r="A1536" s="239"/>
      <c r="B1536" s="239"/>
      <c r="C1536" s="264"/>
      <c r="D1536" s="284" t="s">
        <v>1531</v>
      </c>
      <c r="E1536" s="284" t="s">
        <v>531</v>
      </c>
      <c r="F1536" s="285">
        <v>1</v>
      </c>
      <c r="G1536" s="286"/>
      <c r="H1536" s="285"/>
      <c r="I1536" s="308" t="s">
        <v>2389</v>
      </c>
      <c r="J1536" s="245"/>
      <c r="L1536" s="252"/>
      <c r="X1536" s="243" t="s">
        <v>2389</v>
      </c>
    </row>
    <row r="1537" spans="1:70">
      <c r="A1537" s="261"/>
      <c r="B1537" s="261"/>
      <c r="C1537" s="262"/>
      <c r="D1537" s="262" t="s">
        <v>1532</v>
      </c>
      <c r="E1537" s="262" t="s">
        <v>1533</v>
      </c>
      <c r="F1537" s="261">
        <v>1</v>
      </c>
      <c r="G1537" s="263"/>
      <c r="H1537" s="261"/>
      <c r="I1537" s="308" t="s">
        <v>2151</v>
      </c>
      <c r="J1537" s="245"/>
      <c r="L1537" s="252"/>
    </row>
    <row r="1538" spans="1:70">
      <c r="A1538" s="261"/>
      <c r="B1538" s="261"/>
      <c r="C1538" s="262"/>
      <c r="D1538" s="262" t="s">
        <v>1182</v>
      </c>
      <c r="E1538" s="262" t="s">
        <v>1534</v>
      </c>
      <c r="F1538" s="261">
        <v>1</v>
      </c>
      <c r="G1538" s="263"/>
      <c r="H1538" s="261"/>
      <c r="I1538" s="308" t="s">
        <v>2151</v>
      </c>
      <c r="J1538" s="245"/>
      <c r="L1538" s="252"/>
    </row>
    <row r="1539" spans="1:70">
      <c r="A1539" s="261"/>
      <c r="B1539" s="261"/>
      <c r="C1539" s="262"/>
      <c r="D1539" s="262" t="s">
        <v>1505</v>
      </c>
      <c r="E1539" s="262" t="s">
        <v>1535</v>
      </c>
      <c r="F1539" s="261">
        <v>1</v>
      </c>
      <c r="G1539" s="263"/>
      <c r="H1539" s="261"/>
      <c r="I1539" s="308" t="s">
        <v>2151</v>
      </c>
      <c r="J1539" s="245"/>
      <c r="L1539" s="252"/>
    </row>
    <row r="1540" spans="1:70">
      <c r="A1540" s="261">
        <v>72349</v>
      </c>
      <c r="B1540" s="261" t="s">
        <v>277</v>
      </c>
      <c r="C1540" s="262" t="s">
        <v>164</v>
      </c>
      <c r="D1540" s="262" t="s">
        <v>278</v>
      </c>
      <c r="E1540" s="262" t="s">
        <v>938</v>
      </c>
      <c r="F1540" s="261">
        <v>21</v>
      </c>
      <c r="G1540" s="263">
        <v>45855</v>
      </c>
      <c r="H1540" s="261"/>
      <c r="I1540" s="308" t="s">
        <v>2151</v>
      </c>
      <c r="J1540" s="245"/>
      <c r="L1540" s="251"/>
    </row>
    <row r="1541" spans="1:70">
      <c r="A1541" s="261">
        <v>72362</v>
      </c>
      <c r="B1541" s="261" t="s">
        <v>279</v>
      </c>
      <c r="C1541" s="262" t="s">
        <v>20</v>
      </c>
      <c r="D1541" s="262" t="s">
        <v>281</v>
      </c>
      <c r="E1541" s="262" t="s">
        <v>280</v>
      </c>
      <c r="F1541" s="261">
        <v>4</v>
      </c>
      <c r="G1541" s="263">
        <v>45849</v>
      </c>
      <c r="H1541" s="261"/>
      <c r="I1541" s="308" t="s">
        <v>2151</v>
      </c>
      <c r="J1541" s="245"/>
      <c r="L1541" s="251"/>
    </row>
    <row r="1542" spans="1:70">
      <c r="A1542" s="261">
        <v>72364</v>
      </c>
      <c r="B1542" s="261">
        <v>280101251</v>
      </c>
      <c r="C1542" s="262" t="s">
        <v>167</v>
      </c>
      <c r="D1542" s="262" t="s">
        <v>283</v>
      </c>
      <c r="E1542" s="262" t="s">
        <v>282</v>
      </c>
      <c r="F1542" s="261">
        <v>1</v>
      </c>
      <c r="G1542" s="263">
        <v>45807</v>
      </c>
      <c r="H1542" s="261"/>
      <c r="I1542" s="308"/>
      <c r="J1542" s="245"/>
      <c r="L1542" s="252"/>
    </row>
    <row r="1543" spans="1:70">
      <c r="A1543" s="261">
        <v>72365</v>
      </c>
      <c r="B1543" s="261" t="s">
        <v>942</v>
      </c>
      <c r="C1543" s="262" t="s">
        <v>164</v>
      </c>
      <c r="D1543" s="262" t="s">
        <v>284</v>
      </c>
      <c r="E1543" s="262">
        <v>700589434</v>
      </c>
      <c r="F1543" s="261">
        <v>1</v>
      </c>
      <c r="G1543" s="263">
        <v>45901</v>
      </c>
      <c r="H1543" s="261"/>
      <c r="I1543" s="308" t="s">
        <v>2208</v>
      </c>
      <c r="J1543" s="245"/>
      <c r="L1543" s="252"/>
      <c r="AB1543" s="243" t="s">
        <v>2248</v>
      </c>
    </row>
    <row r="1544" spans="1:70" ht="120">
      <c r="A1544" s="261">
        <v>72366</v>
      </c>
      <c r="B1544" s="261" t="s">
        <v>942</v>
      </c>
      <c r="C1544" s="262" t="s">
        <v>164</v>
      </c>
      <c r="D1544" s="262" t="s">
        <v>285</v>
      </c>
      <c r="E1544" s="314">
        <v>700589302</v>
      </c>
      <c r="F1544" s="261">
        <v>1</v>
      </c>
      <c r="G1544" s="263">
        <v>45901</v>
      </c>
      <c r="H1544" s="261" t="s">
        <v>2744</v>
      </c>
      <c r="I1544" s="308" t="s">
        <v>2208</v>
      </c>
      <c r="J1544" s="245"/>
      <c r="L1544" s="252"/>
      <c r="X1544" s="243" t="s">
        <v>2183</v>
      </c>
      <c r="AO1544" s="243" t="s">
        <v>2331</v>
      </c>
      <c r="AQ1544" s="243" t="s">
        <v>2389</v>
      </c>
      <c r="AR1544" s="243" t="s">
        <v>2225</v>
      </c>
      <c r="AS1544" s="243" t="s">
        <v>2225</v>
      </c>
      <c r="AT1544" s="246" t="s">
        <v>2551</v>
      </c>
      <c r="AU1544" s="246" t="s">
        <v>2551</v>
      </c>
      <c r="AV1544" s="246" t="s">
        <v>2551</v>
      </c>
      <c r="AW1544" s="246" t="s">
        <v>2551</v>
      </c>
      <c r="AX1544" s="246" t="s">
        <v>2551</v>
      </c>
      <c r="AY1544" s="246" t="s">
        <v>2551</v>
      </c>
      <c r="AZ1544" s="246" t="s">
        <v>2551</v>
      </c>
      <c r="BA1544" s="246" t="s">
        <v>2552</v>
      </c>
      <c r="BB1544" s="246" t="s">
        <v>2552</v>
      </c>
      <c r="BC1544" s="246" t="s">
        <v>2552</v>
      </c>
      <c r="BD1544" s="246" t="s">
        <v>2552</v>
      </c>
      <c r="BE1544" s="243" t="s">
        <v>2331</v>
      </c>
      <c r="BF1544" s="243" t="s">
        <v>2389</v>
      </c>
      <c r="BG1544" s="243" t="s">
        <v>2389</v>
      </c>
      <c r="BH1544" s="243" t="s">
        <v>2553</v>
      </c>
      <c r="BI1544" s="243" t="s">
        <v>2427</v>
      </c>
      <c r="BJ1544" s="243" t="s">
        <v>2427</v>
      </c>
      <c r="BK1544" s="243" t="s">
        <v>2427</v>
      </c>
      <c r="BL1544" s="243" t="s">
        <v>2427</v>
      </c>
      <c r="BM1544" s="243" t="s">
        <v>2427</v>
      </c>
      <c r="BN1544" s="243" t="s">
        <v>2398</v>
      </c>
      <c r="BO1544" s="243" t="s">
        <v>2398</v>
      </c>
      <c r="BP1544" s="243" t="s">
        <v>2426</v>
      </c>
      <c r="BQ1544" s="243" t="s">
        <v>2426</v>
      </c>
      <c r="BR1544" s="243" t="s">
        <v>2208</v>
      </c>
    </row>
    <row r="1545" spans="1:70">
      <c r="A1545" s="280">
        <v>72367</v>
      </c>
      <c r="B1545" s="280" t="s">
        <v>286</v>
      </c>
      <c r="C1545" s="281" t="s">
        <v>20</v>
      </c>
      <c r="D1545" s="281" t="s">
        <v>288</v>
      </c>
      <c r="E1545" s="281" t="s">
        <v>287</v>
      </c>
      <c r="F1545" s="280">
        <v>4</v>
      </c>
      <c r="G1545" s="282">
        <v>46232</v>
      </c>
      <c r="H1545" s="280"/>
      <c r="I1545" s="308"/>
      <c r="J1545" s="245"/>
      <c r="L1545" s="252"/>
    </row>
    <row r="1546" spans="1:70">
      <c r="A1546" s="261"/>
      <c r="B1546" s="261"/>
      <c r="C1546" s="262"/>
      <c r="D1546" s="262" t="s">
        <v>2287</v>
      </c>
      <c r="E1546" s="262" t="s">
        <v>2243</v>
      </c>
      <c r="F1546" s="261">
        <v>16</v>
      </c>
      <c r="G1546" s="263"/>
      <c r="H1546" s="261"/>
      <c r="I1546" s="308" t="s">
        <v>2151</v>
      </c>
      <c r="J1546" s="245"/>
      <c r="L1546" s="252"/>
    </row>
    <row r="1547" spans="1:70">
      <c r="A1547" s="239"/>
      <c r="B1547" s="239"/>
      <c r="C1547" s="264"/>
      <c r="D1547" s="264" t="s">
        <v>2247</v>
      </c>
      <c r="E1547" s="264" t="s">
        <v>2245</v>
      </c>
      <c r="F1547" s="239">
        <v>72</v>
      </c>
      <c r="G1547" s="265"/>
      <c r="H1547" s="239"/>
      <c r="I1547" s="308" t="s">
        <v>2246</v>
      </c>
      <c r="J1547" s="245"/>
      <c r="L1547" s="252"/>
      <c r="AF1547" s="243" t="s">
        <v>2246</v>
      </c>
    </row>
    <row r="1548" spans="1:70" ht="90">
      <c r="A1548" s="239"/>
      <c r="B1548" s="239"/>
      <c r="C1548" s="264"/>
      <c r="D1548" s="264" t="s">
        <v>2251</v>
      </c>
      <c r="E1548" s="264" t="s">
        <v>2367</v>
      </c>
      <c r="F1548" s="239">
        <v>4</v>
      </c>
      <c r="G1548" s="265"/>
      <c r="H1548" s="239" t="s">
        <v>2498</v>
      </c>
      <c r="I1548" s="308" t="s">
        <v>2225</v>
      </c>
      <c r="J1548" s="245"/>
      <c r="L1548" s="252"/>
      <c r="AB1548" s="243" t="s">
        <v>2248</v>
      </c>
      <c r="AM1548" s="243" t="s">
        <v>2225</v>
      </c>
      <c r="AN1548" s="246" t="s">
        <v>2563</v>
      </c>
      <c r="AO1548" s="246" t="s">
        <v>2563</v>
      </c>
      <c r="AP1548" s="246" t="s">
        <v>2563</v>
      </c>
      <c r="AQ1548" s="246" t="s">
        <v>2563</v>
      </c>
      <c r="AR1548" s="246" t="s">
        <v>2563</v>
      </c>
      <c r="AS1548" s="246" t="s">
        <v>2563</v>
      </c>
      <c r="AT1548" s="246" t="s">
        <v>2563</v>
      </c>
      <c r="AU1548" s="243" t="s">
        <v>2196</v>
      </c>
      <c r="AV1548" s="243" t="s">
        <v>2427</v>
      </c>
      <c r="AW1548" s="243" t="s">
        <v>2427</v>
      </c>
    </row>
    <row r="1549" spans="1:70">
      <c r="A1549" s="239"/>
      <c r="B1549" s="239"/>
      <c r="C1549" s="264"/>
      <c r="D1549" s="264" t="s">
        <v>2368</v>
      </c>
      <c r="E1549" s="264" t="s">
        <v>2369</v>
      </c>
      <c r="F1549" s="239">
        <v>48</v>
      </c>
      <c r="G1549" s="265"/>
      <c r="H1549" s="239"/>
      <c r="I1549" s="308" t="s">
        <v>2372</v>
      </c>
      <c r="J1549" s="245"/>
      <c r="L1549" s="252"/>
      <c r="AC1549" s="243" t="s">
        <v>2338</v>
      </c>
      <c r="AP1549" s="243" t="s">
        <v>2372</v>
      </c>
    </row>
    <row r="1550" spans="1:70">
      <c r="A1550" s="239"/>
      <c r="B1550" s="239"/>
      <c r="C1550" s="264"/>
      <c r="D1550" s="264" t="s">
        <v>2370</v>
      </c>
      <c r="E1550" s="264" t="s">
        <v>2371</v>
      </c>
      <c r="F1550" s="239">
        <v>36</v>
      </c>
      <c r="G1550" s="265"/>
      <c r="H1550" s="239"/>
      <c r="I1550" s="308" t="s">
        <v>2372</v>
      </c>
      <c r="J1550" s="245"/>
      <c r="L1550" s="252"/>
      <c r="AK1550" s="243" t="s">
        <v>2372</v>
      </c>
      <c r="AL1550" s="243" t="s">
        <v>2372</v>
      </c>
      <c r="AM1550" s="243" t="s">
        <v>2372</v>
      </c>
    </row>
    <row r="1551" spans="1:70">
      <c r="A1551" s="239"/>
      <c r="B1551" s="239"/>
      <c r="C1551" s="264"/>
      <c r="D1551" s="264" t="s">
        <v>2424</v>
      </c>
      <c r="E1551" s="264" t="s">
        <v>2425</v>
      </c>
      <c r="F1551" s="239">
        <v>4</v>
      </c>
      <c r="G1551" s="265"/>
      <c r="H1551" s="239"/>
      <c r="I1551" s="308" t="s">
        <v>2225</v>
      </c>
      <c r="J1551" s="245"/>
      <c r="L1551" s="252"/>
      <c r="AC1551" s="243" t="s">
        <v>2225</v>
      </c>
    </row>
    <row r="1552" spans="1:70">
      <c r="A1552" s="239"/>
      <c r="B1552" s="239"/>
      <c r="C1552" s="264"/>
      <c r="D1552" s="264" t="s">
        <v>2415</v>
      </c>
      <c r="E1552" s="264" t="s">
        <v>2416</v>
      </c>
      <c r="F1552" s="239">
        <v>48</v>
      </c>
      <c r="G1552" s="265"/>
      <c r="H1552" s="239"/>
      <c r="I1552" s="308" t="s">
        <v>2394</v>
      </c>
      <c r="J1552" s="245"/>
      <c r="L1552" s="252"/>
      <c r="AD1552" s="243" t="s">
        <v>2394</v>
      </c>
    </row>
    <row r="1553" spans="1:65">
      <c r="A1553" s="239"/>
      <c r="B1553" s="239"/>
      <c r="C1553" s="264"/>
      <c r="D1553" s="264" t="s">
        <v>2418</v>
      </c>
      <c r="E1553" s="264" t="s">
        <v>2419</v>
      </c>
      <c r="F1553" s="239">
        <v>8</v>
      </c>
      <c r="G1553" s="265"/>
      <c r="H1553" s="239" t="s">
        <v>2498</v>
      </c>
      <c r="I1553" s="308" t="s">
        <v>2338</v>
      </c>
      <c r="J1553" s="245"/>
      <c r="L1553" s="252"/>
      <c r="AB1553" s="243" t="s">
        <v>2338</v>
      </c>
    </row>
    <row r="1554" spans="1:65">
      <c r="A1554" s="280">
        <v>72368</v>
      </c>
      <c r="B1554" s="280" t="s">
        <v>286</v>
      </c>
      <c r="C1554" s="281" t="s">
        <v>20</v>
      </c>
      <c r="D1554" s="281" t="s">
        <v>290</v>
      </c>
      <c r="E1554" s="281" t="s">
        <v>289</v>
      </c>
      <c r="F1554" s="280">
        <v>4</v>
      </c>
      <c r="G1554" s="282">
        <v>46232</v>
      </c>
      <c r="H1554" s="280"/>
      <c r="I1554" s="308"/>
      <c r="J1554" s="245"/>
      <c r="L1554" s="251"/>
    </row>
    <row r="1555" spans="1:65">
      <c r="A1555" s="280">
        <v>72373</v>
      </c>
      <c r="B1555" s="280" t="s">
        <v>291</v>
      </c>
      <c r="C1555" s="281" t="s">
        <v>20</v>
      </c>
      <c r="D1555" s="281" t="s">
        <v>293</v>
      </c>
      <c r="E1555" s="281" t="s">
        <v>292</v>
      </c>
      <c r="F1555" s="280">
        <v>3</v>
      </c>
      <c r="G1555" s="282">
        <v>46304</v>
      </c>
      <c r="H1555" s="280"/>
      <c r="I1555" s="308"/>
      <c r="J1555" s="245"/>
      <c r="L1555" s="252"/>
    </row>
    <row r="1556" spans="1:65">
      <c r="A1556" s="261">
        <v>72380</v>
      </c>
      <c r="B1556" s="261">
        <v>280101422</v>
      </c>
      <c r="C1556" s="262" t="s">
        <v>167</v>
      </c>
      <c r="D1556" s="262" t="s">
        <v>295</v>
      </c>
      <c r="E1556" s="262" t="s">
        <v>294</v>
      </c>
      <c r="F1556" s="261">
        <v>1</v>
      </c>
      <c r="G1556" s="263">
        <v>45813</v>
      </c>
      <c r="H1556" s="261"/>
      <c r="I1556" s="308" t="s">
        <v>2151</v>
      </c>
      <c r="J1556" s="245" t="s">
        <v>2331</v>
      </c>
      <c r="L1556" s="252"/>
      <c r="BD1556" s="243" t="s">
        <v>2697</v>
      </c>
    </row>
    <row r="1557" spans="1:65" ht="45" customHeight="1">
      <c r="A1557" s="261">
        <v>72381</v>
      </c>
      <c r="B1557" s="261" t="s">
        <v>296</v>
      </c>
      <c r="C1557" s="262" t="s">
        <v>20</v>
      </c>
      <c r="D1557" s="262" t="s">
        <v>298</v>
      </c>
      <c r="E1557" s="262" t="s">
        <v>297</v>
      </c>
      <c r="F1557" s="261">
        <v>1</v>
      </c>
      <c r="G1557" s="263">
        <v>45799</v>
      </c>
      <c r="H1557" s="261"/>
      <c r="I1557" s="313" t="s">
        <v>2151</v>
      </c>
      <c r="J1557" s="245"/>
      <c r="L1557" s="252"/>
      <c r="AD1557" s="246" t="s">
        <v>2176</v>
      </c>
      <c r="AE1557" s="246" t="s">
        <v>2176</v>
      </c>
      <c r="AF1557" s="246" t="s">
        <v>2176</v>
      </c>
      <c r="AG1557" s="246" t="s">
        <v>2176</v>
      </c>
      <c r="AH1557" s="246" t="s">
        <v>2176</v>
      </c>
      <c r="AI1557" s="246" t="s">
        <v>2176</v>
      </c>
      <c r="AJ1557" s="246" t="s">
        <v>2176</v>
      </c>
      <c r="AK1557" s="243" t="s">
        <v>2428</v>
      </c>
      <c r="AL1557" s="243" t="s">
        <v>2426</v>
      </c>
      <c r="AM1557" s="243" t="s">
        <v>2426</v>
      </c>
    </row>
    <row r="1558" spans="1:65" ht="45" customHeight="1">
      <c r="A1558" s="261">
        <v>72381</v>
      </c>
      <c r="B1558" s="261" t="s">
        <v>296</v>
      </c>
      <c r="C1558" s="262" t="s">
        <v>20</v>
      </c>
      <c r="D1558" s="262" t="s">
        <v>300</v>
      </c>
      <c r="E1558" s="262" t="s">
        <v>299</v>
      </c>
      <c r="F1558" s="261">
        <v>4</v>
      </c>
      <c r="G1558" s="263">
        <v>45799</v>
      </c>
      <c r="H1558" s="261"/>
      <c r="I1558" s="313" t="s">
        <v>2151</v>
      </c>
      <c r="J1558" s="245"/>
      <c r="L1558" s="252"/>
      <c r="AD1558" s="246" t="s">
        <v>2176</v>
      </c>
      <c r="AE1558" s="246" t="s">
        <v>2176</v>
      </c>
      <c r="AF1558" s="246" t="s">
        <v>2176</v>
      </c>
      <c r="AG1558" s="246" t="s">
        <v>2176</v>
      </c>
      <c r="AH1558" s="246" t="s">
        <v>2176</v>
      </c>
      <c r="AI1558" s="246" t="s">
        <v>2176</v>
      </c>
      <c r="AJ1558" s="246" t="s">
        <v>2176</v>
      </c>
      <c r="AK1558" s="243" t="s">
        <v>2428</v>
      </c>
      <c r="AL1558" s="243" t="s">
        <v>2426</v>
      </c>
      <c r="AM1558" s="243" t="s">
        <v>2426</v>
      </c>
    </row>
    <row r="1559" spans="1:65" ht="45" customHeight="1">
      <c r="A1559" s="261">
        <v>72381</v>
      </c>
      <c r="B1559" s="261" t="s">
        <v>296</v>
      </c>
      <c r="C1559" s="262" t="s">
        <v>20</v>
      </c>
      <c r="D1559" s="262" t="s">
        <v>302</v>
      </c>
      <c r="E1559" s="262" t="s">
        <v>301</v>
      </c>
      <c r="F1559" s="261">
        <v>1</v>
      </c>
      <c r="G1559" s="263">
        <v>45799</v>
      </c>
      <c r="H1559" s="261"/>
      <c r="I1559" s="313" t="s">
        <v>2151</v>
      </c>
      <c r="J1559" s="245"/>
      <c r="L1559" s="252"/>
      <c r="AD1559" s="246" t="s">
        <v>2176</v>
      </c>
      <c r="AE1559" s="246" t="s">
        <v>2176</v>
      </c>
      <c r="AF1559" s="246" t="s">
        <v>2176</v>
      </c>
      <c r="AG1559" s="246" t="s">
        <v>2176</v>
      </c>
      <c r="AH1559" s="246" t="s">
        <v>2176</v>
      </c>
      <c r="AI1559" s="246" t="s">
        <v>2176</v>
      </c>
      <c r="AJ1559" s="246" t="s">
        <v>2176</v>
      </c>
      <c r="AK1559" s="243" t="s">
        <v>2428</v>
      </c>
      <c r="AL1559" s="243" t="s">
        <v>2426</v>
      </c>
      <c r="AM1559" s="243" t="s">
        <v>2426</v>
      </c>
    </row>
    <row r="1560" spans="1:65" ht="45" customHeight="1">
      <c r="A1560" s="261">
        <v>72381</v>
      </c>
      <c r="B1560" s="261" t="s">
        <v>296</v>
      </c>
      <c r="C1560" s="262" t="s">
        <v>20</v>
      </c>
      <c r="D1560" s="262" t="s">
        <v>304</v>
      </c>
      <c r="E1560" s="262" t="s">
        <v>303</v>
      </c>
      <c r="F1560" s="261">
        <v>1</v>
      </c>
      <c r="G1560" s="263">
        <v>45799</v>
      </c>
      <c r="H1560" s="261"/>
      <c r="I1560" s="313" t="s">
        <v>2151</v>
      </c>
      <c r="J1560" s="245"/>
      <c r="L1560" s="252"/>
      <c r="AD1560" s="246" t="s">
        <v>2176</v>
      </c>
      <c r="AE1560" s="246" t="s">
        <v>2176</v>
      </c>
      <c r="AF1560" s="246" t="s">
        <v>2176</v>
      </c>
      <c r="AG1560" s="246" t="s">
        <v>2176</v>
      </c>
      <c r="AH1560" s="246" t="s">
        <v>2176</v>
      </c>
      <c r="AI1560" s="246" t="s">
        <v>2176</v>
      </c>
      <c r="AJ1560" s="246" t="s">
        <v>2176</v>
      </c>
      <c r="AK1560" s="243" t="s">
        <v>2428</v>
      </c>
      <c r="AL1560" s="243" t="s">
        <v>2426</v>
      </c>
      <c r="AM1560" s="243" t="s">
        <v>2426</v>
      </c>
    </row>
    <row r="1561" spans="1:65" ht="45" customHeight="1">
      <c r="A1561" s="261">
        <v>72381</v>
      </c>
      <c r="B1561" s="261" t="s">
        <v>296</v>
      </c>
      <c r="C1561" s="262" t="s">
        <v>20</v>
      </c>
      <c r="D1561" s="262" t="s">
        <v>306</v>
      </c>
      <c r="E1561" s="262" t="s">
        <v>305</v>
      </c>
      <c r="F1561" s="261">
        <v>1</v>
      </c>
      <c r="G1561" s="263">
        <v>45799</v>
      </c>
      <c r="H1561" s="261"/>
      <c r="I1561" s="313" t="s">
        <v>2151</v>
      </c>
      <c r="J1561" s="245"/>
      <c r="L1561" s="252"/>
      <c r="AD1561" s="246" t="s">
        <v>2176</v>
      </c>
      <c r="AE1561" s="246" t="s">
        <v>2176</v>
      </c>
      <c r="AF1561" s="246" t="s">
        <v>2176</v>
      </c>
      <c r="AG1561" s="246" t="s">
        <v>2176</v>
      </c>
      <c r="AH1561" s="246" t="s">
        <v>2176</v>
      </c>
      <c r="AI1561" s="246" t="s">
        <v>2176</v>
      </c>
      <c r="AJ1561" s="246" t="s">
        <v>2176</v>
      </c>
      <c r="AK1561" s="243" t="s">
        <v>2428</v>
      </c>
      <c r="AL1561" s="243" t="s">
        <v>2426</v>
      </c>
      <c r="AM1561" s="243" t="s">
        <v>2426</v>
      </c>
    </row>
    <row r="1562" spans="1:65">
      <c r="A1562" s="261">
        <v>72386</v>
      </c>
      <c r="B1562" s="261">
        <v>4500938848</v>
      </c>
      <c r="C1562" s="262" t="s">
        <v>226</v>
      </c>
      <c r="D1562" s="262" t="s">
        <v>1080</v>
      </c>
      <c r="E1562" s="262" t="s">
        <v>955</v>
      </c>
      <c r="F1562" s="261">
        <v>200</v>
      </c>
      <c r="G1562" s="263">
        <v>45855</v>
      </c>
      <c r="H1562" s="261"/>
      <c r="I1562" s="308" t="s">
        <v>2151</v>
      </c>
      <c r="J1562" s="245"/>
      <c r="L1562" s="251"/>
    </row>
    <row r="1563" spans="1:65">
      <c r="A1563" s="239">
        <v>72388</v>
      </c>
      <c r="B1563" s="239">
        <v>211246771</v>
      </c>
      <c r="C1563" s="264" t="s">
        <v>309</v>
      </c>
      <c r="D1563" s="264" t="s">
        <v>308</v>
      </c>
      <c r="E1563" s="264" t="s">
        <v>307</v>
      </c>
      <c r="F1563" s="239">
        <v>1</v>
      </c>
      <c r="G1563" s="265">
        <v>45823</v>
      </c>
      <c r="H1563" s="239" t="s">
        <v>2178</v>
      </c>
      <c r="I1563" s="308" t="s">
        <v>2180</v>
      </c>
      <c r="J1563" s="245"/>
      <c r="L1563" s="252"/>
    </row>
    <row r="1564" spans="1:65">
      <c r="A1564" s="280">
        <v>72395</v>
      </c>
      <c r="B1564" s="280" t="s">
        <v>310</v>
      </c>
      <c r="C1564" s="281" t="s">
        <v>20</v>
      </c>
      <c r="D1564" s="281" t="s">
        <v>312</v>
      </c>
      <c r="E1564" s="281" t="s">
        <v>311</v>
      </c>
      <c r="F1564" s="280">
        <v>1</v>
      </c>
      <c r="G1564" s="282">
        <v>45896</v>
      </c>
      <c r="H1564" s="280"/>
      <c r="I1564" s="308"/>
      <c r="J1564" s="245"/>
      <c r="L1564" s="251"/>
    </row>
    <row r="1565" spans="1:65">
      <c r="A1565" s="261"/>
      <c r="B1565" s="261"/>
      <c r="C1565" s="262"/>
      <c r="D1565" s="262" t="s">
        <v>2791</v>
      </c>
      <c r="E1565" s="262" t="s">
        <v>2790</v>
      </c>
      <c r="F1565" s="261">
        <v>4</v>
      </c>
      <c r="G1565" s="263"/>
      <c r="H1565" s="261"/>
      <c r="I1565" s="308" t="s">
        <v>2151</v>
      </c>
      <c r="J1565" s="245"/>
      <c r="L1565" s="251"/>
    </row>
    <row r="1566" spans="1:65">
      <c r="A1566" s="239"/>
      <c r="B1566" s="239"/>
      <c r="C1566" s="264"/>
      <c r="D1566" s="264" t="s">
        <v>2051</v>
      </c>
      <c r="E1566" s="264" t="s">
        <v>2052</v>
      </c>
      <c r="F1566" s="239">
        <v>15</v>
      </c>
      <c r="G1566" s="265" t="s">
        <v>2891</v>
      </c>
      <c r="H1566" s="239"/>
      <c r="I1566" s="308" t="s">
        <v>2196</v>
      </c>
      <c r="J1566" s="245"/>
      <c r="L1566" s="251"/>
      <c r="BJ1566" s="243" t="s">
        <v>2892</v>
      </c>
      <c r="BK1566" s="243" t="s">
        <v>2196</v>
      </c>
      <c r="BL1566" s="243" t="s">
        <v>2427</v>
      </c>
      <c r="BM1566" s="243" t="s">
        <v>2427</v>
      </c>
    </row>
    <row r="1567" spans="1:65">
      <c r="A1567" s="239"/>
      <c r="B1567" s="239"/>
      <c r="C1567" s="264"/>
      <c r="D1567" s="264" t="s">
        <v>2053</v>
      </c>
      <c r="E1567" s="264" t="s">
        <v>2104</v>
      </c>
      <c r="F1567" s="239">
        <v>15</v>
      </c>
      <c r="G1567" s="265" t="s">
        <v>2891</v>
      </c>
      <c r="H1567" s="239"/>
      <c r="I1567" s="308" t="s">
        <v>2196</v>
      </c>
      <c r="J1567" s="245"/>
      <c r="L1567" s="251"/>
      <c r="BJ1567" s="243" t="s">
        <v>2892</v>
      </c>
      <c r="BK1567" s="243" t="s">
        <v>2196</v>
      </c>
      <c r="BL1567" s="243" t="s">
        <v>2427</v>
      </c>
      <c r="BM1567" s="243" t="s">
        <v>2427</v>
      </c>
    </row>
    <row r="1568" spans="1:65">
      <c r="A1568" s="239"/>
      <c r="B1568" s="239"/>
      <c r="C1568" s="264"/>
      <c r="D1568" s="264" t="s">
        <v>2054</v>
      </c>
      <c r="E1568" s="264" t="s">
        <v>2105</v>
      </c>
      <c r="F1568" s="239">
        <v>15</v>
      </c>
      <c r="G1568" s="265" t="s">
        <v>2891</v>
      </c>
      <c r="H1568" s="239"/>
      <c r="I1568" s="308" t="s">
        <v>2196</v>
      </c>
      <c r="J1568" s="245"/>
      <c r="L1568" s="251"/>
      <c r="BJ1568" s="243" t="s">
        <v>2892</v>
      </c>
      <c r="BK1568" s="243" t="s">
        <v>2196</v>
      </c>
      <c r="BL1568" s="243" t="s">
        <v>2427</v>
      </c>
      <c r="BM1568" s="243" t="s">
        <v>2427</v>
      </c>
    </row>
    <row r="1569" spans="1:60">
      <c r="A1569" s="239"/>
      <c r="B1569" s="239"/>
      <c r="C1569" s="264"/>
      <c r="D1569" s="264" t="s">
        <v>2055</v>
      </c>
      <c r="E1569" s="264" t="s">
        <v>2106</v>
      </c>
      <c r="F1569" s="239"/>
      <c r="G1569" s="265"/>
      <c r="H1569" s="239" t="s">
        <v>2624</v>
      </c>
      <c r="I1569" s="338" t="s">
        <v>2758</v>
      </c>
      <c r="J1569" s="245"/>
      <c r="L1569" s="251"/>
    </row>
    <row r="1570" spans="1:60">
      <c r="A1570" s="239"/>
      <c r="B1570" s="239"/>
      <c r="C1570" s="264"/>
      <c r="D1570" s="264" t="s">
        <v>2056</v>
      </c>
      <c r="E1570" s="264" t="s">
        <v>2107</v>
      </c>
      <c r="F1570" s="239"/>
      <c r="G1570" s="265"/>
      <c r="H1570" s="239" t="s">
        <v>2624</v>
      </c>
      <c r="I1570" s="338" t="s">
        <v>2758</v>
      </c>
      <c r="J1570" s="245"/>
      <c r="L1570" s="251"/>
    </row>
    <row r="1571" spans="1:60">
      <c r="A1571" s="239"/>
      <c r="B1571" s="239"/>
      <c r="C1571" s="264"/>
      <c r="D1571" s="264" t="s">
        <v>2057</v>
      </c>
      <c r="E1571" s="264" t="s">
        <v>2108</v>
      </c>
      <c r="F1571" s="239"/>
      <c r="G1571" s="265"/>
      <c r="H1571" s="239" t="s">
        <v>2624</v>
      </c>
      <c r="I1571" s="338" t="s">
        <v>2758</v>
      </c>
      <c r="J1571" s="245"/>
      <c r="L1571" s="251"/>
    </row>
    <row r="1572" spans="1:60">
      <c r="A1572" s="239"/>
      <c r="B1572" s="239"/>
      <c r="C1572" s="264"/>
      <c r="D1572" s="264" t="s">
        <v>2058</v>
      </c>
      <c r="E1572" s="264" t="s">
        <v>2109</v>
      </c>
      <c r="F1572" s="239"/>
      <c r="G1572" s="265"/>
      <c r="H1572" s="239"/>
      <c r="I1572" s="308"/>
      <c r="J1572" s="245"/>
      <c r="L1572" s="251"/>
    </row>
    <row r="1573" spans="1:60">
      <c r="A1573" s="239"/>
      <c r="B1573" s="239"/>
      <c r="C1573" s="264"/>
      <c r="D1573" s="264" t="s">
        <v>2059</v>
      </c>
      <c r="E1573" s="264" t="s">
        <v>2110</v>
      </c>
      <c r="F1573" s="239"/>
      <c r="G1573" s="265"/>
      <c r="H1573" s="239"/>
      <c r="I1573" s="308"/>
      <c r="J1573" s="245"/>
      <c r="L1573" s="251"/>
    </row>
    <row r="1574" spans="1:60">
      <c r="A1574" s="239"/>
      <c r="B1574" s="239"/>
      <c r="C1574" s="264"/>
      <c r="D1574" s="264" t="s">
        <v>2060</v>
      </c>
      <c r="E1574" s="264" t="s">
        <v>2111</v>
      </c>
      <c r="F1574" s="239">
        <v>4</v>
      </c>
      <c r="G1574" s="265"/>
      <c r="H1574" s="239"/>
      <c r="I1574" s="308" t="s">
        <v>2389</v>
      </c>
      <c r="J1574" s="245"/>
      <c r="L1574" s="251"/>
      <c r="AE1574" s="243" t="s">
        <v>2338</v>
      </c>
      <c r="AM1574" s="243" t="s">
        <v>2389</v>
      </c>
    </row>
    <row r="1575" spans="1:60">
      <c r="A1575" s="239"/>
      <c r="B1575" s="239"/>
      <c r="C1575" s="264"/>
      <c r="D1575" s="264" t="s">
        <v>2061</v>
      </c>
      <c r="E1575" s="264" t="s">
        <v>2100</v>
      </c>
      <c r="F1575" s="239"/>
      <c r="G1575" s="265"/>
      <c r="H1575" s="239"/>
      <c r="I1575" s="308"/>
      <c r="J1575" s="245"/>
      <c r="L1575" s="251"/>
    </row>
    <row r="1576" spans="1:60">
      <c r="A1576" s="239"/>
      <c r="B1576" s="239"/>
      <c r="C1576" s="264"/>
      <c r="D1576" s="264" t="s">
        <v>2062</v>
      </c>
      <c r="E1576" s="264" t="s">
        <v>2101</v>
      </c>
      <c r="F1576" s="239"/>
      <c r="G1576" s="265"/>
      <c r="H1576" s="239"/>
      <c r="I1576" s="308"/>
      <c r="J1576" s="245"/>
      <c r="L1576" s="251"/>
    </row>
    <row r="1577" spans="1:60">
      <c r="A1577" s="239"/>
      <c r="B1577" s="239"/>
      <c r="C1577" s="264"/>
      <c r="D1577" s="284" t="s">
        <v>2063</v>
      </c>
      <c r="E1577" s="284" t="s">
        <v>2112</v>
      </c>
      <c r="F1577" s="285">
        <v>1</v>
      </c>
      <c r="G1577" s="286"/>
      <c r="H1577" s="285"/>
      <c r="I1577" s="308" t="s">
        <v>2389</v>
      </c>
      <c r="J1577" s="245"/>
      <c r="L1577" s="251"/>
      <c r="AB1577" s="243" t="s">
        <v>2394</v>
      </c>
      <c r="AQ1577" s="243" t="s">
        <v>2340</v>
      </c>
      <c r="AS1577" s="243" t="s">
        <v>2558</v>
      </c>
      <c r="AU1577" s="246"/>
      <c r="AW1577" s="246"/>
      <c r="AX1577" s="246"/>
      <c r="BA1577" s="246"/>
      <c r="BB1577" s="246"/>
      <c r="BC1577" s="246" t="s">
        <v>2389</v>
      </c>
      <c r="BD1577" s="243" t="s">
        <v>2225</v>
      </c>
      <c r="BE1577" s="243" t="s">
        <v>2398</v>
      </c>
      <c r="BF1577" s="243" t="s">
        <v>2398</v>
      </c>
      <c r="BG1577" s="243" t="s">
        <v>2437</v>
      </c>
      <c r="BH1577" s="243" t="s">
        <v>2437</v>
      </c>
    </row>
    <row r="1578" spans="1:60">
      <c r="A1578" s="261"/>
      <c r="B1578" s="261"/>
      <c r="C1578" s="262"/>
      <c r="D1578" s="262" t="s">
        <v>2071</v>
      </c>
      <c r="E1578" s="262" t="s">
        <v>2113</v>
      </c>
      <c r="F1578" s="261">
        <v>2</v>
      </c>
      <c r="G1578" s="263"/>
      <c r="H1578" s="261"/>
      <c r="I1578" s="308" t="s">
        <v>2151</v>
      </c>
      <c r="J1578" s="245"/>
      <c r="L1578" s="251"/>
      <c r="AB1578" s="243" t="s">
        <v>2248</v>
      </c>
      <c r="AK1578" s="243" t="s">
        <v>2225</v>
      </c>
    </row>
    <row r="1579" spans="1:60">
      <c r="A1579" s="261"/>
      <c r="B1579" s="261"/>
      <c r="C1579" s="262"/>
      <c r="D1579" s="262" t="s">
        <v>2072</v>
      </c>
      <c r="E1579" s="262" t="s">
        <v>2114</v>
      </c>
      <c r="F1579" s="261">
        <v>1</v>
      </c>
      <c r="G1579" s="263"/>
      <c r="H1579" s="261"/>
      <c r="I1579" s="308" t="s">
        <v>2151</v>
      </c>
      <c r="J1579" s="245"/>
      <c r="L1579" s="251"/>
    </row>
    <row r="1580" spans="1:60">
      <c r="A1580" s="261"/>
      <c r="B1580" s="261"/>
      <c r="C1580" s="262"/>
      <c r="D1580" s="262" t="s">
        <v>2073</v>
      </c>
      <c r="E1580" s="262" t="s">
        <v>2115</v>
      </c>
      <c r="F1580" s="261">
        <v>2</v>
      </c>
      <c r="G1580" s="263"/>
      <c r="H1580" s="261"/>
      <c r="I1580" s="308" t="s">
        <v>2151</v>
      </c>
      <c r="J1580" s="245"/>
      <c r="L1580" s="251"/>
      <c r="AA1580" s="243" t="s">
        <v>2330</v>
      </c>
    </row>
    <row r="1581" spans="1:60">
      <c r="A1581" s="261"/>
      <c r="B1581" s="261"/>
      <c r="C1581" s="262"/>
      <c r="D1581" s="262" t="s">
        <v>2074</v>
      </c>
      <c r="E1581" s="262" t="s">
        <v>2116</v>
      </c>
      <c r="F1581" s="261">
        <v>1</v>
      </c>
      <c r="G1581" s="263"/>
      <c r="H1581" s="261"/>
      <c r="I1581" s="308" t="s">
        <v>2151</v>
      </c>
      <c r="J1581" s="245"/>
      <c r="L1581" s="251"/>
      <c r="M1581" s="243" t="s">
        <v>2248</v>
      </c>
    </row>
    <row r="1582" spans="1:60">
      <c r="A1582" s="261"/>
      <c r="B1582" s="261"/>
      <c r="C1582" s="262"/>
      <c r="D1582" s="262" t="s">
        <v>2075</v>
      </c>
      <c r="E1582" s="262" t="s">
        <v>2117</v>
      </c>
      <c r="F1582" s="261">
        <v>2</v>
      </c>
      <c r="G1582" s="263"/>
      <c r="H1582" s="261"/>
      <c r="I1582" s="308" t="s">
        <v>2151</v>
      </c>
      <c r="J1582" s="245"/>
      <c r="L1582" s="251"/>
    </row>
    <row r="1583" spans="1:60">
      <c r="A1583" s="261"/>
      <c r="B1583" s="261"/>
      <c r="C1583" s="262"/>
      <c r="D1583" s="262" t="s">
        <v>2081</v>
      </c>
      <c r="E1583" s="262" t="s">
        <v>2103</v>
      </c>
      <c r="F1583" s="261"/>
      <c r="G1583" s="263"/>
      <c r="H1583" s="261"/>
      <c r="I1583" s="308" t="s">
        <v>2151</v>
      </c>
      <c r="J1583" s="245"/>
      <c r="L1583" s="251"/>
    </row>
    <row r="1584" spans="1:60">
      <c r="A1584" s="239"/>
      <c r="B1584" s="239"/>
      <c r="C1584" s="264"/>
      <c r="D1584" s="264"/>
      <c r="E1584" s="264"/>
      <c r="F1584" s="239"/>
      <c r="G1584" s="265"/>
      <c r="H1584" s="239"/>
      <c r="I1584" s="308"/>
      <c r="J1584" s="245"/>
      <c r="L1584" s="251"/>
    </row>
    <row r="1585" spans="1:68">
      <c r="A1585" s="239"/>
      <c r="B1585" s="239"/>
      <c r="C1585" s="264"/>
      <c r="D1585" s="284" t="s">
        <v>2064</v>
      </c>
      <c r="E1585" s="284" t="s">
        <v>2118</v>
      </c>
      <c r="F1585" s="285"/>
      <c r="G1585" s="286"/>
      <c r="H1585" s="285"/>
      <c r="I1585" s="308" t="s">
        <v>2331</v>
      </c>
      <c r="J1585" s="245"/>
      <c r="L1585" s="251"/>
      <c r="AW1585" s="243" t="s">
        <v>2331</v>
      </c>
      <c r="AX1585" s="243" t="s">
        <v>2389</v>
      </c>
      <c r="AY1585" s="243" t="s">
        <v>2427</v>
      </c>
      <c r="AZ1585" s="243" t="s">
        <v>2427</v>
      </c>
    </row>
    <row r="1586" spans="1:68">
      <c r="A1586" s="239"/>
      <c r="B1586" s="239"/>
      <c r="C1586" s="264"/>
      <c r="D1586" s="264" t="s">
        <v>2065</v>
      </c>
      <c r="E1586" s="264" t="s">
        <v>2119</v>
      </c>
      <c r="F1586" s="239"/>
      <c r="G1586" s="265"/>
      <c r="H1586" s="239"/>
      <c r="I1586" s="308" t="s">
        <v>2331</v>
      </c>
      <c r="J1586" s="245"/>
      <c r="L1586" s="251"/>
      <c r="AU1586" s="243" t="s">
        <v>2331</v>
      </c>
      <c r="AV1586" s="243" t="s">
        <v>2389</v>
      </c>
      <c r="AW1586" s="243" t="s">
        <v>2427</v>
      </c>
      <c r="AX1586" s="243" t="s">
        <v>2427</v>
      </c>
    </row>
    <row r="1587" spans="1:68">
      <c r="A1587" s="239"/>
      <c r="B1587" s="239"/>
      <c r="C1587" s="264"/>
      <c r="D1587" s="264" t="s">
        <v>2066</v>
      </c>
      <c r="E1587" s="264" t="s">
        <v>2120</v>
      </c>
      <c r="F1587" s="239"/>
      <c r="G1587" s="265"/>
      <c r="H1587" s="239"/>
      <c r="I1587" s="308"/>
      <c r="J1587" s="245"/>
      <c r="L1587" s="251"/>
    </row>
    <row r="1588" spans="1:68">
      <c r="A1588" s="239"/>
      <c r="B1588" s="239"/>
      <c r="C1588" s="264"/>
      <c r="D1588" s="264" t="s">
        <v>2077</v>
      </c>
      <c r="E1588" s="264" t="s">
        <v>2121</v>
      </c>
      <c r="F1588" s="239">
        <v>1</v>
      </c>
      <c r="G1588" s="265"/>
      <c r="H1588" s="239"/>
      <c r="I1588" s="308" t="s">
        <v>2394</v>
      </c>
      <c r="J1588" s="245"/>
      <c r="L1588" s="251"/>
      <c r="AO1588" s="243" t="s">
        <v>2394</v>
      </c>
      <c r="AP1588" s="243" t="s">
        <v>2340</v>
      </c>
      <c r="AQ1588" s="243" t="s">
        <v>2340</v>
      </c>
      <c r="AR1588" s="243" t="s">
        <v>2389</v>
      </c>
      <c r="AS1588" s="243" t="s">
        <v>2427</v>
      </c>
      <c r="AT1588" s="243" t="s">
        <v>2427</v>
      </c>
    </row>
    <row r="1589" spans="1:68">
      <c r="A1589" s="239"/>
      <c r="B1589" s="239"/>
      <c r="C1589" s="264"/>
      <c r="D1589" s="264" t="s">
        <v>2095</v>
      </c>
      <c r="E1589" s="264" t="s">
        <v>2122</v>
      </c>
      <c r="F1589" s="239"/>
      <c r="G1589" s="265"/>
      <c r="H1589" s="239"/>
      <c r="I1589" s="308"/>
      <c r="J1589" s="245"/>
      <c r="L1589" s="251"/>
    </row>
    <row r="1590" spans="1:68">
      <c r="A1590" s="239"/>
      <c r="B1590" s="239"/>
      <c r="C1590" s="264"/>
      <c r="D1590" s="264" t="s">
        <v>2096</v>
      </c>
      <c r="E1590" s="264" t="s">
        <v>2123</v>
      </c>
      <c r="F1590" s="239">
        <v>1</v>
      </c>
      <c r="G1590" s="265"/>
      <c r="H1590" s="239"/>
      <c r="I1590" s="308" t="s">
        <v>2394</v>
      </c>
      <c r="J1590" s="245"/>
      <c r="L1590" s="251"/>
    </row>
    <row r="1591" spans="1:68">
      <c r="A1591" s="239"/>
      <c r="B1591" s="239"/>
      <c r="C1591" s="264"/>
      <c r="D1591" s="264"/>
      <c r="E1591" s="264"/>
      <c r="F1591" s="239"/>
      <c r="G1591" s="265"/>
      <c r="H1591" s="239"/>
      <c r="I1591" s="308"/>
      <c r="J1591" s="245"/>
      <c r="L1591" s="251"/>
    </row>
    <row r="1592" spans="1:68" ht="150">
      <c r="A1592" s="239"/>
      <c r="B1592" s="239"/>
      <c r="C1592" s="264"/>
      <c r="D1592" s="264" t="s">
        <v>2067</v>
      </c>
      <c r="E1592" s="264" t="s">
        <v>2124</v>
      </c>
      <c r="F1592" s="239">
        <v>1</v>
      </c>
      <c r="G1592" s="265"/>
      <c r="H1592" s="239" t="s">
        <v>2498</v>
      </c>
      <c r="I1592" s="308" t="s">
        <v>2183</v>
      </c>
      <c r="J1592" s="245"/>
      <c r="L1592" s="251"/>
      <c r="AD1592" s="243" t="s">
        <v>2244</v>
      </c>
      <c r="AN1592" s="243" t="s">
        <v>2183</v>
      </c>
      <c r="AQ1592" s="243" t="s">
        <v>2389</v>
      </c>
      <c r="AR1592" s="243" t="s">
        <v>2427</v>
      </c>
      <c r="AS1592" s="243" t="s">
        <v>2427</v>
      </c>
      <c r="AT1592" s="246" t="s">
        <v>2524</v>
      </c>
      <c r="AU1592" s="246" t="s">
        <v>2524</v>
      </c>
      <c r="AV1592" s="246" t="s">
        <v>2524</v>
      </c>
      <c r="AW1592" s="246" t="s">
        <v>2524</v>
      </c>
      <c r="AX1592" s="246" t="s">
        <v>2524</v>
      </c>
      <c r="AY1592" s="246" t="s">
        <v>2524</v>
      </c>
      <c r="AZ1592" s="246" t="s">
        <v>2524</v>
      </c>
      <c r="BA1592" s="243" t="s">
        <v>2398</v>
      </c>
      <c r="BB1592" s="243" t="s">
        <v>2398</v>
      </c>
      <c r="BC1592" s="243" t="s">
        <v>2437</v>
      </c>
      <c r="BD1592" s="243" t="s">
        <v>2437</v>
      </c>
    </row>
    <row r="1593" spans="1:68">
      <c r="A1593" s="239"/>
      <c r="B1593" s="239"/>
      <c r="C1593" s="264"/>
      <c r="D1593" s="264" t="s">
        <v>2068</v>
      </c>
      <c r="E1593" s="264" t="s">
        <v>2125</v>
      </c>
      <c r="F1593" s="239">
        <v>1</v>
      </c>
      <c r="G1593" s="265"/>
      <c r="H1593" s="239"/>
      <c r="I1593" s="308" t="s">
        <v>2428</v>
      </c>
      <c r="J1593" s="245"/>
      <c r="L1593" s="251"/>
      <c r="BI1593" s="243" t="s">
        <v>2394</v>
      </c>
      <c r="BJ1593" s="243" t="s">
        <v>2340</v>
      </c>
      <c r="BK1593" s="243" t="s">
        <v>2340</v>
      </c>
      <c r="BL1593" s="243" t="s">
        <v>2417</v>
      </c>
      <c r="BM1593" s="243" t="s">
        <v>2417</v>
      </c>
      <c r="BN1593" s="243" t="s">
        <v>2389</v>
      </c>
      <c r="BO1593" s="243" t="s">
        <v>2427</v>
      </c>
      <c r="BP1593" s="243" t="s">
        <v>2427</v>
      </c>
    </row>
    <row r="1594" spans="1:68">
      <c r="A1594" s="239"/>
      <c r="B1594" s="239"/>
      <c r="C1594" s="264"/>
      <c r="D1594" s="284" t="s">
        <v>2069</v>
      </c>
      <c r="E1594" s="284" t="s">
        <v>2126</v>
      </c>
      <c r="F1594" s="285">
        <v>1</v>
      </c>
      <c r="G1594" s="286"/>
      <c r="H1594" s="285"/>
      <c r="I1594" s="308" t="s">
        <v>2389</v>
      </c>
      <c r="J1594" s="245"/>
      <c r="L1594" s="251"/>
      <c r="AB1594" s="243" t="s">
        <v>2394</v>
      </c>
      <c r="AQ1594" s="243" t="s">
        <v>2340</v>
      </c>
      <c r="BC1594" s="246" t="s">
        <v>2389</v>
      </c>
      <c r="BD1594" s="243" t="s">
        <v>2225</v>
      </c>
      <c r="BE1594" s="243" t="s">
        <v>2398</v>
      </c>
      <c r="BF1594" s="243" t="s">
        <v>2398</v>
      </c>
      <c r="BG1594" s="243" t="s">
        <v>2437</v>
      </c>
      <c r="BH1594" s="243" t="s">
        <v>2437</v>
      </c>
    </row>
    <row r="1595" spans="1:68">
      <c r="A1595" s="239"/>
      <c r="B1595" s="239"/>
      <c r="C1595" s="264"/>
      <c r="D1595" s="264" t="s">
        <v>2071</v>
      </c>
      <c r="E1595" s="264" t="s">
        <v>2113</v>
      </c>
      <c r="F1595" s="239"/>
      <c r="G1595" s="265"/>
      <c r="H1595" s="239"/>
      <c r="I1595" s="308"/>
      <c r="J1595" s="245"/>
      <c r="L1595" s="251"/>
    </row>
    <row r="1596" spans="1:68">
      <c r="A1596" s="239"/>
      <c r="B1596" s="239"/>
      <c r="C1596" s="264"/>
      <c r="D1596" s="264" t="s">
        <v>2081</v>
      </c>
      <c r="E1596" s="264" t="s">
        <v>2103</v>
      </c>
      <c r="F1596" s="239"/>
      <c r="G1596" s="265"/>
      <c r="H1596" s="239"/>
      <c r="I1596" s="308"/>
      <c r="J1596" s="245"/>
      <c r="L1596" s="251"/>
    </row>
    <row r="1597" spans="1:68">
      <c r="A1597" s="239"/>
      <c r="B1597" s="239"/>
      <c r="C1597" s="264"/>
      <c r="D1597" s="264" t="s">
        <v>2082</v>
      </c>
      <c r="E1597" s="264" t="s">
        <v>2127</v>
      </c>
      <c r="F1597" s="239"/>
      <c r="G1597" s="265"/>
      <c r="H1597" s="239"/>
      <c r="I1597" s="308"/>
      <c r="J1597" s="245"/>
      <c r="L1597" s="251"/>
    </row>
    <row r="1598" spans="1:68">
      <c r="A1598" s="239"/>
      <c r="B1598" s="239"/>
      <c r="C1598" s="264"/>
      <c r="D1598" s="264" t="s">
        <v>2083</v>
      </c>
      <c r="E1598" s="264" t="s">
        <v>2128</v>
      </c>
      <c r="F1598" s="239">
        <v>1</v>
      </c>
      <c r="G1598" s="265"/>
      <c r="H1598" s="239"/>
      <c r="I1598" s="308" t="s">
        <v>2248</v>
      </c>
      <c r="J1598" s="245"/>
      <c r="L1598" s="251"/>
      <c r="M1598" s="243" t="s">
        <v>2248</v>
      </c>
    </row>
    <row r="1599" spans="1:68">
      <c r="A1599" s="261"/>
      <c r="B1599" s="261"/>
      <c r="C1599" s="262"/>
      <c r="D1599" s="262" t="s">
        <v>2084</v>
      </c>
      <c r="E1599" s="262" t="s">
        <v>2129</v>
      </c>
      <c r="F1599" s="261">
        <v>2</v>
      </c>
      <c r="G1599" s="263"/>
      <c r="H1599" s="261"/>
      <c r="I1599" s="308" t="s">
        <v>2151</v>
      </c>
      <c r="J1599" s="245"/>
      <c r="L1599" s="251"/>
    </row>
    <row r="1600" spans="1:68">
      <c r="A1600" s="239"/>
      <c r="B1600" s="239"/>
      <c r="C1600" s="264"/>
      <c r="D1600" s="264"/>
      <c r="E1600" s="264"/>
      <c r="F1600" s="239"/>
      <c r="G1600" s="265"/>
      <c r="H1600" s="239"/>
      <c r="I1600" s="308"/>
      <c r="J1600" s="245"/>
      <c r="L1600" s="251"/>
    </row>
    <row r="1601" spans="1:30">
      <c r="A1601" s="239"/>
      <c r="B1601" s="239"/>
      <c r="C1601" s="264"/>
      <c r="D1601" s="264" t="s">
        <v>2070</v>
      </c>
      <c r="E1601" s="264" t="s">
        <v>2130</v>
      </c>
      <c r="F1601" s="239"/>
      <c r="G1601" s="265"/>
      <c r="H1601" s="239"/>
      <c r="I1601" s="308"/>
      <c r="J1601" s="245"/>
      <c r="L1601" s="251"/>
    </row>
    <row r="1602" spans="1:30">
      <c r="A1602" s="239"/>
      <c r="B1602" s="239"/>
      <c r="C1602" s="264"/>
      <c r="D1602" s="264" t="s">
        <v>2071</v>
      </c>
      <c r="E1602" s="264" t="s">
        <v>2113</v>
      </c>
      <c r="F1602" s="239"/>
      <c r="G1602" s="265"/>
      <c r="H1602" s="239"/>
      <c r="I1602" s="308"/>
      <c r="J1602" s="245"/>
      <c r="L1602" s="251"/>
    </row>
    <row r="1603" spans="1:30">
      <c r="A1603" s="239"/>
      <c r="B1603" s="239"/>
      <c r="C1603" s="264"/>
      <c r="D1603" s="264" t="s">
        <v>2072</v>
      </c>
      <c r="E1603" s="264" t="s">
        <v>2114</v>
      </c>
      <c r="F1603" s="239"/>
      <c r="G1603" s="265"/>
      <c r="H1603" s="239"/>
      <c r="I1603" s="308"/>
      <c r="J1603" s="245"/>
      <c r="L1603" s="251"/>
    </row>
    <row r="1604" spans="1:30">
      <c r="A1604" s="239"/>
      <c r="B1604" s="239"/>
      <c r="C1604" s="264"/>
      <c r="D1604" s="264" t="s">
        <v>2073</v>
      </c>
      <c r="E1604" s="264" t="s">
        <v>2115</v>
      </c>
      <c r="F1604" s="239"/>
      <c r="G1604" s="265"/>
      <c r="H1604" s="239"/>
      <c r="I1604" s="308"/>
      <c r="J1604" s="245"/>
      <c r="L1604" s="251"/>
    </row>
    <row r="1605" spans="1:30">
      <c r="A1605" s="239"/>
      <c r="B1605" s="239"/>
      <c r="C1605" s="264"/>
      <c r="D1605" s="264" t="s">
        <v>2074</v>
      </c>
      <c r="E1605" s="264" t="s">
        <v>2116</v>
      </c>
      <c r="F1605" s="239"/>
      <c r="G1605" s="265"/>
      <c r="H1605" s="239"/>
      <c r="I1605" s="308"/>
      <c r="J1605" s="245"/>
      <c r="L1605" s="251"/>
    </row>
    <row r="1606" spans="1:30">
      <c r="A1606" s="239"/>
      <c r="B1606" s="239"/>
      <c r="C1606" s="264"/>
      <c r="D1606" s="264" t="s">
        <v>2075</v>
      </c>
      <c r="E1606" s="264" t="s">
        <v>2117</v>
      </c>
      <c r="F1606" s="239"/>
      <c r="G1606" s="265"/>
      <c r="H1606" s="239"/>
      <c r="I1606" s="308"/>
      <c r="J1606" s="245"/>
      <c r="L1606" s="251"/>
    </row>
    <row r="1607" spans="1:30">
      <c r="A1607" s="239"/>
      <c r="B1607" s="239"/>
      <c r="C1607" s="264"/>
      <c r="D1607" s="264" t="s">
        <v>2076</v>
      </c>
      <c r="E1607" s="264" t="s">
        <v>2131</v>
      </c>
      <c r="F1607" s="239"/>
      <c r="G1607" s="265"/>
      <c r="H1607" s="239"/>
      <c r="I1607" s="308"/>
      <c r="J1607" s="245"/>
      <c r="L1607" s="251"/>
    </row>
    <row r="1608" spans="1:30">
      <c r="A1608" s="239"/>
      <c r="B1608" s="239"/>
      <c r="C1608" s="264"/>
      <c r="D1608" s="264" t="s">
        <v>2077</v>
      </c>
      <c r="E1608" s="264" t="s">
        <v>2121</v>
      </c>
      <c r="F1608" s="239"/>
      <c r="G1608" s="265"/>
      <c r="H1608" s="239"/>
      <c r="I1608" s="308"/>
      <c r="J1608" s="245"/>
      <c r="L1608" s="251"/>
    </row>
    <row r="1609" spans="1:30">
      <c r="A1609" s="239"/>
      <c r="B1609" s="239"/>
      <c r="C1609" s="264"/>
      <c r="D1609" s="264" t="s">
        <v>2078</v>
      </c>
      <c r="E1609" s="264" t="s">
        <v>2133</v>
      </c>
      <c r="F1609" s="239"/>
      <c r="G1609" s="265"/>
      <c r="H1609" s="239"/>
      <c r="I1609" s="308"/>
      <c r="J1609" s="245"/>
      <c r="L1609" s="251"/>
    </row>
    <row r="1610" spans="1:30" ht="42">
      <c r="A1610" s="239"/>
      <c r="B1610" s="239"/>
      <c r="C1610" s="264"/>
      <c r="D1610" s="264" t="s">
        <v>2079</v>
      </c>
      <c r="E1610" s="264" t="s">
        <v>2132</v>
      </c>
      <c r="F1610" s="239">
        <v>1</v>
      </c>
      <c r="G1610" s="265"/>
      <c r="H1610" s="239"/>
      <c r="I1610" s="334" t="s">
        <v>2698</v>
      </c>
      <c r="J1610" s="245"/>
      <c r="L1610" s="251"/>
      <c r="AD1610" s="243" t="s">
        <v>2244</v>
      </c>
    </row>
    <row r="1611" spans="1:30">
      <c r="A1611" s="239"/>
      <c r="B1611" s="239"/>
      <c r="C1611" s="264"/>
      <c r="D1611" s="264" t="s">
        <v>2080</v>
      </c>
      <c r="E1611" s="264" t="s">
        <v>2102</v>
      </c>
      <c r="F1611" s="239"/>
      <c r="G1611" s="265"/>
      <c r="H1611" s="239"/>
      <c r="I1611" s="308"/>
      <c r="J1611" s="245"/>
      <c r="L1611" s="251"/>
    </row>
    <row r="1612" spans="1:30">
      <c r="A1612" s="239"/>
      <c r="B1612" s="239"/>
      <c r="C1612" s="264"/>
      <c r="D1612" s="264" t="s">
        <v>2081</v>
      </c>
      <c r="E1612" s="264" t="s">
        <v>2103</v>
      </c>
      <c r="F1612" s="239"/>
      <c r="G1612" s="265"/>
      <c r="H1612" s="239"/>
      <c r="I1612" s="308"/>
      <c r="J1612" s="245"/>
      <c r="L1612" s="251"/>
    </row>
    <row r="1613" spans="1:30">
      <c r="A1613" s="239"/>
      <c r="B1613" s="239"/>
      <c r="C1613" s="264"/>
      <c r="D1613" s="264" t="s">
        <v>2082</v>
      </c>
      <c r="E1613" s="264" t="s">
        <v>2127</v>
      </c>
      <c r="F1613" s="239">
        <v>1</v>
      </c>
      <c r="G1613" s="265"/>
      <c r="H1613" s="239"/>
      <c r="I1613" s="308" t="s">
        <v>2248</v>
      </c>
      <c r="J1613" s="245"/>
      <c r="L1613" s="251"/>
      <c r="M1613" s="243" t="s">
        <v>2248</v>
      </c>
    </row>
    <row r="1614" spans="1:30">
      <c r="A1614" s="239"/>
      <c r="B1614" s="239"/>
      <c r="C1614" s="264"/>
      <c r="D1614" s="264" t="s">
        <v>2083</v>
      </c>
      <c r="E1614" s="264" t="s">
        <v>2128</v>
      </c>
      <c r="F1614" s="239"/>
      <c r="G1614" s="265"/>
      <c r="H1614" s="239"/>
      <c r="I1614" s="308"/>
      <c r="J1614" s="245"/>
      <c r="L1614" s="251"/>
    </row>
    <row r="1615" spans="1:30">
      <c r="A1615" s="239"/>
      <c r="B1615" s="239"/>
      <c r="C1615" s="264"/>
      <c r="D1615" s="264" t="s">
        <v>2084</v>
      </c>
      <c r="E1615" s="264" t="s">
        <v>2129</v>
      </c>
      <c r="F1615" s="239"/>
      <c r="G1615" s="265"/>
      <c r="H1615" s="239"/>
      <c r="I1615" s="308"/>
      <c r="J1615" s="245"/>
      <c r="L1615" s="251"/>
    </row>
    <row r="1616" spans="1:30">
      <c r="A1616" s="239"/>
      <c r="B1616" s="239"/>
      <c r="C1616" s="264"/>
      <c r="D1616" s="284" t="s">
        <v>2085</v>
      </c>
      <c r="E1616" s="284" t="s">
        <v>2134</v>
      </c>
      <c r="F1616" s="285"/>
      <c r="G1616" s="286"/>
      <c r="H1616" s="285"/>
      <c r="I1616" s="308"/>
      <c r="J1616" s="245"/>
      <c r="L1616" s="251"/>
    </row>
    <row r="1617" spans="1:53">
      <c r="A1617" s="239"/>
      <c r="B1617" s="239"/>
      <c r="C1617" s="264"/>
      <c r="D1617" s="264" t="s">
        <v>2087</v>
      </c>
      <c r="E1617" s="264" t="s">
        <v>2135</v>
      </c>
      <c r="F1617" s="239">
        <v>4</v>
      </c>
      <c r="G1617" s="265"/>
      <c r="H1617" s="239"/>
      <c r="I1617" s="308"/>
      <c r="J1617" s="245"/>
      <c r="L1617" s="251"/>
    </row>
    <row r="1618" spans="1:53">
      <c r="A1618" s="239"/>
      <c r="B1618" s="239"/>
      <c r="C1618" s="264"/>
      <c r="D1618" s="264" t="s">
        <v>2088</v>
      </c>
      <c r="E1618" s="264" t="s">
        <v>2136</v>
      </c>
      <c r="F1618" s="239">
        <v>4</v>
      </c>
      <c r="G1618" s="265"/>
      <c r="H1618" s="239"/>
      <c r="I1618" s="308"/>
      <c r="J1618" s="245"/>
      <c r="L1618" s="251"/>
    </row>
    <row r="1619" spans="1:53">
      <c r="A1619" s="239"/>
      <c r="B1619" s="239"/>
      <c r="C1619" s="264"/>
      <c r="D1619" s="284" t="s">
        <v>2086</v>
      </c>
      <c r="E1619" s="284" t="s">
        <v>2137</v>
      </c>
      <c r="F1619" s="285"/>
      <c r="G1619" s="286"/>
      <c r="H1619" s="285"/>
      <c r="I1619" s="308"/>
      <c r="J1619" s="245"/>
      <c r="L1619" s="251"/>
    </row>
    <row r="1620" spans="1:53">
      <c r="A1620" s="239"/>
      <c r="B1620" s="239"/>
      <c r="C1620" s="264"/>
      <c r="D1620" s="264" t="s">
        <v>2089</v>
      </c>
      <c r="E1620" s="264" t="s">
        <v>2138</v>
      </c>
      <c r="F1620" s="239"/>
      <c r="G1620" s="265"/>
      <c r="H1620" s="239"/>
      <c r="I1620" s="308"/>
      <c r="J1620" s="245"/>
      <c r="L1620" s="251"/>
    </row>
    <row r="1621" spans="1:53">
      <c r="A1621" s="239"/>
      <c r="B1621" s="239"/>
      <c r="C1621" s="264"/>
      <c r="D1621" s="264" t="s">
        <v>2090</v>
      </c>
      <c r="E1621" s="264" t="s">
        <v>2139</v>
      </c>
      <c r="F1621" s="239"/>
      <c r="G1621" s="265"/>
      <c r="H1621" s="239"/>
      <c r="I1621" s="308"/>
      <c r="J1621" s="245"/>
      <c r="L1621" s="251"/>
    </row>
    <row r="1622" spans="1:53">
      <c r="A1622" s="239"/>
      <c r="B1622" s="239"/>
      <c r="C1622" s="264"/>
      <c r="D1622" s="264" t="s">
        <v>2091</v>
      </c>
      <c r="E1622" s="264" t="s">
        <v>2140</v>
      </c>
      <c r="F1622" s="239"/>
      <c r="G1622" s="265"/>
      <c r="H1622" s="239"/>
      <c r="I1622" s="308"/>
      <c r="J1622" s="245"/>
      <c r="L1622" s="251"/>
    </row>
    <row r="1623" spans="1:53">
      <c r="A1623" s="239"/>
      <c r="B1623" s="239"/>
      <c r="C1623" s="264"/>
      <c r="D1623" s="264"/>
      <c r="E1623" s="264"/>
      <c r="F1623" s="239"/>
      <c r="G1623" s="265"/>
      <c r="H1623" s="239"/>
      <c r="I1623" s="308"/>
      <c r="J1623" s="245"/>
      <c r="L1623" s="251"/>
    </row>
    <row r="1624" spans="1:53">
      <c r="A1624" s="239"/>
      <c r="B1624" s="239"/>
      <c r="C1624" s="264"/>
      <c r="D1624" s="264" t="s">
        <v>2087</v>
      </c>
      <c r="E1624" s="264" t="s">
        <v>2135</v>
      </c>
      <c r="F1624" s="239"/>
      <c r="G1624" s="265"/>
      <c r="H1624" s="239"/>
      <c r="I1624" s="308"/>
      <c r="J1624" s="245"/>
      <c r="L1624" s="251"/>
    </row>
    <row r="1625" spans="1:53">
      <c r="A1625" s="239"/>
      <c r="B1625" s="239"/>
      <c r="C1625" s="264"/>
      <c r="D1625" s="264" t="s">
        <v>2088</v>
      </c>
      <c r="E1625" s="264" t="s">
        <v>2136</v>
      </c>
      <c r="F1625" s="239"/>
      <c r="G1625" s="265"/>
      <c r="H1625" s="239"/>
      <c r="I1625" s="308"/>
      <c r="J1625" s="245"/>
      <c r="L1625" s="251"/>
    </row>
    <row r="1626" spans="1:53">
      <c r="A1626" s="239"/>
      <c r="B1626" s="239"/>
      <c r="C1626" s="264"/>
      <c r="D1626" s="264" t="s">
        <v>2089</v>
      </c>
      <c r="E1626" s="264" t="s">
        <v>2138</v>
      </c>
      <c r="F1626" s="239"/>
      <c r="G1626" s="265"/>
      <c r="H1626" s="239"/>
      <c r="I1626" s="308"/>
      <c r="J1626" s="245"/>
      <c r="L1626" s="251"/>
    </row>
    <row r="1627" spans="1:53">
      <c r="A1627" s="239"/>
      <c r="B1627" s="239"/>
      <c r="C1627" s="264"/>
      <c r="D1627" s="264" t="s">
        <v>2090</v>
      </c>
      <c r="E1627" s="264" t="s">
        <v>2139</v>
      </c>
      <c r="F1627" s="239"/>
      <c r="G1627" s="265"/>
      <c r="H1627" s="239"/>
      <c r="I1627" s="308"/>
      <c r="J1627" s="245"/>
      <c r="L1627" s="251"/>
    </row>
    <row r="1628" spans="1:53">
      <c r="A1628" s="239"/>
      <c r="B1628" s="239"/>
      <c r="C1628" s="264"/>
      <c r="D1628" s="264" t="s">
        <v>2091</v>
      </c>
      <c r="E1628" s="264" t="s">
        <v>2140</v>
      </c>
      <c r="F1628" s="239"/>
      <c r="G1628" s="265"/>
      <c r="H1628" s="239"/>
      <c r="I1628" s="308"/>
      <c r="J1628" s="245"/>
      <c r="L1628" s="251"/>
    </row>
    <row r="1629" spans="1:53">
      <c r="A1629" s="239"/>
      <c r="B1629" s="239"/>
      <c r="C1629" s="264"/>
      <c r="D1629" s="264" t="s">
        <v>2092</v>
      </c>
      <c r="E1629" s="264" t="s">
        <v>2141</v>
      </c>
      <c r="F1629" s="239"/>
      <c r="G1629" s="265"/>
      <c r="H1629" s="239"/>
      <c r="I1629" s="308"/>
      <c r="J1629" s="245"/>
      <c r="L1629" s="251"/>
    </row>
    <row r="1630" spans="1:53">
      <c r="A1630" s="239"/>
      <c r="B1630" s="239"/>
      <c r="C1630" s="264"/>
      <c r="D1630" s="284" t="s">
        <v>2094</v>
      </c>
      <c r="E1630" s="284" t="s">
        <v>2142</v>
      </c>
      <c r="F1630" s="285"/>
      <c r="G1630" s="286"/>
      <c r="H1630" s="285"/>
      <c r="I1630" s="308" t="s">
        <v>2205</v>
      </c>
      <c r="J1630" s="245"/>
      <c r="L1630" s="251"/>
    </row>
    <row r="1631" spans="1:53">
      <c r="A1631" s="239"/>
      <c r="B1631" s="239"/>
      <c r="C1631" s="264"/>
      <c r="D1631" s="264" t="s">
        <v>2078</v>
      </c>
      <c r="E1631" s="264" t="s">
        <v>2133</v>
      </c>
      <c r="F1631" s="239"/>
      <c r="G1631" s="265"/>
      <c r="H1631" s="239"/>
      <c r="I1631" s="308"/>
      <c r="J1631" s="245"/>
      <c r="L1631" s="251"/>
    </row>
    <row r="1632" spans="1:53">
      <c r="A1632" s="239"/>
      <c r="B1632" s="239"/>
      <c r="C1632" s="264"/>
      <c r="D1632" s="264" t="s">
        <v>2093</v>
      </c>
      <c r="E1632" s="264" t="s">
        <v>2143</v>
      </c>
      <c r="F1632" s="239"/>
      <c r="G1632" s="265"/>
      <c r="H1632" s="239"/>
      <c r="I1632" s="308" t="s">
        <v>2394</v>
      </c>
      <c r="J1632" s="245"/>
      <c r="L1632" s="251"/>
      <c r="Z1632" s="243" t="s">
        <v>2394</v>
      </c>
      <c r="AS1632" s="243" t="s">
        <v>2340</v>
      </c>
      <c r="AT1632" s="243" t="s">
        <v>2340</v>
      </c>
      <c r="AU1632" s="243" t="s">
        <v>2386</v>
      </c>
      <c r="AV1632" s="243" t="s">
        <v>2386</v>
      </c>
      <c r="AW1632" s="243" t="s">
        <v>2561</v>
      </c>
      <c r="AX1632" s="243" t="s">
        <v>2561</v>
      </c>
      <c r="AY1632" s="243" t="s">
        <v>2389</v>
      </c>
      <c r="AZ1632" s="243" t="s">
        <v>2427</v>
      </c>
      <c r="BA1632" s="243" t="s">
        <v>2427</v>
      </c>
    </row>
    <row r="1633" spans="1:100">
      <c r="A1633" s="239"/>
      <c r="B1633" s="239"/>
      <c r="C1633" s="264"/>
      <c r="D1633" s="264"/>
      <c r="E1633" s="264"/>
      <c r="F1633" s="239"/>
      <c r="G1633" s="265"/>
      <c r="H1633" s="239"/>
      <c r="I1633" s="308"/>
      <c r="J1633" s="245"/>
      <c r="L1633" s="251"/>
    </row>
    <row r="1634" spans="1:100">
      <c r="A1634" s="239"/>
      <c r="B1634" s="239"/>
      <c r="C1634" s="264"/>
      <c r="D1634" s="264" t="s">
        <v>2093</v>
      </c>
      <c r="E1634" s="264" t="s">
        <v>2143</v>
      </c>
      <c r="F1634" s="239"/>
      <c r="G1634" s="265"/>
      <c r="H1634" s="239"/>
      <c r="I1634" s="308" t="s">
        <v>2394</v>
      </c>
      <c r="J1634" s="245"/>
      <c r="L1634" s="251"/>
      <c r="Z1634" s="243" t="s">
        <v>2394</v>
      </c>
    </row>
    <row r="1635" spans="1:100">
      <c r="A1635" s="239"/>
      <c r="B1635" s="239"/>
      <c r="C1635" s="264"/>
      <c r="D1635" s="264" t="s">
        <v>2095</v>
      </c>
      <c r="E1635" s="264" t="s">
        <v>2122</v>
      </c>
      <c r="F1635" s="239"/>
      <c r="G1635" s="265"/>
      <c r="H1635" s="239"/>
      <c r="I1635" s="308"/>
      <c r="J1635" s="245"/>
      <c r="L1635" s="251"/>
    </row>
    <row r="1636" spans="1:100">
      <c r="A1636" s="239"/>
      <c r="B1636" s="239"/>
      <c r="C1636" s="264"/>
      <c r="D1636" s="264" t="s">
        <v>2096</v>
      </c>
      <c r="E1636" s="264" t="s">
        <v>2123</v>
      </c>
      <c r="F1636" s="239"/>
      <c r="G1636" s="265"/>
      <c r="H1636" s="239"/>
      <c r="I1636" s="308"/>
      <c r="J1636" s="245"/>
      <c r="L1636" s="251"/>
    </row>
    <row r="1637" spans="1:100">
      <c r="A1637" s="239"/>
      <c r="B1637" s="239"/>
      <c r="C1637" s="264"/>
      <c r="D1637" s="264" t="s">
        <v>2097</v>
      </c>
      <c r="E1637" s="264" t="s">
        <v>2144</v>
      </c>
      <c r="F1637" s="239"/>
      <c r="G1637" s="265"/>
      <c r="H1637" s="239"/>
      <c r="I1637" s="308"/>
      <c r="J1637" s="245"/>
      <c r="L1637" s="251"/>
    </row>
    <row r="1638" spans="1:100">
      <c r="A1638" s="239"/>
      <c r="B1638" s="239"/>
      <c r="C1638" s="264"/>
      <c r="D1638" s="264" t="s">
        <v>2098</v>
      </c>
      <c r="E1638" s="264" t="s">
        <v>2145</v>
      </c>
      <c r="F1638" s="239"/>
      <c r="G1638" s="265"/>
      <c r="H1638" s="239"/>
      <c r="I1638" s="308"/>
      <c r="J1638" s="245"/>
      <c r="L1638" s="251"/>
    </row>
    <row r="1639" spans="1:100">
      <c r="A1639" s="239"/>
      <c r="B1639" s="239"/>
      <c r="C1639" s="264"/>
      <c r="D1639" s="264" t="s">
        <v>2099</v>
      </c>
      <c r="E1639" s="264" t="s">
        <v>2146</v>
      </c>
      <c r="F1639" s="239">
        <v>20</v>
      </c>
      <c r="G1639" s="265"/>
      <c r="H1639" s="239"/>
      <c r="I1639" s="308" t="s">
        <v>2331</v>
      </c>
      <c r="J1639" s="245"/>
      <c r="L1639" s="251"/>
      <c r="BC1639" s="243" t="s">
        <v>2331</v>
      </c>
      <c r="BD1639" s="243" t="s">
        <v>2331</v>
      </c>
      <c r="BE1639" s="243" t="s">
        <v>2389</v>
      </c>
      <c r="BF1639" s="243" t="s">
        <v>2427</v>
      </c>
      <c r="BG1639" s="243" t="s">
        <v>2427</v>
      </c>
    </row>
    <row r="1640" spans="1:100">
      <c r="A1640" s="261">
        <v>72396</v>
      </c>
      <c r="B1640" s="261" t="s">
        <v>961</v>
      </c>
      <c r="C1640" s="262" t="s">
        <v>164</v>
      </c>
      <c r="D1640" s="262" t="s">
        <v>314</v>
      </c>
      <c r="E1640" s="262" t="s">
        <v>313</v>
      </c>
      <c r="F1640" s="261">
        <v>1</v>
      </c>
      <c r="G1640" s="263">
        <v>45863</v>
      </c>
      <c r="H1640" s="261"/>
      <c r="I1640" s="308" t="s">
        <v>2208</v>
      </c>
      <c r="J1640" s="245"/>
      <c r="L1640" s="251"/>
    </row>
    <row r="1641" spans="1:100">
      <c r="A1641" s="261">
        <v>72397</v>
      </c>
      <c r="B1641" s="261" t="s">
        <v>961</v>
      </c>
      <c r="C1641" s="262" t="s">
        <v>164</v>
      </c>
      <c r="D1641" s="262" t="s">
        <v>316</v>
      </c>
      <c r="E1641" s="262" t="s">
        <v>315</v>
      </c>
      <c r="F1641" s="261">
        <v>1</v>
      </c>
      <c r="G1641" s="263">
        <v>45863</v>
      </c>
      <c r="H1641" s="261"/>
      <c r="I1641" s="308" t="s">
        <v>2208</v>
      </c>
      <c r="J1641" s="245"/>
      <c r="L1641" s="251"/>
      <c r="U1641" s="243" t="s">
        <v>2248</v>
      </c>
      <c r="AQ1641" s="243" t="s">
        <v>2427</v>
      </c>
      <c r="AR1641" s="243" t="s">
        <v>2427</v>
      </c>
      <c r="AS1641" s="243" t="s">
        <v>2426</v>
      </c>
      <c r="AT1641" s="243" t="s">
        <v>2426</v>
      </c>
      <c r="AU1641" s="243" t="s">
        <v>2208</v>
      </c>
    </row>
    <row r="1642" spans="1:100">
      <c r="A1642" s="261">
        <v>72398</v>
      </c>
      <c r="B1642" s="261" t="s">
        <v>961</v>
      </c>
      <c r="C1642" s="262" t="s">
        <v>164</v>
      </c>
      <c r="D1642" s="262" t="s">
        <v>318</v>
      </c>
      <c r="E1642" s="262" t="s">
        <v>317</v>
      </c>
      <c r="F1642" s="261">
        <v>1</v>
      </c>
      <c r="G1642" s="263">
        <v>45863</v>
      </c>
      <c r="H1642" s="261"/>
      <c r="I1642" s="308" t="s">
        <v>2208</v>
      </c>
      <c r="J1642" s="245" t="s">
        <v>2363</v>
      </c>
      <c r="L1642" s="252"/>
    </row>
    <row r="1643" spans="1:100">
      <c r="A1643" s="261">
        <v>72399</v>
      </c>
      <c r="B1643" s="261" t="s">
        <v>961</v>
      </c>
      <c r="C1643" s="262" t="s">
        <v>164</v>
      </c>
      <c r="D1643" s="262" t="s">
        <v>320</v>
      </c>
      <c r="E1643" s="262" t="s">
        <v>319</v>
      </c>
      <c r="F1643" s="261">
        <v>1</v>
      </c>
      <c r="G1643" s="263">
        <v>45863</v>
      </c>
      <c r="H1643" s="261"/>
      <c r="I1643" s="308" t="s">
        <v>2208</v>
      </c>
      <c r="J1643" s="245"/>
      <c r="L1643" s="252"/>
    </row>
    <row r="1644" spans="1:100">
      <c r="A1644" s="261">
        <v>72400</v>
      </c>
      <c r="B1644" s="261" t="s">
        <v>961</v>
      </c>
      <c r="C1644" s="262" t="s">
        <v>164</v>
      </c>
      <c r="D1644" s="262" t="s">
        <v>322</v>
      </c>
      <c r="E1644" s="262" t="s">
        <v>321</v>
      </c>
      <c r="F1644" s="261">
        <v>1</v>
      </c>
      <c r="G1644" s="263">
        <v>45863</v>
      </c>
      <c r="H1644" s="261"/>
      <c r="I1644" s="308" t="s">
        <v>2208</v>
      </c>
      <c r="J1644" s="245"/>
      <c r="L1644" s="252"/>
      <c r="Y1644" s="243" t="s">
        <v>2225</v>
      </c>
      <c r="AJ1644" s="243" t="s">
        <v>2225</v>
      </c>
      <c r="AQ1644" s="243" t="s">
        <v>2426</v>
      </c>
      <c r="AR1644" s="243" t="s">
        <v>2426</v>
      </c>
      <c r="AS1644" s="243" t="s">
        <v>2208</v>
      </c>
    </row>
    <row r="1645" spans="1:100">
      <c r="A1645" s="239">
        <v>72401</v>
      </c>
      <c r="B1645" s="239" t="s">
        <v>961</v>
      </c>
      <c r="C1645" s="264" t="s">
        <v>164</v>
      </c>
      <c r="D1645" s="264" t="s">
        <v>324</v>
      </c>
      <c r="E1645" s="264" t="s">
        <v>323</v>
      </c>
      <c r="F1645" s="239">
        <v>1</v>
      </c>
      <c r="G1645" s="265">
        <v>45863</v>
      </c>
      <c r="H1645" s="357">
        <v>45926</v>
      </c>
      <c r="I1645" s="308" t="s">
        <v>2248</v>
      </c>
      <c r="J1645" s="245"/>
      <c r="L1645" s="252"/>
      <c r="W1645" s="243" t="s">
        <v>2248</v>
      </c>
      <c r="AQ1645" s="243" t="s">
        <v>2225</v>
      </c>
      <c r="AR1645" s="243" t="s">
        <v>2225</v>
      </c>
      <c r="AS1645" s="243" t="s">
        <v>2523</v>
      </c>
      <c r="AT1645" s="243" t="s">
        <v>2523</v>
      </c>
      <c r="AU1645" s="243" t="s">
        <v>2331</v>
      </c>
      <c r="AV1645" s="243" t="s">
        <v>2331</v>
      </c>
      <c r="AW1645" s="243" t="s">
        <v>2389</v>
      </c>
      <c r="AX1645" s="243" t="s">
        <v>2225</v>
      </c>
      <c r="AY1645" s="243" t="s">
        <v>2225</v>
      </c>
      <c r="AZ1645" s="243" t="s">
        <v>2523</v>
      </c>
      <c r="BA1645" s="243" t="s">
        <v>2543</v>
      </c>
      <c r="BB1645" s="243" t="s">
        <v>2543</v>
      </c>
      <c r="BC1645" s="243" t="s">
        <v>2389</v>
      </c>
      <c r="BD1645" s="243" t="s">
        <v>2523</v>
      </c>
      <c r="BE1645" s="243" t="s">
        <v>2427</v>
      </c>
      <c r="BF1645" s="243" t="s">
        <v>2427</v>
      </c>
      <c r="BG1645" s="243" t="s">
        <v>2426</v>
      </c>
      <c r="BH1645" s="243" t="s">
        <v>2426</v>
      </c>
      <c r="BI1645" s="243" t="s">
        <v>2208</v>
      </c>
      <c r="CB1645" s="243" t="s">
        <v>2331</v>
      </c>
      <c r="CC1645" s="243" t="s">
        <v>2331</v>
      </c>
      <c r="CD1645" s="243" t="s">
        <v>2389</v>
      </c>
      <c r="CE1645" s="243" t="s">
        <v>2225</v>
      </c>
      <c r="CF1645" s="243" t="s">
        <v>2331</v>
      </c>
      <c r="CG1645" s="243" t="s">
        <v>2331</v>
      </c>
      <c r="CH1645" s="243" t="s">
        <v>2389</v>
      </c>
      <c r="CI1645" s="243" t="s">
        <v>2225</v>
      </c>
      <c r="CJ1645" s="243" t="s">
        <v>2331</v>
      </c>
      <c r="CK1645" s="243" t="s">
        <v>2331</v>
      </c>
      <c r="CL1645" s="243" t="s">
        <v>2417</v>
      </c>
      <c r="CM1645" s="243" t="s">
        <v>2417</v>
      </c>
      <c r="CN1645" s="243" t="s">
        <v>2389</v>
      </c>
      <c r="CO1645" s="243" t="s">
        <v>2427</v>
      </c>
      <c r="CP1645" s="243" t="s">
        <v>2427</v>
      </c>
      <c r="CQ1645" s="243" t="s">
        <v>2427</v>
      </c>
      <c r="CR1645" s="243" t="s">
        <v>2427</v>
      </c>
      <c r="CS1645" s="243" t="s">
        <v>2427</v>
      </c>
      <c r="CT1645" s="243" t="s">
        <v>2517</v>
      </c>
      <c r="CU1645" s="243" t="s">
        <v>2517</v>
      </c>
      <c r="CV1645" s="243" t="s">
        <v>2208</v>
      </c>
    </row>
    <row r="1646" spans="1:100">
      <c r="A1646" s="239">
        <v>72402</v>
      </c>
      <c r="B1646" s="261" t="s">
        <v>961</v>
      </c>
      <c r="C1646" s="262" t="s">
        <v>164</v>
      </c>
      <c r="D1646" s="262" t="s">
        <v>326</v>
      </c>
      <c r="E1646" s="262" t="s">
        <v>325</v>
      </c>
      <c r="F1646" s="261">
        <v>1</v>
      </c>
      <c r="G1646" s="263">
        <v>45863</v>
      </c>
      <c r="H1646" s="261"/>
      <c r="I1646" s="308" t="s">
        <v>2208</v>
      </c>
      <c r="J1646" s="245"/>
      <c r="L1646" s="252"/>
    </row>
    <row r="1647" spans="1:100">
      <c r="A1647" s="239">
        <v>72406</v>
      </c>
      <c r="B1647" s="239" t="s">
        <v>327</v>
      </c>
      <c r="C1647" s="264" t="s">
        <v>164</v>
      </c>
      <c r="D1647" s="264" t="s">
        <v>329</v>
      </c>
      <c r="E1647" s="264" t="s">
        <v>328</v>
      </c>
      <c r="F1647" s="239">
        <v>1</v>
      </c>
      <c r="G1647" s="265">
        <v>45819</v>
      </c>
      <c r="H1647" s="239"/>
      <c r="I1647" s="308" t="s">
        <v>2537</v>
      </c>
      <c r="J1647" s="245"/>
      <c r="L1647" s="252"/>
      <c r="AD1647" s="243" t="s">
        <v>2537</v>
      </c>
      <c r="AQ1647" s="243" t="s">
        <v>2389</v>
      </c>
      <c r="AR1647" s="243" t="s">
        <v>2427</v>
      </c>
      <c r="AS1647" s="243" t="s">
        <v>2427</v>
      </c>
      <c r="AT1647" s="243" t="s">
        <v>2426</v>
      </c>
      <c r="AU1647" s="243" t="s">
        <v>2426</v>
      </c>
      <c r="AV1647" s="243" t="s">
        <v>2208</v>
      </c>
    </row>
    <row r="1648" spans="1:100" ht="62.25">
      <c r="A1648" s="239">
        <v>72407</v>
      </c>
      <c r="B1648" s="239" t="s">
        <v>330</v>
      </c>
      <c r="C1648" s="264" t="s">
        <v>20</v>
      </c>
      <c r="D1648" s="264" t="s">
        <v>332</v>
      </c>
      <c r="E1648" s="264" t="s">
        <v>331</v>
      </c>
      <c r="F1648" s="239">
        <v>2</v>
      </c>
      <c r="G1648" s="265">
        <v>45919</v>
      </c>
      <c r="H1648" s="239" t="s">
        <v>2498</v>
      </c>
      <c r="I1648" s="313" t="s">
        <v>2623</v>
      </c>
      <c r="J1648" s="247" t="s">
        <v>2188</v>
      </c>
      <c r="L1648" s="252"/>
    </row>
    <row r="1649" spans="1:122">
      <c r="A1649" s="239"/>
      <c r="B1649" s="239"/>
      <c r="C1649" s="264"/>
      <c r="D1649" s="264"/>
      <c r="E1649" s="264"/>
      <c r="F1649" s="239"/>
      <c r="G1649" s="265"/>
      <c r="H1649" s="239"/>
      <c r="I1649" s="308"/>
      <c r="J1649" s="245"/>
      <c r="L1649" s="252"/>
    </row>
    <row r="1650" spans="1:122">
      <c r="A1650" s="239">
        <v>72422</v>
      </c>
      <c r="B1650" s="280" t="s">
        <v>333</v>
      </c>
      <c r="C1650" s="281" t="s">
        <v>20</v>
      </c>
      <c r="D1650" s="281" t="s">
        <v>335</v>
      </c>
      <c r="E1650" s="281" t="s">
        <v>2970</v>
      </c>
      <c r="F1650" s="280">
        <v>1</v>
      </c>
      <c r="G1650" s="282">
        <v>46048</v>
      </c>
      <c r="H1650" s="280"/>
      <c r="I1650" s="312"/>
      <c r="J1650" s="245"/>
      <c r="L1650" s="252"/>
    </row>
    <row r="1651" spans="1:122">
      <c r="A1651" s="239"/>
      <c r="B1651" s="239"/>
      <c r="C1651" s="264"/>
      <c r="D1651" s="264" t="s">
        <v>2913</v>
      </c>
      <c r="E1651" s="264" t="s">
        <v>2914</v>
      </c>
      <c r="F1651" s="239">
        <v>1</v>
      </c>
      <c r="G1651" s="265"/>
      <c r="H1651" s="239"/>
      <c r="I1651" s="308"/>
      <c r="J1651" s="245"/>
      <c r="L1651" s="252"/>
      <c r="DJ1651" s="243" t="s">
        <v>2196</v>
      </c>
      <c r="DK1651" s="243" t="s">
        <v>2205</v>
      </c>
      <c r="DL1651" s="243" t="s">
        <v>2339</v>
      </c>
      <c r="DM1651" s="243" t="s">
        <v>2339</v>
      </c>
      <c r="DN1651" s="243" t="s">
        <v>2339</v>
      </c>
      <c r="DO1651" s="243" t="s">
        <v>2225</v>
      </c>
      <c r="DP1651" s="243" t="s">
        <v>2225</v>
      </c>
      <c r="DQ1651" s="243" t="s">
        <v>2426</v>
      </c>
      <c r="DR1651" s="243" t="s">
        <v>2208</v>
      </c>
    </row>
    <row r="1652" spans="1:122">
      <c r="A1652" s="239"/>
      <c r="B1652" s="239"/>
      <c r="C1652" s="264"/>
      <c r="D1652" s="264" t="s">
        <v>2915</v>
      </c>
      <c r="E1652" s="264" t="s">
        <v>2916</v>
      </c>
      <c r="F1652" s="239">
        <v>1</v>
      </c>
      <c r="G1652" s="265"/>
      <c r="H1652" s="239"/>
      <c r="I1652" s="308"/>
      <c r="J1652" s="245"/>
      <c r="L1652" s="252"/>
    </row>
    <row r="1653" spans="1:122">
      <c r="A1653" s="239"/>
      <c r="B1653" s="239"/>
      <c r="C1653" s="264"/>
      <c r="D1653" s="264" t="s">
        <v>2971</v>
      </c>
      <c r="E1653" s="264" t="s">
        <v>2917</v>
      </c>
      <c r="F1653" s="239">
        <v>1</v>
      </c>
      <c r="G1653" s="265"/>
      <c r="H1653" s="239"/>
      <c r="I1653" s="308"/>
      <c r="J1653" s="245"/>
      <c r="L1653" s="252"/>
    </row>
    <row r="1654" spans="1:122">
      <c r="A1654" s="239"/>
      <c r="B1654" s="239"/>
      <c r="C1654" s="264"/>
      <c r="D1654" s="264" t="s">
        <v>2972</v>
      </c>
      <c r="E1654" s="264" t="s">
        <v>2973</v>
      </c>
      <c r="F1654" s="239">
        <v>1</v>
      </c>
      <c r="G1654" s="265"/>
      <c r="H1654" s="239"/>
      <c r="I1654" s="308"/>
      <c r="J1654" s="245"/>
      <c r="L1654" s="252"/>
    </row>
    <row r="1655" spans="1:122">
      <c r="A1655" s="239"/>
      <c r="B1655" s="239"/>
      <c r="C1655" s="264"/>
      <c r="D1655" s="264" t="s">
        <v>2974</v>
      </c>
      <c r="E1655" s="264" t="s">
        <v>2975</v>
      </c>
      <c r="F1655" s="239">
        <v>1</v>
      </c>
      <c r="G1655" s="265"/>
      <c r="H1655" s="239"/>
      <c r="I1655" s="308"/>
      <c r="J1655" s="245"/>
      <c r="L1655" s="252"/>
    </row>
    <row r="1656" spans="1:122">
      <c r="A1656" s="239"/>
      <c r="B1656" s="239"/>
      <c r="C1656" s="264"/>
      <c r="D1656" s="264" t="s">
        <v>2976</v>
      </c>
      <c r="E1656" s="264" t="s">
        <v>2977</v>
      </c>
      <c r="F1656" s="239">
        <v>1</v>
      </c>
      <c r="G1656" s="265"/>
      <c r="H1656" s="239"/>
      <c r="I1656" s="308"/>
      <c r="J1656" s="245"/>
      <c r="L1656" s="252"/>
    </row>
    <row r="1657" spans="1:122">
      <c r="A1657" s="239"/>
      <c r="B1657" s="285"/>
      <c r="C1657" s="284"/>
      <c r="D1657" s="284" t="s">
        <v>2918</v>
      </c>
      <c r="E1657" s="284" t="s">
        <v>2919</v>
      </c>
      <c r="F1657" s="285">
        <v>1</v>
      </c>
      <c r="G1657" s="286"/>
      <c r="H1657" s="285"/>
      <c r="I1657" s="345"/>
      <c r="J1657" s="245"/>
      <c r="L1657" s="252"/>
    </row>
    <row r="1658" spans="1:122">
      <c r="A1658" s="239"/>
      <c r="B1658" s="239"/>
      <c r="C1658" s="264"/>
      <c r="D1658" s="264" t="s">
        <v>2978</v>
      </c>
      <c r="E1658" s="264" t="s">
        <v>2920</v>
      </c>
      <c r="F1658" s="239">
        <v>4</v>
      </c>
      <c r="G1658" s="265"/>
      <c r="H1658" s="239"/>
      <c r="I1658" s="308"/>
      <c r="J1658" s="245"/>
      <c r="L1658" s="252"/>
    </row>
    <row r="1659" spans="1:122">
      <c r="A1659" s="239"/>
      <c r="B1659" s="239"/>
      <c r="C1659" s="264"/>
      <c r="D1659" s="264" t="s">
        <v>2979</v>
      </c>
      <c r="E1659" s="264" t="s">
        <v>2921</v>
      </c>
      <c r="F1659" s="239">
        <v>1</v>
      </c>
      <c r="G1659" s="265"/>
      <c r="H1659" s="239"/>
      <c r="I1659" s="308"/>
      <c r="J1659" s="245"/>
      <c r="L1659" s="252"/>
    </row>
    <row r="1660" spans="1:122">
      <c r="A1660" s="239"/>
      <c r="B1660" s="239"/>
      <c r="C1660" s="264"/>
      <c r="D1660" s="264" t="s">
        <v>2980</v>
      </c>
      <c r="E1660" s="264" t="s">
        <v>2922</v>
      </c>
      <c r="F1660" s="239">
        <v>1</v>
      </c>
      <c r="G1660" s="265"/>
      <c r="H1660" s="239"/>
      <c r="I1660" s="308"/>
      <c r="J1660" s="245"/>
      <c r="L1660" s="252"/>
    </row>
    <row r="1661" spans="1:122">
      <c r="A1661" s="239"/>
      <c r="B1661" s="239"/>
      <c r="C1661" s="264"/>
      <c r="D1661" s="264" t="s">
        <v>2981</v>
      </c>
      <c r="E1661" s="264" t="s">
        <v>2922</v>
      </c>
      <c r="F1661" s="239">
        <v>1</v>
      </c>
      <c r="G1661" s="265"/>
      <c r="H1661" s="239"/>
      <c r="I1661" s="308"/>
      <c r="J1661" s="245"/>
      <c r="L1661" s="252"/>
    </row>
    <row r="1662" spans="1:122">
      <c r="A1662" s="239"/>
      <c r="B1662" s="239"/>
      <c r="C1662" s="264"/>
      <c r="D1662" s="264" t="s">
        <v>2982</v>
      </c>
      <c r="E1662" s="264" t="s">
        <v>2923</v>
      </c>
      <c r="F1662" s="239">
        <v>1</v>
      </c>
      <c r="G1662" s="265"/>
      <c r="H1662" s="239"/>
      <c r="I1662" s="308"/>
      <c r="J1662" s="245"/>
      <c r="L1662" s="252"/>
    </row>
    <row r="1663" spans="1:122">
      <c r="A1663" s="239"/>
      <c r="B1663" s="239"/>
      <c r="C1663" s="264"/>
      <c r="D1663" s="264" t="s">
        <v>2983</v>
      </c>
      <c r="E1663" s="264" t="s">
        <v>2921</v>
      </c>
      <c r="F1663" s="239">
        <v>1</v>
      </c>
      <c r="G1663" s="265"/>
      <c r="H1663" s="239"/>
      <c r="I1663" s="308"/>
      <c r="J1663" s="245"/>
      <c r="L1663" s="252"/>
    </row>
    <row r="1664" spans="1:122">
      <c r="A1664" s="239"/>
      <c r="B1664" s="285"/>
      <c r="C1664" s="284"/>
      <c r="D1664" s="284" t="s">
        <v>2969</v>
      </c>
      <c r="E1664" s="284" t="s">
        <v>2924</v>
      </c>
      <c r="F1664" s="285">
        <v>1</v>
      </c>
      <c r="G1664" s="286"/>
      <c r="H1664" s="285"/>
      <c r="I1664" s="345"/>
      <c r="J1664" s="245"/>
      <c r="L1664" s="252"/>
    </row>
    <row r="1665" spans="1:12" ht="62.25">
      <c r="A1665" s="239"/>
      <c r="B1665" s="299"/>
      <c r="C1665" s="298"/>
      <c r="D1665" s="298" t="s">
        <v>2925</v>
      </c>
      <c r="E1665" s="298" t="s">
        <v>2926</v>
      </c>
      <c r="F1665" s="299">
        <v>1</v>
      </c>
      <c r="G1665" s="300"/>
      <c r="H1665" s="309" t="s">
        <v>2927</v>
      </c>
      <c r="I1665" s="347"/>
      <c r="J1665" s="245"/>
      <c r="L1665" s="252"/>
    </row>
    <row r="1666" spans="1:12">
      <c r="A1666" s="239"/>
      <c r="B1666" s="299"/>
      <c r="C1666" s="298"/>
      <c r="D1666" s="298" t="s">
        <v>1042</v>
      </c>
      <c r="E1666" s="298" t="s">
        <v>2947</v>
      </c>
      <c r="F1666" s="299">
        <v>1</v>
      </c>
      <c r="G1666" s="300"/>
      <c r="H1666" s="309"/>
      <c r="I1666" s="347"/>
      <c r="J1666" s="245"/>
      <c r="L1666" s="252"/>
    </row>
    <row r="1667" spans="1:12">
      <c r="A1667" s="239"/>
      <c r="B1667" s="299"/>
      <c r="C1667" s="298"/>
      <c r="D1667" s="298" t="s">
        <v>2948</v>
      </c>
      <c r="E1667" s="298" t="s">
        <v>2949</v>
      </c>
      <c r="F1667" s="299">
        <v>1</v>
      </c>
      <c r="G1667" s="300"/>
      <c r="H1667" s="309"/>
      <c r="I1667" s="347"/>
      <c r="J1667" s="245"/>
      <c r="L1667" s="252"/>
    </row>
    <row r="1668" spans="1:12">
      <c r="A1668" s="239"/>
      <c r="B1668" s="299"/>
      <c r="C1668" s="298"/>
      <c r="D1668" s="298" t="s">
        <v>2950</v>
      </c>
      <c r="E1668" s="298" t="s">
        <v>2951</v>
      </c>
      <c r="F1668" s="299">
        <v>1</v>
      </c>
      <c r="G1668" s="300"/>
      <c r="H1668" s="309"/>
      <c r="I1668" s="347"/>
      <c r="J1668" s="245"/>
      <c r="L1668" s="252"/>
    </row>
    <row r="1669" spans="1:12">
      <c r="A1669" s="239"/>
      <c r="B1669" s="299"/>
      <c r="C1669" s="298"/>
      <c r="D1669" s="298" t="s">
        <v>2952</v>
      </c>
      <c r="E1669" s="298" t="s">
        <v>2953</v>
      </c>
      <c r="F1669" s="299">
        <v>1</v>
      </c>
      <c r="G1669" s="300"/>
      <c r="H1669" s="309"/>
      <c r="I1669" s="347"/>
      <c r="J1669" s="245"/>
      <c r="L1669" s="252"/>
    </row>
    <row r="1670" spans="1:12">
      <c r="A1670" s="239"/>
      <c r="B1670" s="299"/>
      <c r="C1670" s="298"/>
      <c r="D1670" s="298" t="s">
        <v>2954</v>
      </c>
      <c r="E1670" s="298" t="s">
        <v>2955</v>
      </c>
      <c r="F1670" s="299">
        <v>2</v>
      </c>
      <c r="G1670" s="300"/>
      <c r="H1670" s="309"/>
      <c r="I1670" s="347"/>
      <c r="J1670" s="245"/>
      <c r="L1670" s="252"/>
    </row>
    <row r="1671" spans="1:12">
      <c r="A1671" s="239"/>
      <c r="B1671" s="299"/>
      <c r="C1671" s="298"/>
      <c r="D1671" s="298" t="s">
        <v>2956</v>
      </c>
      <c r="E1671" s="298" t="s">
        <v>2957</v>
      </c>
      <c r="F1671" s="299">
        <v>1</v>
      </c>
      <c r="G1671" s="300"/>
      <c r="H1671" s="309"/>
      <c r="I1671" s="347"/>
      <c r="J1671" s="245"/>
      <c r="L1671" s="252"/>
    </row>
    <row r="1672" spans="1:12">
      <c r="A1672" s="239"/>
      <c r="B1672" s="299"/>
      <c r="C1672" s="298"/>
      <c r="D1672" s="298" t="s">
        <v>2958</v>
      </c>
      <c r="E1672" s="298" t="s">
        <v>2959</v>
      </c>
      <c r="F1672" s="299">
        <v>1</v>
      </c>
      <c r="G1672" s="300"/>
      <c r="H1672" s="309"/>
      <c r="I1672" s="347"/>
      <c r="J1672" s="245"/>
      <c r="L1672" s="252"/>
    </row>
    <row r="1673" spans="1:12">
      <c r="A1673" s="239"/>
      <c r="B1673" s="299"/>
      <c r="C1673" s="298"/>
      <c r="D1673" s="298" t="s">
        <v>2960</v>
      </c>
      <c r="E1673" s="298" t="s">
        <v>2961</v>
      </c>
      <c r="F1673" s="299">
        <v>1</v>
      </c>
      <c r="G1673" s="300"/>
      <c r="H1673" s="309"/>
      <c r="I1673" s="347"/>
      <c r="J1673" s="245"/>
      <c r="L1673" s="252"/>
    </row>
    <row r="1674" spans="1:12">
      <c r="A1674" s="239"/>
      <c r="B1674" s="299"/>
      <c r="C1674" s="298"/>
      <c r="D1674" s="298" t="s">
        <v>2962</v>
      </c>
      <c r="E1674" s="298" t="s">
        <v>2963</v>
      </c>
      <c r="F1674" s="299">
        <v>1</v>
      </c>
      <c r="G1674" s="300"/>
      <c r="H1674" s="309"/>
      <c r="I1674" s="347"/>
      <c r="J1674" s="245"/>
      <c r="L1674" s="252"/>
    </row>
    <row r="1675" spans="1:12">
      <c r="A1675" s="239"/>
      <c r="B1675" s="299"/>
      <c r="C1675" s="298"/>
      <c r="D1675" s="298" t="s">
        <v>2964</v>
      </c>
      <c r="E1675" s="298" t="s">
        <v>2965</v>
      </c>
      <c r="F1675" s="299">
        <v>12</v>
      </c>
      <c r="G1675" s="300"/>
      <c r="H1675" s="309"/>
      <c r="I1675" s="347"/>
      <c r="J1675" s="245"/>
      <c r="L1675" s="252"/>
    </row>
    <row r="1676" spans="1:12">
      <c r="A1676" s="239"/>
      <c r="B1676" s="299"/>
      <c r="C1676" s="298"/>
      <c r="D1676" s="298" t="s">
        <v>2966</v>
      </c>
      <c r="E1676" s="298" t="s">
        <v>2949</v>
      </c>
      <c r="F1676" s="299">
        <v>1</v>
      </c>
      <c r="G1676" s="300"/>
      <c r="H1676" s="309"/>
      <c r="I1676" s="347"/>
      <c r="J1676" s="245"/>
      <c r="L1676" s="252"/>
    </row>
    <row r="1677" spans="1:12">
      <c r="A1677" s="239"/>
      <c r="B1677" s="299"/>
      <c r="C1677" s="298"/>
      <c r="D1677" s="298" t="s">
        <v>2967</v>
      </c>
      <c r="E1677" s="298" t="s">
        <v>2968</v>
      </c>
      <c r="F1677" s="299">
        <v>2</v>
      </c>
      <c r="G1677" s="300"/>
      <c r="H1677" s="309"/>
      <c r="I1677" s="347"/>
      <c r="J1677" s="245"/>
      <c r="L1677" s="252"/>
    </row>
    <row r="1678" spans="1:12">
      <c r="A1678" s="239"/>
      <c r="B1678" s="239"/>
      <c r="C1678" s="264"/>
      <c r="D1678" s="264"/>
      <c r="E1678" s="264"/>
      <c r="F1678" s="239"/>
      <c r="G1678" s="265"/>
      <c r="H1678" s="239"/>
      <c r="I1678" s="308"/>
      <c r="J1678" s="245"/>
      <c r="L1678" s="252"/>
    </row>
    <row r="1679" spans="1:12" ht="62.25">
      <c r="A1679" s="239"/>
      <c r="B1679" s="296"/>
      <c r="C1679" s="295"/>
      <c r="D1679" s="295" t="s">
        <v>2984</v>
      </c>
      <c r="E1679" s="295" t="s">
        <v>2917</v>
      </c>
      <c r="F1679" s="296">
        <v>1</v>
      </c>
      <c r="G1679" s="297"/>
      <c r="H1679" s="309" t="s">
        <v>2927</v>
      </c>
      <c r="I1679" s="348"/>
      <c r="J1679" s="245"/>
      <c r="L1679" s="252"/>
    </row>
    <row r="1680" spans="1:12">
      <c r="A1680" s="239"/>
      <c r="B1680" s="296"/>
      <c r="C1680" s="295"/>
      <c r="D1680" s="295" t="s">
        <v>2985</v>
      </c>
      <c r="E1680" s="295" t="s">
        <v>2986</v>
      </c>
      <c r="F1680" s="296">
        <v>1</v>
      </c>
      <c r="G1680" s="297"/>
      <c r="H1680" s="296"/>
      <c r="I1680" s="348"/>
      <c r="J1680" s="245"/>
      <c r="L1680" s="252"/>
    </row>
    <row r="1681" spans="1:12">
      <c r="A1681" s="239"/>
      <c r="B1681" s="296"/>
      <c r="C1681" s="295"/>
      <c r="D1681" s="295" t="s">
        <v>2987</v>
      </c>
      <c r="E1681" s="295" t="s">
        <v>2988</v>
      </c>
      <c r="F1681" s="296">
        <v>1</v>
      </c>
      <c r="G1681" s="297"/>
      <c r="H1681" s="296"/>
      <c r="I1681" s="348"/>
      <c r="J1681" s="245"/>
      <c r="L1681" s="252"/>
    </row>
    <row r="1682" spans="1:12">
      <c r="A1682" s="239"/>
      <c r="B1682" s="296"/>
      <c r="C1682" s="295"/>
      <c r="D1682" s="295" t="s">
        <v>2989</v>
      </c>
      <c r="E1682" s="295" t="s">
        <v>2935</v>
      </c>
      <c r="F1682" s="296">
        <v>1</v>
      </c>
      <c r="G1682" s="297"/>
      <c r="H1682" s="296"/>
      <c r="I1682" s="348"/>
      <c r="J1682" s="245"/>
      <c r="L1682" s="252"/>
    </row>
    <row r="1683" spans="1:12">
      <c r="A1683" s="239"/>
      <c r="B1683" s="296"/>
      <c r="C1683" s="295"/>
      <c r="D1683" s="295" t="s">
        <v>2990</v>
      </c>
      <c r="E1683" s="295" t="s">
        <v>2991</v>
      </c>
      <c r="F1683" s="296">
        <v>1</v>
      </c>
      <c r="G1683" s="297"/>
      <c r="H1683" s="296"/>
      <c r="I1683" s="348"/>
      <c r="J1683" s="245"/>
      <c r="L1683" s="252"/>
    </row>
    <row r="1684" spans="1:12">
      <c r="A1684" s="239"/>
      <c r="B1684" s="296"/>
      <c r="C1684" s="295"/>
      <c r="D1684" s="295" t="s">
        <v>2992</v>
      </c>
      <c r="E1684" s="295" t="s">
        <v>2993</v>
      </c>
      <c r="F1684" s="296">
        <v>1</v>
      </c>
      <c r="G1684" s="297"/>
      <c r="H1684" s="296"/>
      <c r="I1684" s="348"/>
      <c r="J1684" s="245"/>
      <c r="L1684" s="252"/>
    </row>
    <row r="1685" spans="1:12">
      <c r="A1685" s="239"/>
      <c r="B1685" s="296"/>
      <c r="C1685" s="295"/>
      <c r="D1685" s="295" t="s">
        <v>466</v>
      </c>
      <c r="E1685" s="295" t="s">
        <v>2994</v>
      </c>
      <c r="F1685" s="296">
        <v>1</v>
      </c>
      <c r="G1685" s="297"/>
      <c r="H1685" s="296"/>
      <c r="I1685" s="348"/>
      <c r="J1685" s="245"/>
      <c r="L1685" s="252"/>
    </row>
    <row r="1686" spans="1:12">
      <c r="A1686" s="239"/>
      <c r="B1686" s="296"/>
      <c r="C1686" s="295"/>
      <c r="D1686" s="295" t="s">
        <v>2995</v>
      </c>
      <c r="E1686" s="295" t="s">
        <v>2996</v>
      </c>
      <c r="F1686" s="296">
        <v>1</v>
      </c>
      <c r="G1686" s="297"/>
      <c r="H1686" s="296"/>
      <c r="I1686" s="348"/>
      <c r="J1686" s="245"/>
      <c r="L1686" s="252"/>
    </row>
    <row r="1687" spans="1:12">
      <c r="A1687" s="239"/>
      <c r="B1687" s="296"/>
      <c r="C1687" s="295"/>
      <c r="D1687" s="295" t="s">
        <v>2997</v>
      </c>
      <c r="E1687" s="295" t="s">
        <v>2998</v>
      </c>
      <c r="F1687" s="296">
        <v>1</v>
      </c>
      <c r="G1687" s="297"/>
      <c r="H1687" s="296"/>
      <c r="I1687" s="348"/>
      <c r="J1687" s="245"/>
      <c r="L1687" s="252"/>
    </row>
    <row r="1688" spans="1:12">
      <c r="A1688" s="239"/>
      <c r="B1688" s="296"/>
      <c r="C1688" s="295"/>
      <c r="D1688" s="295" t="s">
        <v>2999</v>
      </c>
      <c r="E1688" s="295" t="s">
        <v>2965</v>
      </c>
      <c r="F1688" s="296">
        <v>4</v>
      </c>
      <c r="G1688" s="297"/>
      <c r="H1688" s="296"/>
      <c r="I1688" s="348"/>
      <c r="J1688" s="245"/>
      <c r="L1688" s="252"/>
    </row>
    <row r="1689" spans="1:12">
      <c r="A1689" s="239"/>
      <c r="B1689" s="296"/>
      <c r="C1689" s="295"/>
      <c r="D1689" s="295" t="s">
        <v>2945</v>
      </c>
      <c r="E1689" s="295" t="s">
        <v>2946</v>
      </c>
      <c r="F1689" s="296">
        <v>1</v>
      </c>
      <c r="G1689" s="297"/>
      <c r="H1689" s="296"/>
      <c r="I1689" s="348"/>
      <c r="J1689" s="245"/>
      <c r="L1689" s="252"/>
    </row>
    <row r="1690" spans="1:12">
      <c r="A1690" s="239"/>
      <c r="B1690" s="296"/>
      <c r="C1690" s="295"/>
      <c r="D1690" s="295" t="s">
        <v>2943</v>
      </c>
      <c r="E1690" s="295" t="s">
        <v>2944</v>
      </c>
      <c r="F1690" s="296">
        <v>1</v>
      </c>
      <c r="G1690" s="297"/>
      <c r="H1690" s="296"/>
      <c r="I1690" s="348"/>
      <c r="J1690" s="245"/>
      <c r="L1690" s="252"/>
    </row>
    <row r="1691" spans="1:12">
      <c r="A1691" s="239"/>
      <c r="B1691" s="296"/>
      <c r="C1691" s="295"/>
      <c r="D1691" s="295" t="s">
        <v>3000</v>
      </c>
      <c r="E1691" s="295" t="s">
        <v>2941</v>
      </c>
      <c r="F1691" s="296">
        <v>1</v>
      </c>
      <c r="G1691" s="297"/>
      <c r="H1691" s="296"/>
      <c r="I1691" s="348"/>
      <c r="J1691" s="245"/>
      <c r="L1691" s="252"/>
    </row>
    <row r="1692" spans="1:12">
      <c r="A1692" s="239"/>
      <c r="B1692" s="296"/>
      <c r="C1692" s="295"/>
      <c r="D1692" s="295" t="s">
        <v>3001</v>
      </c>
      <c r="E1692" s="295" t="s">
        <v>3002</v>
      </c>
      <c r="F1692" s="296">
        <v>1</v>
      </c>
      <c r="G1692" s="297"/>
      <c r="H1692" s="296"/>
      <c r="I1692" s="348"/>
      <c r="J1692" s="245"/>
      <c r="L1692" s="252"/>
    </row>
    <row r="1693" spans="1:12">
      <c r="A1693" s="239"/>
      <c r="B1693" s="296"/>
      <c r="C1693" s="295"/>
      <c r="D1693" s="295" t="s">
        <v>3003</v>
      </c>
      <c r="E1693" s="295" t="s">
        <v>3004</v>
      </c>
      <c r="F1693" s="296">
        <v>2</v>
      </c>
      <c r="G1693" s="297"/>
      <c r="H1693" s="296"/>
      <c r="I1693" s="348"/>
      <c r="J1693" s="245"/>
      <c r="L1693" s="252"/>
    </row>
    <row r="1694" spans="1:12">
      <c r="A1694" s="239"/>
      <c r="B1694" s="296"/>
      <c r="C1694" s="295"/>
      <c r="D1694" s="295" t="s">
        <v>3005</v>
      </c>
      <c r="E1694" s="295" t="s">
        <v>3006</v>
      </c>
      <c r="F1694" s="296">
        <v>1</v>
      </c>
      <c r="G1694" s="297"/>
      <c r="H1694" s="296"/>
      <c r="I1694" s="348"/>
      <c r="J1694" s="245"/>
      <c r="L1694" s="252"/>
    </row>
    <row r="1695" spans="1:12">
      <c r="A1695" s="239"/>
      <c r="B1695" s="296"/>
      <c r="C1695" s="295"/>
      <c r="D1695" s="295" t="s">
        <v>3007</v>
      </c>
      <c r="E1695" s="295" t="s">
        <v>3008</v>
      </c>
      <c r="F1695" s="296">
        <v>1</v>
      </c>
      <c r="G1695" s="297"/>
      <c r="H1695" s="296"/>
      <c r="I1695" s="348"/>
      <c r="J1695" s="245"/>
      <c r="L1695" s="252"/>
    </row>
    <row r="1696" spans="1:12">
      <c r="A1696" s="239"/>
      <c r="B1696" s="296"/>
      <c r="C1696" s="295"/>
      <c r="D1696" s="295" t="s">
        <v>3009</v>
      </c>
      <c r="E1696" s="295" t="s">
        <v>3010</v>
      </c>
      <c r="F1696" s="296">
        <v>1</v>
      </c>
      <c r="G1696" s="297"/>
      <c r="H1696" s="296"/>
      <c r="I1696" s="348"/>
      <c r="J1696" s="245"/>
      <c r="L1696" s="252"/>
    </row>
    <row r="1697" spans="1:12">
      <c r="A1697" s="239"/>
      <c r="B1697" s="296"/>
      <c r="C1697" s="295"/>
      <c r="D1697" s="295" t="s">
        <v>3011</v>
      </c>
      <c r="E1697" s="295" t="s">
        <v>3012</v>
      </c>
      <c r="F1697" s="296">
        <v>2</v>
      </c>
      <c r="G1697" s="297"/>
      <c r="H1697" s="296"/>
      <c r="I1697" s="348"/>
      <c r="J1697" s="245"/>
      <c r="L1697" s="252"/>
    </row>
    <row r="1698" spans="1:12">
      <c r="A1698" s="239"/>
      <c r="B1698" s="296"/>
      <c r="C1698" s="295"/>
      <c r="D1698" s="295" t="s">
        <v>3013</v>
      </c>
      <c r="E1698" s="295" t="s">
        <v>3014</v>
      </c>
      <c r="F1698" s="296">
        <v>2</v>
      </c>
      <c r="G1698" s="297"/>
      <c r="H1698" s="296"/>
      <c r="I1698" s="348"/>
      <c r="J1698" s="245"/>
      <c r="L1698" s="252"/>
    </row>
    <row r="1699" spans="1:12">
      <c r="A1699" s="239"/>
      <c r="B1699" s="296"/>
      <c r="C1699" s="295"/>
      <c r="D1699" s="295" t="s">
        <v>3015</v>
      </c>
      <c r="E1699" s="295" t="s">
        <v>3016</v>
      </c>
      <c r="F1699" s="296">
        <v>2</v>
      </c>
      <c r="G1699" s="297"/>
      <c r="H1699" s="296"/>
      <c r="I1699" s="348"/>
      <c r="J1699" s="245"/>
      <c r="L1699" s="252"/>
    </row>
    <row r="1700" spans="1:12">
      <c r="A1700" s="239"/>
      <c r="B1700" s="296"/>
      <c r="C1700" s="295"/>
      <c r="D1700" s="295" t="s">
        <v>3017</v>
      </c>
      <c r="E1700" s="295" t="s">
        <v>2942</v>
      </c>
      <c r="F1700" s="296">
        <v>2</v>
      </c>
      <c r="G1700" s="297"/>
      <c r="H1700" s="296"/>
      <c r="I1700" s="348"/>
      <c r="J1700" s="245"/>
      <c r="L1700" s="252"/>
    </row>
    <row r="1701" spans="1:12">
      <c r="A1701" s="239"/>
      <c r="B1701" s="239"/>
      <c r="C1701" s="264"/>
      <c r="D1701" s="264"/>
      <c r="E1701" s="264"/>
      <c r="F1701" s="239"/>
      <c r="G1701" s="265"/>
      <c r="H1701" s="239"/>
      <c r="I1701" s="308"/>
      <c r="J1701" s="245"/>
      <c r="L1701" s="252"/>
    </row>
    <row r="1702" spans="1:12">
      <c r="A1702" s="239"/>
      <c r="B1702" s="239"/>
      <c r="C1702" s="264"/>
      <c r="D1702" s="264"/>
      <c r="E1702" s="264"/>
      <c r="F1702" s="239"/>
      <c r="G1702" s="265"/>
      <c r="H1702" s="239"/>
      <c r="I1702" s="308"/>
      <c r="J1702" s="245"/>
      <c r="L1702" s="252"/>
    </row>
    <row r="1703" spans="1:12">
      <c r="A1703" s="239"/>
      <c r="B1703" s="285"/>
      <c r="C1703" s="284"/>
      <c r="D1703" s="284"/>
      <c r="E1703" s="284" t="s">
        <v>2929</v>
      </c>
      <c r="F1703" s="285">
        <v>1</v>
      </c>
      <c r="G1703" s="286"/>
      <c r="H1703" s="285"/>
      <c r="I1703" s="345"/>
      <c r="J1703" s="245"/>
      <c r="L1703" s="252"/>
    </row>
    <row r="1704" spans="1:12">
      <c r="A1704" s="239"/>
      <c r="B1704" s="239"/>
      <c r="C1704" s="264"/>
      <c r="D1704" s="264" t="s">
        <v>2930</v>
      </c>
      <c r="E1704" s="264" t="s">
        <v>2931</v>
      </c>
      <c r="F1704" s="239">
        <v>1</v>
      </c>
      <c r="G1704" s="265"/>
      <c r="H1704" s="239"/>
      <c r="I1704" s="308"/>
      <c r="J1704" s="245"/>
      <c r="L1704" s="252"/>
    </row>
    <row r="1705" spans="1:12">
      <c r="A1705" s="239"/>
      <c r="B1705" s="239"/>
      <c r="C1705" s="264"/>
      <c r="D1705" s="264" t="s">
        <v>2932</v>
      </c>
      <c r="E1705" s="264" t="s">
        <v>2933</v>
      </c>
      <c r="F1705" s="239">
        <v>1</v>
      </c>
      <c r="G1705" s="265"/>
      <c r="H1705" s="239"/>
      <c r="I1705" s="308"/>
      <c r="J1705" s="245"/>
      <c r="L1705" s="252"/>
    </row>
    <row r="1706" spans="1:12">
      <c r="A1706" s="239"/>
      <c r="B1706" s="239"/>
      <c r="C1706" s="264"/>
      <c r="D1706" s="264"/>
      <c r="E1706" s="264"/>
      <c r="F1706" s="239"/>
      <c r="G1706" s="265"/>
      <c r="H1706" s="239"/>
      <c r="I1706" s="308"/>
      <c r="J1706" s="245"/>
      <c r="L1706" s="252"/>
    </row>
    <row r="1707" spans="1:12">
      <c r="A1707" s="239"/>
      <c r="B1707" s="285"/>
      <c r="C1707" s="284"/>
      <c r="D1707" s="284"/>
      <c r="E1707" s="284" t="s">
        <v>2917</v>
      </c>
      <c r="F1707" s="285">
        <v>1</v>
      </c>
      <c r="G1707" s="286"/>
      <c r="H1707" s="285"/>
      <c r="I1707" s="345"/>
      <c r="J1707" s="245"/>
      <c r="L1707" s="252"/>
    </row>
    <row r="1708" spans="1:12">
      <c r="A1708" s="239"/>
      <c r="B1708" s="299"/>
      <c r="C1708" s="298"/>
      <c r="D1708" s="298" t="s">
        <v>2934</v>
      </c>
      <c r="E1708" s="298" t="s">
        <v>2935</v>
      </c>
      <c r="F1708" s="299">
        <v>1</v>
      </c>
      <c r="G1708" s="300"/>
      <c r="H1708" s="299"/>
      <c r="I1708" s="347"/>
      <c r="J1708" s="245"/>
      <c r="L1708" s="252"/>
    </row>
    <row r="1709" spans="1:12">
      <c r="A1709" s="239"/>
      <c r="B1709" s="299"/>
      <c r="C1709" s="298"/>
      <c r="D1709" s="298" t="s">
        <v>2937</v>
      </c>
      <c r="E1709" s="298" t="s">
        <v>2940</v>
      </c>
      <c r="F1709" s="299">
        <v>1</v>
      </c>
      <c r="G1709" s="300"/>
      <c r="H1709" s="299"/>
      <c r="I1709" s="347"/>
      <c r="J1709" s="245"/>
      <c r="L1709" s="252"/>
    </row>
    <row r="1710" spans="1:12">
      <c r="A1710" s="239"/>
      <c r="B1710" s="239"/>
      <c r="C1710" s="264"/>
      <c r="D1710" s="264"/>
      <c r="E1710" s="264"/>
      <c r="F1710" s="239"/>
      <c r="G1710" s="265"/>
      <c r="H1710" s="239"/>
      <c r="I1710" s="308"/>
      <c r="J1710" s="245"/>
      <c r="L1710" s="252"/>
    </row>
    <row r="1711" spans="1:12">
      <c r="A1711" s="239"/>
      <c r="B1711" s="239"/>
      <c r="C1711" s="264"/>
      <c r="D1711" s="264"/>
      <c r="E1711" s="264"/>
      <c r="F1711" s="239"/>
      <c r="G1711" s="265"/>
      <c r="H1711" s="239"/>
      <c r="I1711" s="308"/>
      <c r="J1711" s="245"/>
      <c r="L1711" s="252"/>
    </row>
    <row r="1712" spans="1:12">
      <c r="A1712" s="239"/>
      <c r="B1712" s="285"/>
      <c r="C1712" s="284"/>
      <c r="D1712" s="284"/>
      <c r="E1712" s="284" t="s">
        <v>2936</v>
      </c>
      <c r="F1712" s="285">
        <v>1</v>
      </c>
      <c r="G1712" s="286"/>
      <c r="H1712" s="285"/>
      <c r="I1712" s="345"/>
      <c r="J1712" s="245"/>
      <c r="L1712" s="252"/>
    </row>
    <row r="1713" spans="1:12">
      <c r="A1713" s="239"/>
      <c r="B1713" s="239"/>
      <c r="C1713" s="264"/>
      <c r="D1713" s="264" t="s">
        <v>2938</v>
      </c>
      <c r="E1713" s="264" t="s">
        <v>2939</v>
      </c>
      <c r="F1713" s="239">
        <v>1</v>
      </c>
      <c r="G1713" s="265"/>
      <c r="H1713" s="239"/>
      <c r="I1713" s="308"/>
      <c r="J1713" s="245"/>
      <c r="L1713" s="252"/>
    </row>
    <row r="1714" spans="1:12">
      <c r="A1714" s="239"/>
      <c r="B1714" s="239"/>
      <c r="C1714" s="264"/>
      <c r="D1714" s="264"/>
      <c r="E1714" s="264"/>
      <c r="F1714" s="239"/>
      <c r="G1714" s="265"/>
      <c r="H1714" s="239"/>
      <c r="I1714" s="308"/>
      <c r="J1714" s="245"/>
      <c r="L1714" s="252"/>
    </row>
    <row r="1715" spans="1:12">
      <c r="A1715" s="239"/>
      <c r="B1715" s="285"/>
      <c r="C1715" s="284"/>
      <c r="D1715" s="284"/>
      <c r="E1715" s="284" t="s">
        <v>3018</v>
      </c>
      <c r="F1715" s="285">
        <v>1</v>
      </c>
      <c r="G1715" s="286"/>
      <c r="H1715" s="285"/>
      <c r="I1715" s="345"/>
      <c r="J1715" s="245"/>
      <c r="L1715" s="252"/>
    </row>
    <row r="1716" spans="1:12" ht="62.25">
      <c r="A1716" s="239"/>
      <c r="B1716" s="296"/>
      <c r="C1716" s="295"/>
      <c r="D1716" s="295" t="s">
        <v>3020</v>
      </c>
      <c r="E1716" s="349" t="s">
        <v>3019</v>
      </c>
      <c r="F1716" s="296">
        <v>1</v>
      </c>
      <c r="G1716" s="297"/>
      <c r="H1716" s="350" t="s">
        <v>2927</v>
      </c>
      <c r="I1716" s="348"/>
      <c r="J1716" s="245"/>
      <c r="L1716" s="252"/>
    </row>
    <row r="1717" spans="1:12">
      <c r="A1717" s="239"/>
      <c r="B1717" s="296"/>
      <c r="C1717" s="295"/>
      <c r="D1717" s="295" t="s">
        <v>2952</v>
      </c>
      <c r="E1717" s="295" t="s">
        <v>3021</v>
      </c>
      <c r="F1717" s="296">
        <v>1</v>
      </c>
      <c r="G1717" s="297"/>
      <c r="H1717" s="296"/>
      <c r="I1717" s="348"/>
      <c r="J1717" s="245"/>
      <c r="L1717" s="252"/>
    </row>
    <row r="1718" spans="1:12">
      <c r="A1718" s="239"/>
      <c r="B1718" s="296"/>
      <c r="C1718" s="295"/>
      <c r="D1718" s="295" t="s">
        <v>3022</v>
      </c>
      <c r="E1718" s="295" t="s">
        <v>2632</v>
      </c>
      <c r="F1718" s="296">
        <v>1</v>
      </c>
      <c r="G1718" s="297"/>
      <c r="H1718" s="296"/>
      <c r="I1718" s="348"/>
      <c r="J1718" s="245"/>
      <c r="L1718" s="252"/>
    </row>
    <row r="1719" spans="1:12">
      <c r="A1719" s="239"/>
      <c r="B1719" s="296"/>
      <c r="C1719" s="295"/>
      <c r="D1719" s="295" t="s">
        <v>1042</v>
      </c>
      <c r="E1719" s="295" t="s">
        <v>3023</v>
      </c>
      <c r="F1719" s="296">
        <v>1</v>
      </c>
      <c r="G1719" s="297"/>
      <c r="H1719" s="296"/>
      <c r="I1719" s="348"/>
      <c r="J1719" s="245"/>
      <c r="L1719" s="252"/>
    </row>
    <row r="1720" spans="1:12">
      <c r="A1720" s="239"/>
      <c r="B1720" s="296"/>
      <c r="C1720" s="295"/>
      <c r="D1720" s="295" t="s">
        <v>3024</v>
      </c>
      <c r="E1720" s="295" t="s">
        <v>3025</v>
      </c>
      <c r="F1720" s="296">
        <v>1</v>
      </c>
      <c r="G1720" s="297"/>
      <c r="H1720" s="296"/>
      <c r="I1720" s="348"/>
      <c r="J1720" s="245"/>
      <c r="L1720" s="252"/>
    </row>
    <row r="1721" spans="1:12">
      <c r="A1721" s="239"/>
      <c r="B1721" s="296"/>
      <c r="C1721" s="295"/>
      <c r="D1721" s="295" t="s">
        <v>3026</v>
      </c>
      <c r="E1721" s="295" t="s">
        <v>3027</v>
      </c>
      <c r="F1721" s="296">
        <v>2</v>
      </c>
      <c r="G1721" s="297"/>
      <c r="H1721" s="296"/>
      <c r="I1721" s="348"/>
      <c r="J1721" s="245"/>
      <c r="L1721" s="252"/>
    </row>
    <row r="1722" spans="1:12">
      <c r="A1722" s="239"/>
      <c r="B1722" s="296"/>
      <c r="C1722" s="295"/>
      <c r="D1722" s="295" t="s">
        <v>3028</v>
      </c>
      <c r="E1722" s="295" t="s">
        <v>3029</v>
      </c>
      <c r="F1722" s="296">
        <v>1</v>
      </c>
      <c r="G1722" s="297"/>
      <c r="H1722" s="296"/>
      <c r="I1722" s="348"/>
      <c r="J1722" s="245"/>
      <c r="L1722" s="252"/>
    </row>
    <row r="1723" spans="1:12">
      <c r="A1723" s="239"/>
      <c r="B1723" s="296"/>
      <c r="C1723" s="295"/>
      <c r="D1723" s="295" t="s">
        <v>3030</v>
      </c>
      <c r="E1723" s="295" t="s">
        <v>3051</v>
      </c>
      <c r="F1723" s="296">
        <v>1</v>
      </c>
      <c r="G1723" s="297"/>
      <c r="H1723" s="296"/>
      <c r="I1723" s="348"/>
      <c r="J1723" s="245"/>
      <c r="L1723" s="252"/>
    </row>
    <row r="1724" spans="1:12">
      <c r="A1724" s="239"/>
      <c r="B1724" s="296"/>
      <c r="C1724" s="295"/>
      <c r="D1724" s="295" t="s">
        <v>3031</v>
      </c>
      <c r="E1724" s="295" t="s">
        <v>3052</v>
      </c>
      <c r="F1724" s="296">
        <v>2</v>
      </c>
      <c r="G1724" s="297"/>
      <c r="H1724" s="296"/>
      <c r="I1724" s="348"/>
      <c r="J1724" s="245"/>
      <c r="L1724" s="252"/>
    </row>
    <row r="1725" spans="1:12">
      <c r="A1725" s="239"/>
      <c r="B1725" s="296"/>
      <c r="C1725" s="295"/>
      <c r="D1725" s="295" t="s">
        <v>3032</v>
      </c>
      <c r="E1725" s="295" t="s">
        <v>3053</v>
      </c>
      <c r="F1725" s="296">
        <v>1</v>
      </c>
      <c r="G1725" s="297"/>
      <c r="H1725" s="296"/>
      <c r="I1725" s="348"/>
      <c r="J1725" s="245"/>
      <c r="L1725" s="252"/>
    </row>
    <row r="1726" spans="1:12">
      <c r="A1726" s="239"/>
      <c r="B1726" s="296"/>
      <c r="C1726" s="295"/>
      <c r="D1726" s="295" t="s">
        <v>3033</v>
      </c>
      <c r="E1726" s="295" t="s">
        <v>3054</v>
      </c>
      <c r="F1726" s="296">
        <v>1</v>
      </c>
      <c r="G1726" s="297"/>
      <c r="H1726" s="296"/>
      <c r="I1726" s="348"/>
      <c r="J1726" s="245"/>
      <c r="L1726" s="252"/>
    </row>
    <row r="1727" spans="1:12">
      <c r="A1727" s="239"/>
      <c r="B1727" s="296"/>
      <c r="C1727" s="295"/>
      <c r="D1727" s="295" t="s">
        <v>3034</v>
      </c>
      <c r="E1727" s="295" t="s">
        <v>3055</v>
      </c>
      <c r="F1727" s="296">
        <v>1</v>
      </c>
      <c r="G1727" s="297"/>
      <c r="H1727" s="296"/>
      <c r="I1727" s="348"/>
      <c r="J1727" s="245"/>
      <c r="L1727" s="252"/>
    </row>
    <row r="1728" spans="1:12">
      <c r="A1728" s="239"/>
      <c r="B1728" s="296"/>
      <c r="C1728" s="295"/>
      <c r="D1728" s="295" t="s">
        <v>3035</v>
      </c>
      <c r="E1728" s="295" t="s">
        <v>3055</v>
      </c>
      <c r="F1728" s="296">
        <v>1</v>
      </c>
      <c r="G1728" s="297"/>
      <c r="H1728" s="296"/>
      <c r="I1728" s="348"/>
      <c r="J1728" s="245"/>
      <c r="L1728" s="252"/>
    </row>
    <row r="1729" spans="1:12">
      <c r="A1729" s="239"/>
      <c r="B1729" s="296"/>
      <c r="C1729" s="295"/>
      <c r="D1729" s="295" t="s">
        <v>3036</v>
      </c>
      <c r="E1729" s="295" t="s">
        <v>3056</v>
      </c>
      <c r="F1729" s="296">
        <v>1</v>
      </c>
      <c r="G1729" s="297"/>
      <c r="H1729" s="296"/>
      <c r="I1729" s="348"/>
      <c r="J1729" s="245"/>
      <c r="L1729" s="252"/>
    </row>
    <row r="1730" spans="1:12">
      <c r="A1730" s="239"/>
      <c r="B1730" s="296"/>
      <c r="C1730" s="295"/>
      <c r="D1730" s="295" t="s">
        <v>3037</v>
      </c>
      <c r="E1730" s="295" t="s">
        <v>3056</v>
      </c>
      <c r="F1730" s="296">
        <v>1</v>
      </c>
      <c r="G1730" s="297"/>
      <c r="H1730" s="296"/>
      <c r="I1730" s="348"/>
      <c r="J1730" s="245"/>
      <c r="L1730" s="252"/>
    </row>
    <row r="1731" spans="1:12">
      <c r="A1731" s="239"/>
      <c r="B1731" s="296"/>
      <c r="C1731" s="295"/>
      <c r="D1731" s="295" t="s">
        <v>3038</v>
      </c>
      <c r="E1731" s="295" t="s">
        <v>3057</v>
      </c>
      <c r="F1731" s="296">
        <v>1</v>
      </c>
      <c r="G1731" s="297"/>
      <c r="H1731" s="296"/>
      <c r="I1731" s="348"/>
      <c r="J1731" s="245"/>
      <c r="L1731" s="252"/>
    </row>
    <row r="1732" spans="1:12">
      <c r="A1732" s="239"/>
      <c r="B1732" s="296"/>
      <c r="C1732" s="295"/>
      <c r="D1732" s="295" t="s">
        <v>3039</v>
      </c>
      <c r="E1732" s="295" t="s">
        <v>3057</v>
      </c>
      <c r="F1732" s="296">
        <v>1</v>
      </c>
      <c r="G1732" s="297"/>
      <c r="H1732" s="296"/>
      <c r="I1732" s="348"/>
      <c r="J1732" s="245"/>
      <c r="L1732" s="252"/>
    </row>
    <row r="1733" spans="1:12">
      <c r="A1733" s="239"/>
      <c r="B1733" s="296"/>
      <c r="C1733" s="295"/>
      <c r="D1733" s="295" t="s">
        <v>3040</v>
      </c>
      <c r="E1733" s="295" t="s">
        <v>3058</v>
      </c>
      <c r="F1733" s="296">
        <v>1</v>
      </c>
      <c r="G1733" s="297"/>
      <c r="H1733" s="296"/>
      <c r="I1733" s="348"/>
      <c r="J1733" s="245"/>
      <c r="L1733" s="252"/>
    </row>
    <row r="1734" spans="1:12">
      <c r="A1734" s="239"/>
      <c r="B1734" s="296"/>
      <c r="C1734" s="295"/>
      <c r="D1734" s="295" t="s">
        <v>3041</v>
      </c>
      <c r="E1734" s="295" t="s">
        <v>3059</v>
      </c>
      <c r="F1734" s="296">
        <v>2</v>
      </c>
      <c r="G1734" s="297"/>
      <c r="H1734" s="296"/>
      <c r="I1734" s="348"/>
      <c r="J1734" s="245"/>
      <c r="L1734" s="252"/>
    </row>
    <row r="1735" spans="1:12">
      <c r="A1735" s="239"/>
      <c r="B1735" s="296"/>
      <c r="C1735" s="295"/>
      <c r="D1735" s="295" t="s">
        <v>3042</v>
      </c>
      <c r="E1735" s="295" t="s">
        <v>3060</v>
      </c>
      <c r="F1735" s="296">
        <v>2</v>
      </c>
      <c r="G1735" s="297"/>
      <c r="H1735" s="296"/>
      <c r="I1735" s="348"/>
      <c r="J1735" s="245"/>
      <c r="L1735" s="252"/>
    </row>
    <row r="1736" spans="1:12">
      <c r="A1736" s="239"/>
      <c r="B1736" s="296"/>
      <c r="C1736" s="295"/>
      <c r="D1736" s="295" t="s">
        <v>3043</v>
      </c>
      <c r="E1736" s="295" t="s">
        <v>3061</v>
      </c>
      <c r="F1736" s="296">
        <v>1</v>
      </c>
      <c r="G1736" s="297"/>
      <c r="H1736" s="296"/>
      <c r="I1736" s="348"/>
      <c r="J1736" s="245"/>
      <c r="L1736" s="252"/>
    </row>
    <row r="1737" spans="1:12">
      <c r="A1737" s="239"/>
      <c r="B1737" s="296"/>
      <c r="C1737" s="295"/>
      <c r="D1737" s="295" t="s">
        <v>3045</v>
      </c>
      <c r="E1737" s="295" t="s">
        <v>3062</v>
      </c>
      <c r="F1737" s="296">
        <v>8</v>
      </c>
      <c r="G1737" s="297"/>
      <c r="H1737" s="296"/>
      <c r="I1737" s="348"/>
      <c r="J1737" s="245"/>
      <c r="L1737" s="252"/>
    </row>
    <row r="1738" spans="1:12">
      <c r="A1738" s="239"/>
      <c r="B1738" s="296"/>
      <c r="C1738" s="295"/>
      <c r="D1738" s="295" t="s">
        <v>3044</v>
      </c>
      <c r="E1738" s="295" t="s">
        <v>3063</v>
      </c>
      <c r="F1738" s="296">
        <v>1</v>
      </c>
      <c r="G1738" s="297"/>
      <c r="H1738" s="296"/>
      <c r="I1738" s="348"/>
      <c r="J1738" s="245"/>
      <c r="L1738" s="252"/>
    </row>
    <row r="1739" spans="1:12">
      <c r="A1739" s="239"/>
      <c r="B1739" s="296"/>
      <c r="C1739" s="295"/>
      <c r="D1739" s="295" t="s">
        <v>3046</v>
      </c>
      <c r="E1739" s="295" t="s">
        <v>3064</v>
      </c>
      <c r="F1739" s="296">
        <v>4</v>
      </c>
      <c r="G1739" s="297"/>
      <c r="H1739" s="296"/>
      <c r="I1739" s="348"/>
      <c r="J1739" s="245"/>
      <c r="L1739" s="252"/>
    </row>
    <row r="1740" spans="1:12">
      <c r="A1740" s="239"/>
      <c r="B1740" s="296"/>
      <c r="C1740" s="295"/>
      <c r="D1740" s="295" t="s">
        <v>2954</v>
      </c>
      <c r="E1740" s="295" t="s">
        <v>3065</v>
      </c>
      <c r="F1740" s="296">
        <v>2</v>
      </c>
      <c r="G1740" s="297"/>
      <c r="H1740" s="296"/>
      <c r="I1740" s="348"/>
      <c r="J1740" s="245"/>
      <c r="L1740" s="252"/>
    </row>
    <row r="1741" spans="1:12">
      <c r="A1741" s="239"/>
      <c r="B1741" s="296"/>
      <c r="C1741" s="295"/>
      <c r="D1741" s="295" t="s">
        <v>3047</v>
      </c>
      <c r="E1741" s="295" t="s">
        <v>2965</v>
      </c>
      <c r="F1741" s="296">
        <v>8</v>
      </c>
      <c r="G1741" s="297"/>
      <c r="H1741" s="296"/>
      <c r="I1741" s="348"/>
      <c r="J1741" s="245"/>
      <c r="L1741" s="252"/>
    </row>
    <row r="1742" spans="1:12">
      <c r="A1742" s="239"/>
      <c r="B1742" s="296"/>
      <c r="C1742" s="295"/>
      <c r="D1742" s="295" t="s">
        <v>3048</v>
      </c>
      <c r="E1742" s="295" t="s">
        <v>3066</v>
      </c>
      <c r="F1742" s="296">
        <v>2</v>
      </c>
      <c r="G1742" s="297"/>
      <c r="H1742" s="296"/>
      <c r="I1742" s="348"/>
      <c r="J1742" s="245"/>
      <c r="L1742" s="252"/>
    </row>
    <row r="1743" spans="1:12">
      <c r="A1743" s="239"/>
      <c r="B1743" s="296"/>
      <c r="C1743" s="295"/>
      <c r="D1743" s="295" t="s">
        <v>3011</v>
      </c>
      <c r="E1743" s="295" t="s">
        <v>3067</v>
      </c>
      <c r="F1743" s="296">
        <v>2</v>
      </c>
      <c r="G1743" s="297"/>
      <c r="H1743" s="296"/>
      <c r="I1743" s="348"/>
      <c r="J1743" s="245"/>
      <c r="L1743" s="252"/>
    </row>
    <row r="1744" spans="1:12">
      <c r="A1744" s="239"/>
      <c r="B1744" s="296"/>
      <c r="C1744" s="295"/>
      <c r="D1744" s="295" t="s">
        <v>3049</v>
      </c>
      <c r="E1744" s="295" t="s">
        <v>3068</v>
      </c>
      <c r="F1744" s="296">
        <v>4</v>
      </c>
      <c r="G1744" s="297"/>
      <c r="H1744" s="296"/>
      <c r="I1744" s="348"/>
      <c r="J1744" s="245"/>
      <c r="L1744" s="252"/>
    </row>
    <row r="1745" spans="1:12">
      <c r="A1745" s="239"/>
      <c r="B1745" s="296"/>
      <c r="C1745" s="295"/>
      <c r="D1745" s="295" t="s">
        <v>3050</v>
      </c>
      <c r="E1745" s="295" t="s">
        <v>3069</v>
      </c>
      <c r="F1745" s="296">
        <v>1</v>
      </c>
      <c r="G1745" s="297"/>
      <c r="H1745" s="296"/>
      <c r="I1745" s="348"/>
      <c r="J1745" s="245"/>
      <c r="L1745" s="252"/>
    </row>
    <row r="1746" spans="1:12">
      <c r="A1746" s="239"/>
      <c r="B1746" s="285"/>
      <c r="C1746" s="284"/>
      <c r="D1746" s="284"/>
      <c r="E1746" s="284" t="s">
        <v>2973</v>
      </c>
      <c r="F1746" s="285">
        <v>1</v>
      </c>
      <c r="G1746" s="286"/>
      <c r="H1746" s="285"/>
      <c r="I1746" s="345"/>
      <c r="J1746" s="245"/>
      <c r="L1746" s="252"/>
    </row>
    <row r="1747" spans="1:12">
      <c r="A1747" s="239"/>
      <c r="B1747" s="299"/>
      <c r="C1747" s="298"/>
      <c r="D1747" s="298" t="s">
        <v>3070</v>
      </c>
      <c r="E1747" s="298" t="s">
        <v>3071</v>
      </c>
      <c r="F1747" s="299">
        <v>1</v>
      </c>
      <c r="G1747" s="300"/>
      <c r="H1747" s="299"/>
      <c r="I1747" s="347"/>
      <c r="J1747" s="245"/>
      <c r="L1747" s="252"/>
    </row>
    <row r="1748" spans="1:12" ht="62.25">
      <c r="A1748" s="239"/>
      <c r="B1748" s="299"/>
      <c r="C1748" s="298"/>
      <c r="D1748" s="298" t="s">
        <v>3072</v>
      </c>
      <c r="E1748" s="298" t="s">
        <v>3073</v>
      </c>
      <c r="F1748" s="299">
        <v>1</v>
      </c>
      <c r="G1748" s="300"/>
      <c r="H1748" s="309" t="s">
        <v>2927</v>
      </c>
      <c r="I1748" s="347"/>
      <c r="J1748" s="245"/>
      <c r="L1748" s="252"/>
    </row>
    <row r="1749" spans="1:12">
      <c r="A1749" s="239"/>
      <c r="B1749" s="299"/>
      <c r="C1749" s="298"/>
      <c r="D1749" s="298" t="s">
        <v>3003</v>
      </c>
      <c r="E1749" s="298" t="s">
        <v>3074</v>
      </c>
      <c r="F1749" s="299">
        <v>1</v>
      </c>
      <c r="G1749" s="300"/>
      <c r="H1749" s="309"/>
      <c r="I1749" s="347"/>
      <c r="J1749" s="245"/>
      <c r="L1749" s="252"/>
    </row>
    <row r="1750" spans="1:12">
      <c r="A1750" s="239"/>
      <c r="B1750" s="299"/>
      <c r="C1750" s="298"/>
      <c r="D1750" s="298" t="s">
        <v>3075</v>
      </c>
      <c r="E1750" s="298" t="s">
        <v>3074</v>
      </c>
      <c r="F1750" s="299">
        <v>2</v>
      </c>
      <c r="G1750" s="300"/>
      <c r="H1750" s="309"/>
      <c r="I1750" s="347"/>
      <c r="J1750" s="245"/>
      <c r="L1750" s="252"/>
    </row>
    <row r="1751" spans="1:12">
      <c r="A1751" s="239"/>
      <c r="B1751" s="299"/>
      <c r="C1751" s="298"/>
      <c r="D1751" s="298" t="s">
        <v>1042</v>
      </c>
      <c r="E1751" s="298" t="s">
        <v>3082</v>
      </c>
      <c r="F1751" s="299">
        <v>1</v>
      </c>
      <c r="G1751" s="300"/>
      <c r="H1751" s="309"/>
      <c r="I1751" s="347"/>
      <c r="J1751" s="245"/>
      <c r="L1751" s="252"/>
    </row>
    <row r="1752" spans="1:12">
      <c r="A1752" s="239"/>
      <c r="B1752" s="299"/>
      <c r="C1752" s="298"/>
      <c r="D1752" s="298" t="s">
        <v>2958</v>
      </c>
      <c r="E1752" s="298" t="s">
        <v>3083</v>
      </c>
      <c r="F1752" s="299">
        <v>1</v>
      </c>
      <c r="G1752" s="300"/>
      <c r="H1752" s="309"/>
      <c r="I1752" s="347"/>
      <c r="J1752" s="245"/>
      <c r="L1752" s="252"/>
    </row>
    <row r="1753" spans="1:12">
      <c r="A1753" s="239"/>
      <c r="B1753" s="299"/>
      <c r="C1753" s="298"/>
      <c r="D1753" s="298" t="s">
        <v>2999</v>
      </c>
      <c r="E1753" s="298" t="s">
        <v>3084</v>
      </c>
      <c r="F1753" s="299">
        <v>6</v>
      </c>
      <c r="G1753" s="300"/>
      <c r="H1753" s="309"/>
      <c r="I1753" s="347"/>
      <c r="J1753" s="245"/>
      <c r="L1753" s="252"/>
    </row>
    <row r="1754" spans="1:12">
      <c r="A1754" s="239"/>
      <c r="B1754" s="299"/>
      <c r="C1754" s="298"/>
      <c r="D1754" s="298" t="s">
        <v>3076</v>
      </c>
      <c r="E1754" s="298" t="s">
        <v>2965</v>
      </c>
      <c r="F1754" s="299">
        <v>1</v>
      </c>
      <c r="G1754" s="300"/>
      <c r="H1754" s="309"/>
      <c r="I1754" s="347"/>
      <c r="J1754" s="245"/>
      <c r="L1754" s="252"/>
    </row>
    <row r="1755" spans="1:12">
      <c r="A1755" s="239"/>
      <c r="B1755" s="299"/>
      <c r="C1755" s="298"/>
      <c r="D1755" s="298" t="s">
        <v>3077</v>
      </c>
      <c r="E1755" s="298" t="s">
        <v>3085</v>
      </c>
      <c r="F1755" s="299">
        <v>1</v>
      </c>
      <c r="G1755" s="300"/>
      <c r="H1755" s="309"/>
      <c r="I1755" s="347"/>
      <c r="J1755" s="245"/>
      <c r="L1755" s="252"/>
    </row>
    <row r="1756" spans="1:12">
      <c r="A1756" s="239"/>
      <c r="B1756" s="299"/>
      <c r="C1756" s="298"/>
      <c r="D1756" s="298" t="s">
        <v>3078</v>
      </c>
      <c r="E1756" s="298" t="s">
        <v>2638</v>
      </c>
      <c r="F1756" s="299">
        <v>1</v>
      </c>
      <c r="G1756" s="300"/>
      <c r="H1756" s="309"/>
      <c r="I1756" s="347"/>
      <c r="J1756" s="245"/>
      <c r="L1756" s="252"/>
    </row>
    <row r="1757" spans="1:12">
      <c r="A1757" s="239"/>
      <c r="B1757" s="299"/>
      <c r="C1757" s="298"/>
      <c r="D1757" s="298" t="s">
        <v>3079</v>
      </c>
      <c r="E1757" s="298" t="s">
        <v>3086</v>
      </c>
      <c r="F1757" s="299">
        <v>4</v>
      </c>
      <c r="G1757" s="300"/>
      <c r="H1757" s="299"/>
      <c r="I1757" s="347"/>
      <c r="J1757" s="245"/>
      <c r="L1757" s="252"/>
    </row>
    <row r="1758" spans="1:12">
      <c r="A1758" s="239"/>
      <c r="B1758" s="299"/>
      <c r="C1758" s="298"/>
      <c r="D1758" s="298" t="s">
        <v>3080</v>
      </c>
      <c r="E1758" s="298" t="s">
        <v>3087</v>
      </c>
      <c r="F1758" s="299">
        <v>1</v>
      </c>
      <c r="G1758" s="300"/>
      <c r="H1758" s="299"/>
      <c r="I1758" s="347"/>
      <c r="J1758" s="245"/>
      <c r="L1758" s="252"/>
    </row>
    <row r="1759" spans="1:12">
      <c r="A1759" s="239"/>
      <c r="B1759" s="299"/>
      <c r="C1759" s="298"/>
      <c r="D1759" s="298" t="s">
        <v>3081</v>
      </c>
      <c r="E1759" s="298" t="s">
        <v>3088</v>
      </c>
      <c r="F1759" s="299">
        <v>1</v>
      </c>
      <c r="G1759" s="300"/>
      <c r="H1759" s="299"/>
      <c r="I1759" s="347"/>
      <c r="J1759" s="245"/>
      <c r="L1759" s="252"/>
    </row>
    <row r="1760" spans="1:12">
      <c r="A1760" s="239">
        <v>72425</v>
      </c>
      <c r="B1760" s="261">
        <v>4590038355</v>
      </c>
      <c r="C1760" s="262" t="s">
        <v>338</v>
      </c>
      <c r="D1760" s="262" t="s">
        <v>337</v>
      </c>
      <c r="E1760" s="262" t="s">
        <v>336</v>
      </c>
      <c r="F1760" s="261">
        <v>1</v>
      </c>
      <c r="G1760" s="263">
        <v>45832</v>
      </c>
      <c r="H1760" s="261"/>
      <c r="I1760" s="308" t="s">
        <v>2151</v>
      </c>
      <c r="J1760" s="245"/>
      <c r="L1760" s="252"/>
    </row>
    <row r="1761" spans="1:99">
      <c r="A1761" s="239">
        <v>72430</v>
      </c>
      <c r="B1761" s="239" t="s">
        <v>968</v>
      </c>
      <c r="C1761" s="264" t="s">
        <v>164</v>
      </c>
      <c r="D1761" s="264" t="s">
        <v>341</v>
      </c>
      <c r="E1761" s="264" t="s">
        <v>340</v>
      </c>
      <c r="F1761" s="239">
        <v>1</v>
      </c>
      <c r="G1761" s="265">
        <v>45868</v>
      </c>
      <c r="H1761" s="239" t="s">
        <v>2688</v>
      </c>
      <c r="I1761" s="243" t="s">
        <v>2654</v>
      </c>
      <c r="J1761" s="245"/>
      <c r="L1761" s="252"/>
      <c r="AE1761" s="243" t="s">
        <v>2391</v>
      </c>
      <c r="AS1761" s="243" t="s">
        <v>2340</v>
      </c>
      <c r="AT1761" s="243" t="s">
        <v>2225</v>
      </c>
      <c r="BA1761" s="243" t="s">
        <v>2654</v>
      </c>
      <c r="BB1761" s="243" t="s">
        <v>2654</v>
      </c>
      <c r="BC1761" s="243" t="s">
        <v>2654</v>
      </c>
      <c r="BD1761" s="243" t="s">
        <v>2654</v>
      </c>
      <c r="BE1761" s="243" t="s">
        <v>2654</v>
      </c>
    </row>
    <row r="1762" spans="1:99">
      <c r="A1762" s="239">
        <v>72431</v>
      </c>
      <c r="B1762" s="239" t="s">
        <v>339</v>
      </c>
      <c r="C1762" s="264" t="s">
        <v>164</v>
      </c>
      <c r="D1762" s="264" t="s">
        <v>343</v>
      </c>
      <c r="E1762" s="356" t="s">
        <v>342</v>
      </c>
      <c r="F1762" s="239">
        <v>1</v>
      </c>
      <c r="G1762" s="265">
        <v>45868</v>
      </c>
      <c r="H1762" s="357">
        <v>45926</v>
      </c>
      <c r="I1762" s="308" t="s">
        <v>3133</v>
      </c>
      <c r="J1762" s="245"/>
      <c r="L1762" s="252"/>
      <c r="CB1762" s="243" t="s">
        <v>2389</v>
      </c>
      <c r="CC1762" s="243" t="s">
        <v>2225</v>
      </c>
      <c r="CD1762" s="243" t="s">
        <v>2799</v>
      </c>
      <c r="CE1762" s="243" t="s">
        <v>2799</v>
      </c>
      <c r="CF1762" s="243" t="s">
        <v>2799</v>
      </c>
      <c r="CG1762" s="243" t="s">
        <v>2437</v>
      </c>
      <c r="CH1762" s="243" t="s">
        <v>2225</v>
      </c>
      <c r="CI1762" s="243" t="s">
        <v>2769</v>
      </c>
      <c r="CJ1762" s="243" t="s">
        <v>2769</v>
      </c>
      <c r="CK1762" s="243" t="s">
        <v>2769</v>
      </c>
      <c r="CL1762" s="243" t="s">
        <v>2769</v>
      </c>
      <c r="CM1762" s="243" t="s">
        <v>2769</v>
      </c>
      <c r="CN1762" s="243" t="s">
        <v>2196</v>
      </c>
      <c r="CO1762" s="243" t="s">
        <v>2427</v>
      </c>
      <c r="CP1762" s="243" t="s">
        <v>2427</v>
      </c>
      <c r="CQ1762" s="243" t="s">
        <v>2427</v>
      </c>
      <c r="CR1762" s="243" t="s">
        <v>2517</v>
      </c>
      <c r="CS1762" s="243" t="s">
        <v>2517</v>
      </c>
      <c r="CT1762" s="243" t="s">
        <v>2426</v>
      </c>
      <c r="CU1762" s="243" t="s">
        <v>2208</v>
      </c>
    </row>
    <row r="1763" spans="1:99">
      <c r="A1763" s="239">
        <v>72431</v>
      </c>
      <c r="B1763" s="239" t="s">
        <v>1081</v>
      </c>
      <c r="C1763" s="264" t="s">
        <v>164</v>
      </c>
      <c r="D1763" s="264" t="s">
        <v>1082</v>
      </c>
      <c r="E1763" s="356" t="s">
        <v>970</v>
      </c>
      <c r="F1763" s="239">
        <v>1</v>
      </c>
      <c r="G1763" s="265">
        <v>45868</v>
      </c>
      <c r="H1763" s="357">
        <v>45926</v>
      </c>
      <c r="I1763" s="308" t="s">
        <v>3133</v>
      </c>
      <c r="J1763" s="245"/>
      <c r="L1763" s="252"/>
    </row>
    <row r="1764" spans="1:99">
      <c r="A1764" s="239">
        <v>72438</v>
      </c>
      <c r="B1764" s="280" t="s">
        <v>344</v>
      </c>
      <c r="C1764" s="281" t="s">
        <v>20</v>
      </c>
      <c r="D1764" s="281" t="s">
        <v>346</v>
      </c>
      <c r="E1764" s="281" t="s">
        <v>345</v>
      </c>
      <c r="F1764" s="280">
        <v>3</v>
      </c>
      <c r="G1764" s="282">
        <v>46311</v>
      </c>
      <c r="H1764" s="280"/>
      <c r="I1764" s="308"/>
      <c r="J1764" s="245"/>
      <c r="L1764" s="252"/>
    </row>
    <row r="1765" spans="1:99" ht="42">
      <c r="A1765" s="239"/>
      <c r="B1765" s="285"/>
      <c r="C1765" s="284"/>
      <c r="D1765" s="287" t="s">
        <v>2018</v>
      </c>
      <c r="E1765" s="284" t="s">
        <v>2019</v>
      </c>
      <c r="F1765" s="285">
        <v>1</v>
      </c>
      <c r="G1765" s="286"/>
      <c r="H1765" s="285"/>
      <c r="I1765" s="308"/>
      <c r="J1765" s="245"/>
      <c r="L1765" s="252"/>
    </row>
    <row r="1766" spans="1:99">
      <c r="A1766" s="239"/>
      <c r="B1766" s="239"/>
      <c r="C1766" s="264"/>
      <c r="D1766" s="283" t="s">
        <v>2024</v>
      </c>
      <c r="E1766" s="264" t="s">
        <v>2023</v>
      </c>
      <c r="F1766" s="239"/>
      <c r="G1766" s="265"/>
      <c r="H1766" s="239"/>
      <c r="I1766" s="308"/>
      <c r="J1766" s="245"/>
      <c r="L1766" s="252"/>
    </row>
    <row r="1767" spans="1:99">
      <c r="A1767" s="239"/>
      <c r="B1767" s="285"/>
      <c r="C1767" s="284"/>
      <c r="D1767" s="287" t="s">
        <v>2025</v>
      </c>
      <c r="E1767" s="284" t="s">
        <v>2035</v>
      </c>
      <c r="F1767" s="285"/>
      <c r="G1767" s="286"/>
      <c r="H1767" s="285"/>
      <c r="I1767" s="308"/>
      <c r="J1767" s="245"/>
      <c r="L1767" s="252"/>
    </row>
    <row r="1768" spans="1:99">
      <c r="A1768" s="239"/>
      <c r="B1768" s="285"/>
      <c r="C1768" s="284"/>
      <c r="D1768" s="287" t="s">
        <v>2026</v>
      </c>
      <c r="E1768" s="284" t="s">
        <v>2036</v>
      </c>
      <c r="F1768" s="285"/>
      <c r="G1768" s="286"/>
      <c r="H1768" s="285"/>
      <c r="I1768" s="308"/>
      <c r="J1768" s="245"/>
      <c r="L1768" s="252"/>
    </row>
    <row r="1769" spans="1:99">
      <c r="A1769" s="239"/>
      <c r="B1769" s="285"/>
      <c r="C1769" s="284"/>
      <c r="D1769" s="287" t="s">
        <v>2027</v>
      </c>
      <c r="E1769" s="284" t="s">
        <v>2037</v>
      </c>
      <c r="F1769" s="285"/>
      <c r="G1769" s="286"/>
      <c r="H1769" s="285"/>
      <c r="I1769" s="308"/>
      <c r="J1769" s="245"/>
      <c r="L1769" s="252"/>
    </row>
    <row r="1770" spans="1:99">
      <c r="A1770" s="239"/>
      <c r="B1770" s="239"/>
      <c r="C1770" s="264"/>
      <c r="D1770" s="283" t="s">
        <v>2028</v>
      </c>
      <c r="E1770" s="264" t="s">
        <v>2038</v>
      </c>
      <c r="F1770" s="239"/>
      <c r="G1770" s="265"/>
      <c r="H1770" s="239"/>
      <c r="I1770" s="308"/>
      <c r="J1770" s="245"/>
      <c r="L1770" s="252"/>
    </row>
    <row r="1771" spans="1:99">
      <c r="A1771" s="239"/>
      <c r="B1771" s="239"/>
      <c r="C1771" s="264"/>
      <c r="D1771" s="283" t="s">
        <v>2029</v>
      </c>
      <c r="E1771" s="264" t="s">
        <v>2039</v>
      </c>
      <c r="F1771" s="239"/>
      <c r="G1771" s="265"/>
      <c r="H1771" s="239"/>
      <c r="I1771" s="308"/>
      <c r="J1771" s="245"/>
      <c r="L1771" s="252"/>
    </row>
    <row r="1772" spans="1:99">
      <c r="A1772" s="239"/>
      <c r="B1772" s="239"/>
      <c r="C1772" s="264"/>
      <c r="D1772" s="283" t="s">
        <v>2030</v>
      </c>
      <c r="E1772" s="264" t="s">
        <v>2040</v>
      </c>
      <c r="F1772" s="239"/>
      <c r="G1772" s="265"/>
      <c r="H1772" s="239"/>
      <c r="I1772" s="308"/>
      <c r="J1772" s="245"/>
      <c r="L1772" s="252"/>
    </row>
    <row r="1773" spans="1:99">
      <c r="A1773" s="239"/>
      <c r="B1773" s="239"/>
      <c r="C1773" s="264"/>
      <c r="D1773" s="283" t="s">
        <v>2031</v>
      </c>
      <c r="E1773" s="264" t="s">
        <v>2041</v>
      </c>
      <c r="F1773" s="239"/>
      <c r="G1773" s="265"/>
      <c r="H1773" s="239"/>
      <c r="I1773" s="308"/>
      <c r="J1773" s="245"/>
      <c r="L1773" s="252"/>
    </row>
    <row r="1774" spans="1:99">
      <c r="A1774" s="239"/>
      <c r="B1774" s="239"/>
      <c r="C1774" s="264"/>
      <c r="D1774" s="283" t="s">
        <v>2032</v>
      </c>
      <c r="E1774" s="264" t="s">
        <v>2042</v>
      </c>
      <c r="F1774" s="239"/>
      <c r="G1774" s="265"/>
      <c r="H1774" s="239"/>
      <c r="I1774" s="308"/>
      <c r="J1774" s="245"/>
      <c r="L1774" s="252"/>
    </row>
    <row r="1775" spans="1:99">
      <c r="A1775" s="239"/>
      <c r="B1775" s="239"/>
      <c r="C1775" s="264"/>
      <c r="D1775" s="283" t="s">
        <v>2033</v>
      </c>
      <c r="E1775" s="264" t="s">
        <v>2042</v>
      </c>
      <c r="F1775" s="239"/>
      <c r="G1775" s="265"/>
      <c r="H1775" s="239"/>
      <c r="I1775" s="308"/>
      <c r="J1775" s="245"/>
      <c r="L1775" s="252"/>
    </row>
    <row r="1776" spans="1:99">
      <c r="A1776" s="239"/>
      <c r="B1776" s="239"/>
      <c r="C1776" s="264"/>
      <c r="D1776" s="283" t="s">
        <v>2034</v>
      </c>
      <c r="E1776" s="264" t="s">
        <v>2043</v>
      </c>
      <c r="F1776" s="239"/>
      <c r="G1776" s="265"/>
      <c r="H1776" s="239"/>
      <c r="I1776" s="308"/>
      <c r="J1776" s="245"/>
      <c r="L1776" s="252"/>
    </row>
    <row r="1777" spans="1:12">
      <c r="A1777" s="239"/>
      <c r="B1777" s="285"/>
      <c r="C1777" s="284"/>
      <c r="D1777" s="287" t="s">
        <v>2027</v>
      </c>
      <c r="E1777" s="284" t="s">
        <v>2037</v>
      </c>
      <c r="F1777" s="285"/>
      <c r="G1777" s="286"/>
      <c r="H1777" s="285"/>
      <c r="I1777" s="308"/>
      <c r="J1777" s="245"/>
      <c r="L1777" s="252"/>
    </row>
    <row r="1778" spans="1:12">
      <c r="A1778" s="239"/>
      <c r="B1778" s="285"/>
      <c r="C1778" s="284"/>
      <c r="D1778" s="284" t="s">
        <v>2020</v>
      </c>
      <c r="E1778" s="284" t="s">
        <v>347</v>
      </c>
      <c r="F1778" s="285">
        <v>1</v>
      </c>
      <c r="G1778" s="286"/>
      <c r="H1778" s="285"/>
      <c r="I1778" s="308"/>
      <c r="J1778" s="245"/>
      <c r="L1778" s="252"/>
    </row>
    <row r="1779" spans="1:12">
      <c r="A1779" s="239"/>
      <c r="B1779" s="239"/>
      <c r="C1779" s="264"/>
      <c r="D1779" s="264" t="s">
        <v>2021</v>
      </c>
      <c r="E1779" s="264" t="s">
        <v>2022</v>
      </c>
      <c r="F1779" s="239">
        <v>2</v>
      </c>
      <c r="G1779" s="265"/>
      <c r="H1779" s="239"/>
      <c r="I1779" s="308"/>
      <c r="J1779" s="245"/>
      <c r="L1779" s="252"/>
    </row>
    <row r="1780" spans="1:12">
      <c r="A1780" s="239">
        <v>72439</v>
      </c>
      <c r="B1780" s="280" t="s">
        <v>344</v>
      </c>
      <c r="C1780" s="281" t="s">
        <v>20</v>
      </c>
      <c r="D1780" s="281" t="s">
        <v>348</v>
      </c>
      <c r="E1780" s="281" t="s">
        <v>347</v>
      </c>
      <c r="F1780" s="280">
        <v>3</v>
      </c>
      <c r="G1780" s="282">
        <v>46311</v>
      </c>
      <c r="H1780" s="280"/>
      <c r="I1780" s="308"/>
      <c r="J1780" s="245"/>
      <c r="L1780" s="251"/>
    </row>
    <row r="1781" spans="1:12">
      <c r="A1781" s="239"/>
      <c r="B1781" s="239"/>
      <c r="C1781" s="264"/>
      <c r="D1781" s="264" t="s">
        <v>2147</v>
      </c>
      <c r="E1781" s="264"/>
      <c r="F1781" s="239"/>
      <c r="G1781" s="265"/>
      <c r="H1781" s="239"/>
      <c r="I1781" s="308"/>
      <c r="J1781" s="245"/>
      <c r="L1781" s="251"/>
    </row>
    <row r="1782" spans="1:12">
      <c r="A1782" s="239"/>
      <c r="B1782" s="239"/>
      <c r="C1782" s="264"/>
      <c r="D1782" s="264" t="s">
        <v>2148</v>
      </c>
      <c r="E1782" s="264"/>
      <c r="F1782" s="239"/>
      <c r="G1782" s="265"/>
      <c r="H1782" s="239"/>
      <c r="I1782" s="308"/>
      <c r="J1782" s="245"/>
      <c r="L1782" s="251"/>
    </row>
    <row r="1783" spans="1:12">
      <c r="A1783" s="239"/>
      <c r="B1783" s="239"/>
      <c r="C1783" s="264"/>
      <c r="D1783" s="264"/>
      <c r="E1783" s="264"/>
      <c r="F1783" s="239"/>
      <c r="G1783" s="265"/>
      <c r="H1783" s="239"/>
      <c r="I1783" s="308"/>
      <c r="J1783" s="245"/>
      <c r="L1783" s="251"/>
    </row>
    <row r="1784" spans="1:12">
      <c r="A1784" s="239">
        <v>72440</v>
      </c>
      <c r="B1784" s="280" t="s">
        <v>344</v>
      </c>
      <c r="C1784" s="281" t="s">
        <v>20</v>
      </c>
      <c r="D1784" s="281" t="s">
        <v>350</v>
      </c>
      <c r="E1784" s="281" t="s">
        <v>349</v>
      </c>
      <c r="F1784" s="280">
        <v>4</v>
      </c>
      <c r="G1784" s="282">
        <v>46311</v>
      </c>
      <c r="H1784" s="280"/>
      <c r="I1784" s="308"/>
      <c r="J1784" s="245"/>
      <c r="L1784" s="251"/>
    </row>
    <row r="1785" spans="1:12">
      <c r="A1785" s="239"/>
      <c r="B1785" s="239"/>
      <c r="C1785" s="264"/>
      <c r="D1785" s="264"/>
      <c r="E1785" s="264"/>
      <c r="F1785" s="239"/>
      <c r="G1785" s="265"/>
      <c r="H1785" s="239"/>
      <c r="I1785" s="308"/>
      <c r="J1785" s="245"/>
      <c r="L1785" s="251"/>
    </row>
    <row r="1786" spans="1:12">
      <c r="A1786" s="239"/>
      <c r="B1786" s="239"/>
      <c r="C1786" s="264"/>
      <c r="D1786" s="264"/>
      <c r="E1786" s="264"/>
      <c r="F1786" s="239"/>
      <c r="G1786" s="265"/>
      <c r="H1786" s="239"/>
      <c r="I1786" s="308"/>
      <c r="J1786" s="245"/>
      <c r="L1786" s="251"/>
    </row>
    <row r="1787" spans="1:12">
      <c r="A1787" s="239"/>
      <c r="B1787" s="239"/>
      <c r="C1787" s="264"/>
      <c r="D1787" s="264"/>
      <c r="E1787" s="264"/>
      <c r="F1787" s="239"/>
      <c r="G1787" s="265"/>
      <c r="H1787" s="239"/>
      <c r="I1787" s="308"/>
      <c r="J1787" s="245"/>
      <c r="L1787" s="251"/>
    </row>
    <row r="1788" spans="1:12">
      <c r="A1788" s="239"/>
      <c r="B1788" s="239"/>
      <c r="C1788" s="264"/>
      <c r="D1788" s="264"/>
      <c r="E1788" s="264"/>
      <c r="F1788" s="239"/>
      <c r="G1788" s="265"/>
      <c r="H1788" s="239"/>
      <c r="I1788" s="308"/>
      <c r="J1788" s="245"/>
      <c r="L1788" s="251"/>
    </row>
    <row r="1789" spans="1:12">
      <c r="A1789" s="239"/>
      <c r="B1789" s="239"/>
      <c r="C1789" s="264"/>
      <c r="D1789" s="264"/>
      <c r="E1789" s="264"/>
      <c r="F1789" s="239"/>
      <c r="G1789" s="265"/>
      <c r="H1789" s="239"/>
      <c r="I1789" s="308"/>
      <c r="J1789" s="245"/>
      <c r="L1789" s="251"/>
    </row>
    <row r="1790" spans="1:12">
      <c r="A1790" s="239"/>
      <c r="B1790" s="239"/>
      <c r="C1790" s="264"/>
      <c r="D1790" s="264"/>
      <c r="E1790" s="264"/>
      <c r="F1790" s="239"/>
      <c r="G1790" s="265"/>
      <c r="H1790" s="239"/>
      <c r="I1790" s="308"/>
      <c r="J1790" s="245"/>
      <c r="L1790" s="251"/>
    </row>
    <row r="1791" spans="1:12">
      <c r="A1791" s="239"/>
      <c r="B1791" s="239"/>
      <c r="C1791" s="264"/>
      <c r="D1791" s="264"/>
      <c r="E1791" s="264"/>
      <c r="F1791" s="239"/>
      <c r="G1791" s="265"/>
      <c r="H1791" s="239"/>
      <c r="I1791" s="308"/>
      <c r="J1791" s="245"/>
      <c r="L1791" s="251"/>
    </row>
    <row r="1792" spans="1:12">
      <c r="A1792" s="239">
        <v>72441</v>
      </c>
      <c r="B1792" s="239" t="s">
        <v>344</v>
      </c>
      <c r="C1792" s="264" t="s">
        <v>20</v>
      </c>
      <c r="D1792" s="264" t="s">
        <v>352</v>
      </c>
      <c r="E1792" s="264" t="s">
        <v>351</v>
      </c>
      <c r="F1792" s="239">
        <v>6</v>
      </c>
      <c r="G1792" s="265">
        <v>46311</v>
      </c>
      <c r="H1792" s="239"/>
      <c r="I1792" s="308"/>
      <c r="J1792" s="245"/>
      <c r="L1792" s="252"/>
    </row>
    <row r="1793" spans="1:55">
      <c r="A1793" s="239"/>
      <c r="B1793" s="239"/>
      <c r="C1793" s="264"/>
      <c r="D1793" s="264"/>
      <c r="E1793" s="264"/>
      <c r="F1793" s="239"/>
      <c r="G1793" s="265"/>
      <c r="H1793" s="239"/>
      <c r="I1793" s="308"/>
      <c r="J1793" s="245"/>
      <c r="L1793" s="252"/>
    </row>
    <row r="1794" spans="1:55">
      <c r="A1794" s="239">
        <v>72443</v>
      </c>
      <c r="B1794" s="261" t="s">
        <v>353</v>
      </c>
      <c r="C1794" s="262" t="s">
        <v>20</v>
      </c>
      <c r="D1794" s="262" t="s">
        <v>355</v>
      </c>
      <c r="E1794" s="262" t="s">
        <v>354</v>
      </c>
      <c r="F1794" s="261">
        <v>1</v>
      </c>
      <c r="G1794" s="263">
        <v>45896</v>
      </c>
      <c r="H1794" s="261"/>
      <c r="I1794" s="308" t="s">
        <v>2151</v>
      </c>
      <c r="J1794" s="245"/>
      <c r="L1794" s="252"/>
    </row>
    <row r="1795" spans="1:55">
      <c r="A1795" s="239"/>
      <c r="B1795" s="239"/>
      <c r="C1795" s="264"/>
      <c r="D1795" s="264"/>
      <c r="E1795" s="264"/>
      <c r="F1795" s="239"/>
      <c r="G1795" s="265"/>
      <c r="H1795" s="239"/>
      <c r="I1795" s="308"/>
      <c r="J1795" s="245"/>
      <c r="L1795" s="252"/>
    </row>
    <row r="1796" spans="1:55">
      <c r="A1796" s="239">
        <v>72444</v>
      </c>
      <c r="B1796" s="261" t="s">
        <v>356</v>
      </c>
      <c r="C1796" s="262" t="s">
        <v>20</v>
      </c>
      <c r="D1796" s="262" t="s">
        <v>358</v>
      </c>
      <c r="E1796" s="262" t="s">
        <v>357</v>
      </c>
      <c r="F1796" s="261">
        <v>8</v>
      </c>
      <c r="G1796" s="263">
        <v>45896</v>
      </c>
      <c r="H1796" s="261"/>
      <c r="I1796" s="308" t="s">
        <v>2151</v>
      </c>
      <c r="J1796" s="245"/>
      <c r="L1796" s="252"/>
    </row>
    <row r="1797" spans="1:55">
      <c r="A1797" s="239">
        <v>72445</v>
      </c>
      <c r="B1797" s="261" t="s">
        <v>356</v>
      </c>
      <c r="C1797" s="262" t="s">
        <v>20</v>
      </c>
      <c r="D1797" s="262" t="s">
        <v>360</v>
      </c>
      <c r="E1797" s="262" t="s">
        <v>359</v>
      </c>
      <c r="F1797" s="261">
        <v>4</v>
      </c>
      <c r="G1797" s="263">
        <v>45896</v>
      </c>
      <c r="H1797" s="261"/>
      <c r="I1797" s="308" t="s">
        <v>2151</v>
      </c>
      <c r="J1797" s="245"/>
      <c r="L1797" s="252"/>
    </row>
    <row r="1798" spans="1:55">
      <c r="A1798" s="239">
        <v>72446</v>
      </c>
      <c r="B1798" s="261" t="s">
        <v>356</v>
      </c>
      <c r="C1798" s="262" t="s">
        <v>20</v>
      </c>
      <c r="D1798" s="262" t="s">
        <v>362</v>
      </c>
      <c r="E1798" s="262" t="s">
        <v>361</v>
      </c>
      <c r="F1798" s="261">
        <v>4</v>
      </c>
      <c r="G1798" s="263">
        <v>45896</v>
      </c>
      <c r="H1798" s="261"/>
      <c r="I1798" s="308" t="s">
        <v>2151</v>
      </c>
      <c r="J1798" s="245"/>
      <c r="L1798" s="252"/>
    </row>
    <row r="1799" spans="1:55">
      <c r="A1799" s="239"/>
      <c r="B1799" s="239"/>
      <c r="C1799" s="264"/>
      <c r="D1799" s="264"/>
      <c r="E1799" s="264"/>
      <c r="F1799" s="239"/>
      <c r="G1799" s="265"/>
      <c r="H1799" s="239"/>
      <c r="I1799" s="308"/>
      <c r="J1799" s="245"/>
      <c r="L1799" s="252"/>
    </row>
    <row r="1800" spans="1:55">
      <c r="A1800" s="239">
        <v>72451</v>
      </c>
      <c r="B1800" s="280" t="s">
        <v>363</v>
      </c>
      <c r="C1800" s="281" t="s">
        <v>20</v>
      </c>
      <c r="D1800" s="281" t="s">
        <v>365</v>
      </c>
      <c r="E1800" s="281" t="s">
        <v>364</v>
      </c>
      <c r="F1800" s="280">
        <v>1</v>
      </c>
      <c r="G1800" s="282">
        <v>45896</v>
      </c>
      <c r="H1800" s="280"/>
      <c r="I1800" s="308" t="s">
        <v>2151</v>
      </c>
      <c r="J1800" s="245"/>
      <c r="L1800" s="252"/>
      <c r="AI1800" s="243" t="s">
        <v>2187</v>
      </c>
      <c r="AJ1800" s="243" t="s">
        <v>2338</v>
      </c>
      <c r="AK1800" s="243" t="s">
        <v>2386</v>
      </c>
      <c r="AL1800" s="243" t="s">
        <v>2386</v>
      </c>
      <c r="AM1800" s="243" t="s">
        <v>2389</v>
      </c>
      <c r="AN1800" s="243" t="s">
        <v>2225</v>
      </c>
      <c r="AO1800" s="243" t="s">
        <v>2203</v>
      </c>
      <c r="AP1800" s="243" t="s">
        <v>2183</v>
      </c>
      <c r="AQ1800" s="243" t="s">
        <v>2183</v>
      </c>
      <c r="AR1800" s="243" t="s">
        <v>2389</v>
      </c>
      <c r="AS1800" s="243" t="s">
        <v>2225</v>
      </c>
      <c r="AT1800" s="243" t="s">
        <v>2417</v>
      </c>
      <c r="AU1800" s="243" t="s">
        <v>2417</v>
      </c>
      <c r="AV1800" s="243" t="s">
        <v>2389</v>
      </c>
      <c r="AW1800" s="243" t="s">
        <v>2225</v>
      </c>
      <c r="AX1800" s="243" t="s">
        <v>2436</v>
      </c>
      <c r="AY1800" s="243" t="s">
        <v>2437</v>
      </c>
      <c r="AZ1800" s="243" t="s">
        <v>2427</v>
      </c>
      <c r="BA1800" s="243" t="s">
        <v>2427</v>
      </c>
      <c r="BB1800" s="243" t="s">
        <v>2426</v>
      </c>
      <c r="BC1800" s="243" t="s">
        <v>2426</v>
      </c>
    </row>
    <row r="1801" spans="1:55">
      <c r="A1801" s="239"/>
      <c r="B1801" s="261"/>
      <c r="C1801" s="262"/>
      <c r="D1801" s="262" t="s">
        <v>565</v>
      </c>
      <c r="E1801" s="262" t="s">
        <v>564</v>
      </c>
      <c r="F1801" s="261">
        <v>1</v>
      </c>
      <c r="G1801" s="263"/>
      <c r="H1801" s="261"/>
      <c r="I1801" s="308" t="s">
        <v>672</v>
      </c>
      <c r="J1801" s="245"/>
      <c r="L1801" s="252"/>
      <c r="U1801" s="243" t="s">
        <v>2384</v>
      </c>
      <c r="AN1801" s="243" t="s">
        <v>2389</v>
      </c>
      <c r="AO1801" s="243" t="s">
        <v>2389</v>
      </c>
      <c r="AP1801" s="243" t="s">
        <v>2225</v>
      </c>
    </row>
    <row r="1802" spans="1:55">
      <c r="A1802" s="239"/>
      <c r="B1802" s="261"/>
      <c r="C1802" s="262"/>
      <c r="D1802" s="262" t="s">
        <v>567</v>
      </c>
      <c r="E1802" s="262" t="s">
        <v>566</v>
      </c>
      <c r="F1802" s="261" t="s">
        <v>568</v>
      </c>
      <c r="G1802" s="263"/>
      <c r="H1802" s="261"/>
      <c r="I1802" s="308" t="s">
        <v>672</v>
      </c>
      <c r="J1802" s="245"/>
      <c r="L1802" s="252"/>
      <c r="U1802" s="243" t="s">
        <v>2384</v>
      </c>
      <c r="AN1802" s="243" t="s">
        <v>2386</v>
      </c>
      <c r="AO1802" s="243" t="s">
        <v>2386</v>
      </c>
      <c r="AP1802" s="243" t="s">
        <v>2435</v>
      </c>
      <c r="AQ1802" s="243" t="s">
        <v>2435</v>
      </c>
      <c r="AR1802" s="243" t="s">
        <v>2389</v>
      </c>
      <c r="AS1802" s="243" t="s">
        <v>2225</v>
      </c>
    </row>
    <row r="1803" spans="1:55">
      <c r="A1803" s="239"/>
      <c r="B1803" s="261"/>
      <c r="C1803" s="262"/>
      <c r="D1803" s="262" t="s">
        <v>570</v>
      </c>
      <c r="E1803" s="262" t="s">
        <v>569</v>
      </c>
      <c r="F1803" s="261" t="s">
        <v>568</v>
      </c>
      <c r="G1803" s="263"/>
      <c r="H1803" s="261"/>
      <c r="I1803" s="308" t="s">
        <v>672</v>
      </c>
      <c r="J1803" s="245"/>
      <c r="L1803" s="252"/>
      <c r="U1803" s="243" t="s">
        <v>2384</v>
      </c>
      <c r="AN1803" s="243" t="s">
        <v>2389</v>
      </c>
      <c r="AO1803" s="243" t="s">
        <v>2389</v>
      </c>
      <c r="AP1803" s="243" t="s">
        <v>2225</v>
      </c>
    </row>
    <row r="1804" spans="1:55">
      <c r="A1804" s="239"/>
      <c r="B1804" s="239"/>
      <c r="C1804" s="264"/>
      <c r="D1804" s="264"/>
      <c r="E1804" s="264"/>
      <c r="F1804" s="239"/>
      <c r="G1804" s="265"/>
      <c r="H1804" s="239"/>
      <c r="I1804" s="308"/>
      <c r="J1804" s="245"/>
      <c r="L1804" s="252"/>
    </row>
    <row r="1805" spans="1:55">
      <c r="A1805" s="239">
        <v>72452</v>
      </c>
      <c r="B1805" s="261" t="s">
        <v>363</v>
      </c>
      <c r="C1805" s="262" t="s">
        <v>20</v>
      </c>
      <c r="D1805" s="262" t="s">
        <v>367</v>
      </c>
      <c r="E1805" s="262" t="s">
        <v>366</v>
      </c>
      <c r="F1805" s="261">
        <v>2</v>
      </c>
      <c r="G1805" s="263">
        <v>45898</v>
      </c>
      <c r="H1805" s="261"/>
      <c r="I1805" s="308" t="s">
        <v>2151</v>
      </c>
      <c r="J1805" s="245"/>
      <c r="L1805" s="252"/>
      <c r="Q1805" s="243" t="s">
        <v>2331</v>
      </c>
    </row>
    <row r="1806" spans="1:55">
      <c r="A1806" s="239"/>
      <c r="B1806" s="239"/>
      <c r="C1806" s="264"/>
      <c r="D1806" s="264"/>
      <c r="E1806" s="264"/>
      <c r="F1806" s="239"/>
      <c r="G1806" s="265"/>
      <c r="H1806" s="239"/>
      <c r="I1806" s="308"/>
      <c r="J1806" s="245"/>
      <c r="L1806" s="252"/>
    </row>
    <row r="1807" spans="1:55">
      <c r="A1807" s="239">
        <v>72453</v>
      </c>
      <c r="B1807" s="261">
        <v>4590038422</v>
      </c>
      <c r="C1807" s="262" t="s">
        <v>338</v>
      </c>
      <c r="D1807" s="262" t="s">
        <v>369</v>
      </c>
      <c r="E1807" s="262" t="s">
        <v>368</v>
      </c>
      <c r="F1807" s="261">
        <v>3</v>
      </c>
      <c r="G1807" s="263">
        <v>45842</v>
      </c>
      <c r="H1807" s="261"/>
      <c r="I1807" s="308" t="s">
        <v>2151</v>
      </c>
      <c r="J1807" s="245"/>
      <c r="L1807" s="252"/>
    </row>
    <row r="1808" spans="1:55">
      <c r="A1808" s="239">
        <v>72454</v>
      </c>
      <c r="B1808" s="261">
        <v>4590038422</v>
      </c>
      <c r="C1808" s="262" t="s">
        <v>338</v>
      </c>
      <c r="D1808" s="262" t="s">
        <v>371</v>
      </c>
      <c r="E1808" s="262" t="s">
        <v>370</v>
      </c>
      <c r="F1808" s="261">
        <v>1</v>
      </c>
      <c r="G1808" s="263">
        <v>45842</v>
      </c>
      <c r="H1808" s="261"/>
      <c r="I1808" s="308" t="s">
        <v>2151</v>
      </c>
      <c r="J1808" s="245"/>
      <c r="L1808" s="252"/>
    </row>
    <row r="1809" spans="1:111">
      <c r="A1809" s="239"/>
      <c r="B1809" s="239"/>
      <c r="C1809" s="264"/>
      <c r="D1809" s="264"/>
      <c r="E1809" s="264"/>
      <c r="F1809" s="239"/>
      <c r="G1809" s="265"/>
      <c r="H1809" s="239"/>
      <c r="I1809" s="308"/>
      <c r="J1809" s="245"/>
      <c r="L1809" s="252"/>
    </row>
    <row r="1810" spans="1:111" ht="38.25" customHeight="1">
      <c r="A1810" s="239">
        <v>72455</v>
      </c>
      <c r="B1810" s="261" t="s">
        <v>372</v>
      </c>
      <c r="C1810" s="262" t="s">
        <v>164</v>
      </c>
      <c r="D1810" s="262" t="s">
        <v>373</v>
      </c>
      <c r="E1810" s="314">
        <v>700540049</v>
      </c>
      <c r="F1810" s="261" t="s">
        <v>374</v>
      </c>
      <c r="G1810" s="263">
        <v>45863</v>
      </c>
      <c r="H1810" s="261"/>
      <c r="I1810" s="315" t="s">
        <v>2151</v>
      </c>
      <c r="J1810" s="245"/>
      <c r="L1810" s="252"/>
      <c r="AH1810" s="246" t="s">
        <v>2176</v>
      </c>
    </row>
    <row r="1811" spans="1:111">
      <c r="A1811" s="239">
        <v>72456</v>
      </c>
      <c r="B1811" s="239" t="s">
        <v>372</v>
      </c>
      <c r="C1811" s="264" t="s">
        <v>164</v>
      </c>
      <c r="D1811" s="264" t="s">
        <v>375</v>
      </c>
      <c r="E1811" s="264">
        <v>700573391</v>
      </c>
      <c r="F1811" s="239">
        <v>2</v>
      </c>
      <c r="G1811" s="265">
        <v>45875</v>
      </c>
      <c r="H1811" s="239" t="s">
        <v>2536</v>
      </c>
      <c r="I1811" s="308" t="s">
        <v>2340</v>
      </c>
      <c r="J1811" s="245"/>
      <c r="L1811" s="252"/>
      <c r="AG1811" s="243" t="s">
        <v>2183</v>
      </c>
      <c r="AK1811" s="243" t="s">
        <v>2196</v>
      </c>
      <c r="AM1811" s="243" t="s">
        <v>2340</v>
      </c>
      <c r="AS1811" s="243" t="s">
        <v>2598</v>
      </c>
      <c r="AT1811" s="243" t="s">
        <v>2598</v>
      </c>
      <c r="AU1811" s="243" t="s">
        <v>2398</v>
      </c>
      <c r="AV1811" s="243" t="s">
        <v>2517</v>
      </c>
      <c r="AW1811" s="243" t="s">
        <v>2517</v>
      </c>
      <c r="AX1811" s="243" t="s">
        <v>2517</v>
      </c>
      <c r="AY1811" s="243" t="s">
        <v>2517</v>
      </c>
      <c r="AZ1811" s="243" t="s">
        <v>2426</v>
      </c>
      <c r="BA1811" s="243" t="s">
        <v>2426</v>
      </c>
      <c r="BB1811" s="243" t="s">
        <v>2208</v>
      </c>
    </row>
    <row r="1812" spans="1:111">
      <c r="A1812" s="239"/>
      <c r="B1812" s="239"/>
      <c r="C1812" s="264"/>
      <c r="D1812" s="264"/>
      <c r="E1812" s="264"/>
      <c r="F1812" s="239"/>
      <c r="G1812" s="265"/>
      <c r="H1812" s="239"/>
      <c r="I1812" s="308"/>
      <c r="J1812" s="245"/>
      <c r="L1812" s="252"/>
    </row>
    <row r="1813" spans="1:111">
      <c r="A1813" s="239">
        <v>72458</v>
      </c>
      <c r="B1813" s="261" t="s">
        <v>376</v>
      </c>
      <c r="C1813" s="262" t="s">
        <v>378</v>
      </c>
      <c r="D1813" s="262" t="s">
        <v>377</v>
      </c>
      <c r="E1813" s="262">
        <v>700615075</v>
      </c>
      <c r="F1813" s="261">
        <v>1</v>
      </c>
      <c r="G1813" s="335">
        <v>45875</v>
      </c>
      <c r="H1813" s="302"/>
      <c r="I1813" s="308" t="s">
        <v>2208</v>
      </c>
      <c r="J1813" s="245"/>
      <c r="L1813" s="252"/>
      <c r="AB1813" s="243" t="s">
        <v>2246</v>
      </c>
    </row>
    <row r="1814" spans="1:111">
      <c r="A1814" s="239"/>
      <c r="B1814" s="239"/>
      <c r="C1814" s="264"/>
      <c r="D1814" s="264"/>
      <c r="E1814" s="264"/>
      <c r="F1814" s="239"/>
      <c r="G1814" s="265"/>
      <c r="H1814" s="239"/>
      <c r="I1814" s="308"/>
      <c r="J1814" s="245"/>
      <c r="L1814" s="251"/>
    </row>
    <row r="1815" spans="1:111">
      <c r="A1815" s="239" t="s">
        <v>381</v>
      </c>
      <c r="B1815" s="280" t="s">
        <v>275</v>
      </c>
      <c r="C1815" s="281" t="s">
        <v>20</v>
      </c>
      <c r="D1815" s="281" t="s">
        <v>380</v>
      </c>
      <c r="E1815" s="281" t="s">
        <v>379</v>
      </c>
      <c r="F1815" s="280">
        <v>2</v>
      </c>
      <c r="G1815" s="282">
        <v>45896</v>
      </c>
      <c r="H1815" s="280" t="s">
        <v>2643</v>
      </c>
      <c r="I1815" s="308" t="s">
        <v>2225</v>
      </c>
      <c r="J1815" s="245" t="s">
        <v>2196</v>
      </c>
      <c r="L1815" s="251"/>
      <c r="CX1815" s="243" t="s">
        <v>2225</v>
      </c>
      <c r="CY1815" s="243" t="s">
        <v>2225</v>
      </c>
      <c r="CZ1815" s="243" t="s">
        <v>2225</v>
      </c>
      <c r="DA1815" s="243" t="s">
        <v>2225</v>
      </c>
      <c r="DB1815" s="243" t="s">
        <v>2225</v>
      </c>
      <c r="DC1815" s="243" t="s">
        <v>3090</v>
      </c>
      <c r="DD1815" s="243" t="s">
        <v>3090</v>
      </c>
      <c r="DE1815" s="243" t="s">
        <v>3090</v>
      </c>
      <c r="DF1815" s="243" t="s">
        <v>3090</v>
      </c>
      <c r="DG1815" s="243" t="s">
        <v>3090</v>
      </c>
    </row>
    <row r="1816" spans="1:111">
      <c r="A1816" s="239"/>
      <c r="B1816" s="261"/>
      <c r="C1816" s="262"/>
      <c r="D1816" s="262" t="s">
        <v>1176</v>
      </c>
      <c r="E1816" s="262" t="s">
        <v>2156</v>
      </c>
      <c r="F1816" s="261">
        <v>1</v>
      </c>
      <c r="G1816" s="263"/>
      <c r="H1816" s="261"/>
      <c r="I1816" s="308" t="s">
        <v>2151</v>
      </c>
      <c r="J1816" s="245"/>
      <c r="L1816" s="251"/>
      <c r="W1816" s="243" t="s">
        <v>2360</v>
      </c>
    </row>
    <row r="1817" spans="1:111">
      <c r="A1817" s="239"/>
      <c r="B1817" s="261"/>
      <c r="C1817" s="262"/>
      <c r="D1817" s="262" t="s">
        <v>2152</v>
      </c>
      <c r="E1817" s="262" t="s">
        <v>2156</v>
      </c>
      <c r="F1817" s="261">
        <v>1</v>
      </c>
      <c r="G1817" s="263"/>
      <c r="H1817" s="261"/>
      <c r="I1817" s="308" t="s">
        <v>2151</v>
      </c>
      <c r="J1817" s="245"/>
      <c r="L1817" s="251"/>
      <c r="AD1817" s="243" t="s">
        <v>2360</v>
      </c>
    </row>
    <row r="1818" spans="1:111">
      <c r="A1818" s="239"/>
      <c r="B1818" s="261"/>
      <c r="C1818" s="262"/>
      <c r="D1818" s="262" t="s">
        <v>2153</v>
      </c>
      <c r="E1818" s="262" t="s">
        <v>2156</v>
      </c>
      <c r="F1818" s="261">
        <v>1</v>
      </c>
      <c r="G1818" s="263"/>
      <c r="H1818" s="261"/>
      <c r="I1818" s="308" t="s">
        <v>2151</v>
      </c>
      <c r="J1818" s="245"/>
      <c r="L1818" s="251"/>
      <c r="AD1818" s="243" t="s">
        <v>2360</v>
      </c>
    </row>
    <row r="1819" spans="1:111">
      <c r="A1819" s="239"/>
      <c r="B1819" s="261"/>
      <c r="C1819" s="262"/>
      <c r="D1819" s="262" t="s">
        <v>2154</v>
      </c>
      <c r="E1819" s="262" t="s">
        <v>2157</v>
      </c>
      <c r="F1819" s="261">
        <v>1</v>
      </c>
      <c r="G1819" s="263"/>
      <c r="H1819" s="261"/>
      <c r="I1819" s="308" t="s">
        <v>2151</v>
      </c>
      <c r="J1819" s="245"/>
      <c r="L1819" s="251"/>
      <c r="Y1819" s="243" t="s">
        <v>2360</v>
      </c>
    </row>
    <row r="1820" spans="1:111">
      <c r="A1820" s="239"/>
      <c r="B1820" s="261"/>
      <c r="C1820" s="262"/>
      <c r="D1820" s="262" t="s">
        <v>2045</v>
      </c>
      <c r="E1820" s="262" t="s">
        <v>2157</v>
      </c>
      <c r="F1820" s="261">
        <v>2</v>
      </c>
      <c r="G1820" s="263"/>
      <c r="H1820" s="261"/>
      <c r="I1820" s="308" t="s">
        <v>2151</v>
      </c>
      <c r="J1820" s="245"/>
      <c r="L1820" s="251"/>
    </row>
    <row r="1821" spans="1:111">
      <c r="A1821" s="239"/>
      <c r="B1821" s="261"/>
      <c r="C1821" s="262"/>
      <c r="D1821" s="262" t="s">
        <v>2155</v>
      </c>
      <c r="E1821" s="262" t="s">
        <v>2157</v>
      </c>
      <c r="F1821" s="261">
        <v>6</v>
      </c>
      <c r="G1821" s="263"/>
      <c r="H1821" s="261"/>
      <c r="I1821" s="308" t="s">
        <v>2248</v>
      </c>
      <c r="J1821" s="245"/>
      <c r="L1821" s="251"/>
      <c r="V1821" s="243" t="s">
        <v>2248</v>
      </c>
    </row>
    <row r="1822" spans="1:111">
      <c r="A1822" s="239" t="s">
        <v>384</v>
      </c>
      <c r="B1822" s="280" t="s">
        <v>275</v>
      </c>
      <c r="C1822" s="281" t="s">
        <v>20</v>
      </c>
      <c r="D1822" s="281" t="s">
        <v>383</v>
      </c>
      <c r="E1822" s="281" t="s">
        <v>382</v>
      </c>
      <c r="F1822" s="280">
        <v>2</v>
      </c>
      <c r="G1822" s="282">
        <v>45896</v>
      </c>
      <c r="H1822" s="280" t="s">
        <v>2643</v>
      </c>
      <c r="I1822" s="308" t="s">
        <v>2343</v>
      </c>
      <c r="J1822" s="245"/>
      <c r="L1822" s="251"/>
      <c r="CX1822" s="243" t="s">
        <v>2343</v>
      </c>
      <c r="CY1822" s="243" t="s">
        <v>2225</v>
      </c>
      <c r="CZ1822" s="243" t="s">
        <v>2225</v>
      </c>
      <c r="DA1822" s="243" t="s">
        <v>2225</v>
      </c>
      <c r="DB1822" s="243" t="s">
        <v>2225</v>
      </c>
      <c r="DC1822" s="243" t="s">
        <v>3090</v>
      </c>
      <c r="DD1822" s="243" t="s">
        <v>3090</v>
      </c>
      <c r="DE1822" s="243" t="s">
        <v>3090</v>
      </c>
      <c r="DF1822" s="243" t="s">
        <v>3090</v>
      </c>
      <c r="DG1822" s="243" t="s">
        <v>3090</v>
      </c>
    </row>
    <row r="1823" spans="1:111">
      <c r="A1823" s="239"/>
      <c r="B1823" s="261"/>
      <c r="C1823" s="262"/>
      <c r="D1823" s="262" t="s">
        <v>552</v>
      </c>
      <c r="E1823" s="262" t="s">
        <v>553</v>
      </c>
      <c r="F1823" s="261" t="s">
        <v>1866</v>
      </c>
      <c r="G1823" s="263"/>
      <c r="H1823" s="261"/>
      <c r="I1823" s="308" t="s">
        <v>2151</v>
      </c>
      <c r="J1823" s="245"/>
      <c r="L1823" s="252"/>
    </row>
    <row r="1824" spans="1:111">
      <c r="A1824" s="239"/>
      <c r="B1824" s="261"/>
      <c r="C1824" s="262"/>
      <c r="D1824" s="262" t="s">
        <v>2285</v>
      </c>
      <c r="E1824" s="262" t="s">
        <v>2286</v>
      </c>
      <c r="F1824" s="261">
        <v>4</v>
      </c>
      <c r="G1824" s="263"/>
      <c r="H1824" s="261"/>
      <c r="I1824" s="308" t="s">
        <v>2151</v>
      </c>
      <c r="J1824" s="245"/>
      <c r="L1824" s="252"/>
    </row>
    <row r="1825" spans="1:65">
      <c r="A1825" s="239"/>
      <c r="B1825" s="261"/>
      <c r="C1825" s="262"/>
      <c r="D1825" s="262" t="s">
        <v>2352</v>
      </c>
      <c r="E1825" s="262" t="s">
        <v>2353</v>
      </c>
      <c r="F1825" s="261">
        <v>4</v>
      </c>
      <c r="G1825" s="263"/>
      <c r="H1825" s="261"/>
      <c r="I1825" s="308" t="s">
        <v>2151</v>
      </c>
      <c r="J1825" s="245"/>
      <c r="L1825" s="252"/>
      <c r="AC1825" s="243" t="s">
        <v>2244</v>
      </c>
    </row>
    <row r="1826" spans="1:65">
      <c r="A1826" s="239"/>
      <c r="B1826" s="261"/>
      <c r="C1826" s="262"/>
      <c r="D1826" s="262" t="s">
        <v>2197</v>
      </c>
      <c r="E1826" s="262" t="s">
        <v>2198</v>
      </c>
      <c r="F1826" s="261">
        <v>2</v>
      </c>
      <c r="G1826" s="263"/>
      <c r="H1826" s="261"/>
      <c r="I1826" s="308" t="s">
        <v>2151</v>
      </c>
      <c r="J1826" s="245"/>
      <c r="L1826" s="252"/>
      <c r="BF1826" s="243" t="s">
        <v>2558</v>
      </c>
      <c r="BG1826" s="243" t="s">
        <v>2389</v>
      </c>
      <c r="BH1826" s="243" t="s">
        <v>2225</v>
      </c>
      <c r="BI1826" s="243" t="s">
        <v>2820</v>
      </c>
      <c r="BJ1826" s="243" t="s">
        <v>2820</v>
      </c>
      <c r="BK1826" s="243" t="s">
        <v>2389</v>
      </c>
      <c r="BL1826" s="243" t="s">
        <v>2427</v>
      </c>
      <c r="BM1826" s="243" t="s">
        <v>2427</v>
      </c>
    </row>
    <row r="1827" spans="1:65">
      <c r="A1827" s="239"/>
      <c r="B1827" s="261"/>
      <c r="C1827" s="262"/>
      <c r="D1827" s="262" t="s">
        <v>2197</v>
      </c>
      <c r="E1827" s="262" t="s">
        <v>2238</v>
      </c>
      <c r="F1827" s="261">
        <v>2</v>
      </c>
      <c r="G1827" s="263"/>
      <c r="H1827" s="261"/>
      <c r="I1827" s="308" t="s">
        <v>2151</v>
      </c>
      <c r="J1827" s="245"/>
      <c r="L1827" s="252"/>
    </row>
    <row r="1828" spans="1:65">
      <c r="A1828" s="239"/>
      <c r="B1828" s="261"/>
      <c r="C1828" s="262"/>
      <c r="D1828" s="262" t="s">
        <v>2349</v>
      </c>
      <c r="E1828" s="262" t="s">
        <v>2350</v>
      </c>
      <c r="F1828" s="261">
        <v>2</v>
      </c>
      <c r="G1828" s="263"/>
      <c r="H1828" s="261"/>
      <c r="I1828" s="308" t="s">
        <v>2151</v>
      </c>
      <c r="J1828" s="245"/>
      <c r="L1828" s="252"/>
    </row>
    <row r="1829" spans="1:65">
      <c r="A1829" s="239"/>
      <c r="B1829" s="261"/>
      <c r="C1829" s="262"/>
      <c r="D1829" s="262" t="s">
        <v>2581</v>
      </c>
      <c r="E1829" s="262" t="s">
        <v>2582</v>
      </c>
      <c r="F1829" s="261">
        <v>2</v>
      </c>
      <c r="G1829" s="263"/>
      <c r="H1829" s="261"/>
      <c r="I1829" s="308" t="s">
        <v>2151</v>
      </c>
      <c r="J1829" s="245"/>
      <c r="L1829" s="252"/>
      <c r="AC1829" s="243" t="s">
        <v>2366</v>
      </c>
      <c r="AR1829" s="243" t="s">
        <v>2331</v>
      </c>
      <c r="AS1829" s="243" t="s">
        <v>2331</v>
      </c>
      <c r="AT1829" s="243" t="s">
        <v>2389</v>
      </c>
      <c r="AU1829" s="243" t="s">
        <v>2427</v>
      </c>
      <c r="AV1829" s="243" t="s">
        <v>2427</v>
      </c>
    </row>
    <row r="1830" spans="1:65">
      <c r="A1830" s="239"/>
      <c r="B1830" s="261"/>
      <c r="C1830" s="262"/>
      <c r="D1830" s="262" t="s">
        <v>2583</v>
      </c>
      <c r="E1830" s="262" t="s">
        <v>2584</v>
      </c>
      <c r="F1830" s="261">
        <v>2</v>
      </c>
      <c r="G1830" s="263"/>
      <c r="H1830" s="261" t="s">
        <v>2744</v>
      </c>
      <c r="I1830" s="308" t="s">
        <v>2151</v>
      </c>
      <c r="J1830" s="245"/>
      <c r="L1830" s="252"/>
      <c r="AA1830" s="243" t="s">
        <v>2366</v>
      </c>
      <c r="BD1830" s="243" t="s">
        <v>2705</v>
      </c>
      <c r="BE1830" s="243" t="s">
        <v>2705</v>
      </c>
      <c r="BF1830" s="243" t="s">
        <v>2196</v>
      </c>
      <c r="BG1830" s="243" t="s">
        <v>2331</v>
      </c>
      <c r="BH1830" s="243" t="s">
        <v>2331</v>
      </c>
      <c r="BI1830" s="243" t="s">
        <v>2331</v>
      </c>
      <c r="BJ1830" s="243" t="s">
        <v>2331</v>
      </c>
      <c r="BK1830" s="243" t="s">
        <v>2389</v>
      </c>
      <c r="BL1830" s="243" t="s">
        <v>2427</v>
      </c>
      <c r="BM1830" s="243" t="s">
        <v>2427</v>
      </c>
    </row>
    <row r="1831" spans="1:65">
      <c r="A1831" s="239">
        <v>72461</v>
      </c>
      <c r="B1831" s="261" t="s">
        <v>385</v>
      </c>
      <c r="C1831" s="262" t="s">
        <v>20</v>
      </c>
      <c r="D1831" s="262" t="s">
        <v>387</v>
      </c>
      <c r="E1831" s="262" t="s">
        <v>386</v>
      </c>
      <c r="F1831" s="261">
        <v>2</v>
      </c>
      <c r="G1831" s="263">
        <v>45903</v>
      </c>
      <c r="H1831" s="261"/>
      <c r="I1831" s="308" t="s">
        <v>2151</v>
      </c>
      <c r="J1831" s="245"/>
      <c r="L1831" s="252"/>
    </row>
    <row r="1832" spans="1:65">
      <c r="A1832" s="239">
        <v>72462</v>
      </c>
      <c r="B1832" s="280" t="s">
        <v>385</v>
      </c>
      <c r="C1832" s="281" t="s">
        <v>20</v>
      </c>
      <c r="D1832" s="281" t="s">
        <v>388</v>
      </c>
      <c r="E1832" s="281" t="s">
        <v>2163</v>
      </c>
      <c r="F1832" s="280">
        <v>1</v>
      </c>
      <c r="G1832" s="282">
        <v>45903</v>
      </c>
      <c r="H1832" s="280"/>
      <c r="I1832" s="308" t="s">
        <v>2151</v>
      </c>
      <c r="J1832" s="245"/>
      <c r="K1832" s="243" t="s">
        <v>2196</v>
      </c>
      <c r="L1832" s="252"/>
      <c r="BI1832" s="243" t="s">
        <v>2427</v>
      </c>
      <c r="BJ1832" s="243" t="s">
        <v>2427</v>
      </c>
      <c r="BK1832" s="243" t="s">
        <v>2426</v>
      </c>
      <c r="BL1832" s="243" t="s">
        <v>2208</v>
      </c>
    </row>
    <row r="1833" spans="1:65">
      <c r="A1833" s="239"/>
      <c r="B1833" s="261"/>
      <c r="C1833" s="262"/>
      <c r="D1833" s="262" t="s">
        <v>2164</v>
      </c>
      <c r="E1833" s="262" t="s">
        <v>2165</v>
      </c>
      <c r="F1833" s="261">
        <v>1</v>
      </c>
      <c r="G1833" s="263"/>
      <c r="H1833" s="261"/>
      <c r="I1833" s="308" t="s">
        <v>2151</v>
      </c>
      <c r="J1833" s="245"/>
      <c r="L1833" s="252"/>
    </row>
    <row r="1834" spans="1:65">
      <c r="A1834" s="239"/>
      <c r="B1834" s="261"/>
      <c r="C1834" s="262"/>
      <c r="D1834" s="262" t="s">
        <v>2166</v>
      </c>
      <c r="E1834" s="262" t="s">
        <v>2167</v>
      </c>
      <c r="F1834" s="261">
        <v>2</v>
      </c>
      <c r="G1834" s="263"/>
      <c r="H1834" s="261"/>
      <c r="I1834" s="308" t="s">
        <v>2151</v>
      </c>
      <c r="J1834" s="245"/>
      <c r="L1834" s="252"/>
      <c r="X1834" s="243" t="s">
        <v>2248</v>
      </c>
    </row>
    <row r="1835" spans="1:65">
      <c r="A1835" s="239"/>
      <c r="B1835" s="261"/>
      <c r="C1835" s="262"/>
      <c r="D1835" s="262" t="s">
        <v>2168</v>
      </c>
      <c r="E1835" s="262" t="s">
        <v>2169</v>
      </c>
      <c r="F1835" s="261">
        <v>4</v>
      </c>
      <c r="G1835" s="263"/>
      <c r="H1835" s="261"/>
      <c r="I1835" s="308" t="s">
        <v>2151</v>
      </c>
      <c r="J1835" s="245"/>
      <c r="L1835" s="252"/>
    </row>
    <row r="1836" spans="1:65">
      <c r="A1836" s="239"/>
      <c r="B1836" s="261"/>
      <c r="C1836" s="262"/>
      <c r="D1836" s="262" t="s">
        <v>2007</v>
      </c>
      <c r="E1836" s="262" t="s">
        <v>2170</v>
      </c>
      <c r="F1836" s="261">
        <v>2</v>
      </c>
      <c r="G1836" s="263"/>
      <c r="H1836" s="261"/>
      <c r="I1836" s="308" t="s">
        <v>2151</v>
      </c>
      <c r="J1836" s="245"/>
      <c r="L1836" s="252"/>
    </row>
    <row r="1837" spans="1:65">
      <c r="A1837" s="239">
        <v>72463</v>
      </c>
      <c r="B1837" s="280" t="s">
        <v>385</v>
      </c>
      <c r="C1837" s="281" t="s">
        <v>20</v>
      </c>
      <c r="D1837" s="281" t="s">
        <v>390</v>
      </c>
      <c r="E1837" s="281" t="s">
        <v>389</v>
      </c>
      <c r="F1837" s="280">
        <v>1</v>
      </c>
      <c r="G1837" s="282">
        <v>45903</v>
      </c>
      <c r="H1837" s="280"/>
      <c r="I1837" s="308" t="s">
        <v>2151</v>
      </c>
      <c r="J1837" s="245"/>
      <c r="K1837" s="243" t="s">
        <v>2196</v>
      </c>
      <c r="L1837" s="252"/>
    </row>
    <row r="1838" spans="1:65">
      <c r="A1838" s="239"/>
      <c r="B1838" s="261"/>
      <c r="C1838" s="262"/>
      <c r="D1838" s="262" t="s">
        <v>1504</v>
      </c>
      <c r="E1838" s="262" t="s">
        <v>2171</v>
      </c>
      <c r="F1838" s="261">
        <v>1</v>
      </c>
      <c r="G1838" s="263"/>
      <c r="H1838" s="261"/>
      <c r="I1838" s="308" t="s">
        <v>2151</v>
      </c>
      <c r="J1838" s="245"/>
      <c r="L1838" s="252"/>
      <c r="X1838" s="243" t="s">
        <v>2248</v>
      </c>
    </row>
    <row r="1839" spans="1:65">
      <c r="A1839" s="239"/>
      <c r="B1839" s="261"/>
      <c r="C1839" s="262"/>
      <c r="D1839" s="262" t="s">
        <v>1318</v>
      </c>
      <c r="E1839" s="262" t="s">
        <v>2172</v>
      </c>
      <c r="F1839" s="261">
        <v>2</v>
      </c>
      <c r="G1839" s="263"/>
      <c r="H1839" s="261"/>
      <c r="I1839" s="308" t="s">
        <v>2151</v>
      </c>
      <c r="J1839" s="245"/>
      <c r="L1839" s="252"/>
    </row>
    <row r="1840" spans="1:65">
      <c r="A1840" s="239"/>
      <c r="B1840" s="261"/>
      <c r="C1840" s="262"/>
      <c r="D1840" s="262" t="s">
        <v>1605</v>
      </c>
      <c r="E1840" s="262" t="s">
        <v>2173</v>
      </c>
      <c r="F1840" s="261">
        <v>2</v>
      </c>
      <c r="G1840" s="263"/>
      <c r="H1840" s="261"/>
      <c r="I1840" s="308" t="s">
        <v>2151</v>
      </c>
      <c r="J1840" s="245"/>
      <c r="L1840" s="252"/>
    </row>
    <row r="1841" spans="1:69">
      <c r="A1841" s="239">
        <v>72464</v>
      </c>
      <c r="B1841" s="261" t="s">
        <v>385</v>
      </c>
      <c r="C1841" s="262" t="s">
        <v>20</v>
      </c>
      <c r="D1841" s="262" t="s">
        <v>392</v>
      </c>
      <c r="E1841" s="262" t="s">
        <v>391</v>
      </c>
      <c r="F1841" s="261">
        <v>2</v>
      </c>
      <c r="G1841" s="263">
        <v>45903</v>
      </c>
      <c r="H1841" s="261"/>
      <c r="I1841" s="308" t="s">
        <v>2151</v>
      </c>
      <c r="J1841" s="245"/>
      <c r="L1841" s="251"/>
      <c r="AT1841" s="243" t="s">
        <v>2331</v>
      </c>
    </row>
    <row r="1842" spans="1:69">
      <c r="A1842" s="239">
        <v>72465</v>
      </c>
      <c r="B1842" s="261" t="s">
        <v>385</v>
      </c>
      <c r="C1842" s="262" t="s">
        <v>20</v>
      </c>
      <c r="D1842" s="262" t="s">
        <v>2714</v>
      </c>
      <c r="E1842" s="262" t="s">
        <v>2713</v>
      </c>
      <c r="F1842" s="261">
        <v>2</v>
      </c>
      <c r="G1842" s="263">
        <v>45903</v>
      </c>
      <c r="H1842" s="261"/>
      <c r="I1842" s="308" t="s">
        <v>2151</v>
      </c>
      <c r="J1842" s="245"/>
      <c r="L1842" s="251"/>
      <c r="AU1842" s="243" t="s">
        <v>2331</v>
      </c>
    </row>
    <row r="1843" spans="1:69">
      <c r="A1843" s="239">
        <v>72466</v>
      </c>
      <c r="B1843" s="261" t="s">
        <v>385</v>
      </c>
      <c r="C1843" s="262" t="s">
        <v>20</v>
      </c>
      <c r="D1843" s="262" t="s">
        <v>395</v>
      </c>
      <c r="E1843" s="262" t="s">
        <v>394</v>
      </c>
      <c r="F1843" s="261">
        <v>2</v>
      </c>
      <c r="G1843" s="263">
        <v>45903</v>
      </c>
      <c r="H1843" s="261"/>
      <c r="I1843" s="308" t="s">
        <v>2151</v>
      </c>
      <c r="J1843" s="245"/>
      <c r="L1843" s="252"/>
    </row>
    <row r="1844" spans="1:69">
      <c r="A1844" s="239">
        <v>72467</v>
      </c>
      <c r="B1844" s="261" t="s">
        <v>385</v>
      </c>
      <c r="C1844" s="262" t="s">
        <v>20</v>
      </c>
      <c r="D1844" s="262" t="s">
        <v>397</v>
      </c>
      <c r="E1844" s="262" t="s">
        <v>396</v>
      </c>
      <c r="F1844" s="261">
        <v>2</v>
      </c>
      <c r="G1844" s="263">
        <v>45898</v>
      </c>
      <c r="H1844" s="261"/>
      <c r="I1844" s="308" t="s">
        <v>2151</v>
      </c>
      <c r="J1844" s="245"/>
      <c r="L1844" s="252"/>
    </row>
    <row r="1845" spans="1:69">
      <c r="A1845" s="239">
        <v>72468</v>
      </c>
      <c r="B1845" s="261" t="s">
        <v>385</v>
      </c>
      <c r="C1845" s="262" t="s">
        <v>20</v>
      </c>
      <c r="D1845" s="262" t="s">
        <v>399</v>
      </c>
      <c r="E1845" s="262" t="s">
        <v>398</v>
      </c>
      <c r="F1845" s="261">
        <v>1</v>
      </c>
      <c r="G1845" s="263">
        <v>45898</v>
      </c>
      <c r="H1845" s="261"/>
      <c r="I1845" s="308" t="s">
        <v>2151</v>
      </c>
      <c r="J1845" s="245"/>
      <c r="L1845" s="252"/>
    </row>
    <row r="1846" spans="1:69" ht="62.25">
      <c r="A1846" s="239">
        <v>72469</v>
      </c>
      <c r="B1846" s="239" t="s">
        <v>385</v>
      </c>
      <c r="C1846" s="264" t="s">
        <v>20</v>
      </c>
      <c r="D1846" s="264" t="s">
        <v>401</v>
      </c>
      <c r="E1846" s="264" t="s">
        <v>400</v>
      </c>
      <c r="F1846" s="239">
        <v>1</v>
      </c>
      <c r="G1846" s="265">
        <v>45930</v>
      </c>
      <c r="H1846" s="239"/>
      <c r="I1846" s="313" t="s">
        <v>2717</v>
      </c>
      <c r="J1846" s="245"/>
      <c r="L1846" s="252"/>
      <c r="BH1846" s="243" t="s">
        <v>2394</v>
      </c>
      <c r="BI1846" s="243" t="s">
        <v>2543</v>
      </c>
      <c r="BJ1846" s="243" t="s">
        <v>2543</v>
      </c>
      <c r="BK1846" s="243" t="s">
        <v>2417</v>
      </c>
      <c r="BL1846" s="243" t="s">
        <v>2417</v>
      </c>
      <c r="BM1846" s="243" t="s">
        <v>2389</v>
      </c>
      <c r="BN1846" s="243" t="s">
        <v>2427</v>
      </c>
      <c r="BO1846" s="243" t="s">
        <v>2427</v>
      </c>
      <c r="BP1846" s="243" t="s">
        <v>2426</v>
      </c>
      <c r="BQ1846" s="243" t="s">
        <v>2208</v>
      </c>
    </row>
    <row r="1847" spans="1:69">
      <c r="A1847" s="239">
        <v>72470</v>
      </c>
      <c r="B1847" s="261" t="s">
        <v>385</v>
      </c>
      <c r="C1847" s="262" t="s">
        <v>20</v>
      </c>
      <c r="D1847" s="262" t="s">
        <v>403</v>
      </c>
      <c r="E1847" s="262" t="s">
        <v>402</v>
      </c>
      <c r="F1847" s="261">
        <v>2</v>
      </c>
      <c r="G1847" s="263">
        <v>45898</v>
      </c>
      <c r="H1847" s="261"/>
      <c r="I1847" s="308" t="s">
        <v>2151</v>
      </c>
      <c r="J1847" s="245"/>
      <c r="L1847" s="252"/>
    </row>
    <row r="1848" spans="1:69" ht="62.25">
      <c r="A1848" s="239">
        <v>72471</v>
      </c>
      <c r="B1848" s="239" t="s">
        <v>385</v>
      </c>
      <c r="C1848" s="264" t="s">
        <v>20</v>
      </c>
      <c r="D1848" s="264" t="s">
        <v>405</v>
      </c>
      <c r="E1848" s="264" t="s">
        <v>404</v>
      </c>
      <c r="F1848" s="239">
        <v>1</v>
      </c>
      <c r="G1848" s="265">
        <v>45930</v>
      </c>
      <c r="H1848" s="239"/>
      <c r="I1848" s="313" t="s">
        <v>2717</v>
      </c>
      <c r="J1848" s="245"/>
      <c r="L1848" s="252"/>
      <c r="BH1848" s="243" t="s">
        <v>2394</v>
      </c>
      <c r="BI1848" s="243" t="s">
        <v>2543</v>
      </c>
      <c r="BJ1848" s="243" t="s">
        <v>2543</v>
      </c>
      <c r="BK1848" s="243" t="s">
        <v>2417</v>
      </c>
      <c r="BL1848" s="243" t="s">
        <v>2417</v>
      </c>
      <c r="BM1848" s="243" t="s">
        <v>2389</v>
      </c>
      <c r="BN1848" s="243" t="s">
        <v>2427</v>
      </c>
      <c r="BO1848" s="243" t="s">
        <v>2427</v>
      </c>
      <c r="BP1848" s="243" t="s">
        <v>2426</v>
      </c>
      <c r="BQ1848" s="243" t="s">
        <v>2208</v>
      </c>
    </row>
    <row r="1849" spans="1:69">
      <c r="A1849" s="239"/>
      <c r="B1849" s="239"/>
      <c r="C1849" s="264"/>
      <c r="D1849" s="264"/>
      <c r="E1849" s="264"/>
      <c r="F1849" s="239"/>
      <c r="G1849" s="265"/>
      <c r="H1849" s="239"/>
      <c r="I1849" s="308"/>
      <c r="J1849" s="245"/>
      <c r="L1849" s="252"/>
    </row>
    <row r="1850" spans="1:69">
      <c r="A1850" s="239">
        <v>72472</v>
      </c>
      <c r="B1850" s="261">
        <v>211248489</v>
      </c>
      <c r="C1850" s="262" t="s">
        <v>309</v>
      </c>
      <c r="D1850" s="262" t="s">
        <v>407</v>
      </c>
      <c r="E1850" s="262" t="s">
        <v>406</v>
      </c>
      <c r="F1850" s="261">
        <v>1</v>
      </c>
      <c r="G1850" s="263">
        <v>45849</v>
      </c>
      <c r="H1850" s="261"/>
      <c r="I1850" s="308" t="s">
        <v>2151</v>
      </c>
      <c r="J1850" s="245"/>
      <c r="L1850" s="252"/>
    </row>
    <row r="1851" spans="1:69">
      <c r="A1851" s="239">
        <v>72473</v>
      </c>
      <c r="B1851" s="261">
        <v>211248489</v>
      </c>
      <c r="C1851" s="262" t="s">
        <v>255</v>
      </c>
      <c r="D1851" s="262" t="s">
        <v>409</v>
      </c>
      <c r="E1851" s="262" t="s">
        <v>408</v>
      </c>
      <c r="F1851" s="261">
        <v>15</v>
      </c>
      <c r="G1851" s="263">
        <v>45828</v>
      </c>
      <c r="H1851" s="261"/>
      <c r="I1851" s="308" t="s">
        <v>2151</v>
      </c>
      <c r="J1851" s="245"/>
      <c r="L1851" s="252"/>
    </row>
    <row r="1852" spans="1:69">
      <c r="A1852" s="239">
        <v>72475</v>
      </c>
      <c r="B1852" s="239">
        <v>4074</v>
      </c>
      <c r="C1852" s="264" t="s">
        <v>412</v>
      </c>
      <c r="D1852" s="264" t="s">
        <v>411</v>
      </c>
      <c r="E1852" s="264" t="s">
        <v>410</v>
      </c>
      <c r="F1852" s="239">
        <v>6</v>
      </c>
      <c r="G1852" s="265">
        <v>45849</v>
      </c>
      <c r="H1852" s="239"/>
      <c r="I1852" s="308"/>
      <c r="J1852" s="245"/>
      <c r="L1852" s="252"/>
    </row>
    <row r="1853" spans="1:69">
      <c r="A1853" s="239">
        <v>72475</v>
      </c>
      <c r="B1853" s="239">
        <v>4074</v>
      </c>
      <c r="C1853" s="264" t="s">
        <v>412</v>
      </c>
      <c r="D1853" s="264" t="s">
        <v>413</v>
      </c>
      <c r="E1853" s="264" t="s">
        <v>410</v>
      </c>
      <c r="F1853" s="239">
        <v>12</v>
      </c>
      <c r="G1853" s="265">
        <v>45849</v>
      </c>
      <c r="H1853" s="239"/>
      <c r="I1853" s="308"/>
      <c r="J1853" s="245"/>
      <c r="L1853" s="252"/>
    </row>
    <row r="1854" spans="1:69">
      <c r="A1854" s="239">
        <v>72475</v>
      </c>
      <c r="B1854" s="261">
        <v>4074</v>
      </c>
      <c r="C1854" s="262" t="s">
        <v>412</v>
      </c>
      <c r="D1854" s="262" t="s">
        <v>414</v>
      </c>
      <c r="E1854" s="262" t="s">
        <v>410</v>
      </c>
      <c r="F1854" s="261">
        <v>66</v>
      </c>
      <c r="G1854" s="263">
        <v>45849</v>
      </c>
      <c r="H1854" s="261"/>
      <c r="I1854" s="308" t="s">
        <v>2151</v>
      </c>
      <c r="J1854" s="245"/>
      <c r="L1854" s="252"/>
    </row>
    <row r="1855" spans="1:69">
      <c r="A1855" s="239">
        <v>72475</v>
      </c>
      <c r="B1855" s="261">
        <v>4074</v>
      </c>
      <c r="C1855" s="262" t="s">
        <v>412</v>
      </c>
      <c r="D1855" s="262" t="s">
        <v>415</v>
      </c>
      <c r="E1855" s="262" t="s">
        <v>410</v>
      </c>
      <c r="F1855" s="261">
        <v>16</v>
      </c>
      <c r="G1855" s="263">
        <v>45849</v>
      </c>
      <c r="H1855" s="261"/>
      <c r="I1855" s="308" t="s">
        <v>2151</v>
      </c>
      <c r="J1855" s="245"/>
      <c r="L1855" s="252"/>
    </row>
    <row r="1856" spans="1:69">
      <c r="A1856" s="239">
        <v>72475</v>
      </c>
      <c r="B1856" s="261">
        <v>4074</v>
      </c>
      <c r="C1856" s="262" t="s">
        <v>412</v>
      </c>
      <c r="D1856" s="262" t="s">
        <v>416</v>
      </c>
      <c r="E1856" s="262" t="s">
        <v>410</v>
      </c>
      <c r="F1856" s="261">
        <v>16</v>
      </c>
      <c r="G1856" s="263">
        <v>45849</v>
      </c>
      <c r="H1856" s="261"/>
      <c r="I1856" s="308" t="s">
        <v>2151</v>
      </c>
      <c r="J1856" s="245"/>
      <c r="L1856" s="252"/>
    </row>
    <row r="1857" spans="1:94">
      <c r="A1857" s="239">
        <v>72475</v>
      </c>
      <c r="B1857" s="239">
        <v>4074</v>
      </c>
      <c r="C1857" s="264" t="s">
        <v>412</v>
      </c>
      <c r="D1857" s="264" t="s">
        <v>417</v>
      </c>
      <c r="E1857" s="264" t="s">
        <v>410</v>
      </c>
      <c r="F1857" s="239" t="s">
        <v>418</v>
      </c>
      <c r="G1857" s="265">
        <v>45849</v>
      </c>
      <c r="H1857" s="239"/>
      <c r="I1857" s="308"/>
      <c r="J1857" s="245"/>
      <c r="L1857" s="252"/>
    </row>
    <row r="1858" spans="1:94">
      <c r="A1858" s="239">
        <v>72477</v>
      </c>
      <c r="B1858" s="261" t="s">
        <v>419</v>
      </c>
      <c r="C1858" s="262" t="s">
        <v>422</v>
      </c>
      <c r="D1858" s="262" t="s">
        <v>421</v>
      </c>
      <c r="E1858" s="262" t="s">
        <v>420</v>
      </c>
      <c r="F1858" s="261">
        <v>1</v>
      </c>
      <c r="G1858" s="263">
        <v>45845</v>
      </c>
      <c r="H1858" s="261"/>
      <c r="I1858" s="308" t="s">
        <v>2151</v>
      </c>
      <c r="J1858" s="245"/>
      <c r="L1858" s="251"/>
    </row>
    <row r="1859" spans="1:94">
      <c r="A1859" s="239">
        <v>72477</v>
      </c>
      <c r="B1859" s="261" t="s">
        <v>419</v>
      </c>
      <c r="C1859" s="262" t="s">
        <v>422</v>
      </c>
      <c r="D1859" s="262" t="s">
        <v>557</v>
      </c>
      <c r="E1859" s="262" t="s">
        <v>556</v>
      </c>
      <c r="F1859" s="261" t="s">
        <v>563</v>
      </c>
      <c r="G1859" s="263">
        <v>45845</v>
      </c>
      <c r="H1859" s="261"/>
      <c r="I1859" s="308" t="s">
        <v>2151</v>
      </c>
      <c r="J1859" s="245"/>
      <c r="L1859" s="252"/>
    </row>
    <row r="1860" spans="1:94" ht="120">
      <c r="A1860" s="239">
        <v>72478</v>
      </c>
      <c r="B1860" s="239" t="s">
        <v>423</v>
      </c>
      <c r="C1860" s="264" t="s">
        <v>164</v>
      </c>
      <c r="D1860" s="264" t="s">
        <v>425</v>
      </c>
      <c r="E1860" s="264" t="s">
        <v>424</v>
      </c>
      <c r="F1860" s="239">
        <v>1</v>
      </c>
      <c r="G1860" s="265">
        <v>45897</v>
      </c>
      <c r="H1860" s="357">
        <v>45926</v>
      </c>
      <c r="I1860" s="308" t="s">
        <v>3090</v>
      </c>
      <c r="J1860" s="245"/>
      <c r="L1860" s="252"/>
      <c r="AG1860" s="243" t="s">
        <v>2225</v>
      </c>
      <c r="BO1860" s="246" t="s">
        <v>2547</v>
      </c>
      <c r="BP1860" s="246" t="s">
        <v>2547</v>
      </c>
      <c r="BQ1860" s="246" t="s">
        <v>2547</v>
      </c>
      <c r="BR1860" s="246" t="s">
        <v>2547</v>
      </c>
      <c r="BS1860" s="246" t="s">
        <v>2547</v>
      </c>
      <c r="BT1860" s="246" t="s">
        <v>2547</v>
      </c>
      <c r="BU1860" s="246" t="s">
        <v>2547</v>
      </c>
      <c r="BV1860" s="243" t="s">
        <v>2196</v>
      </c>
      <c r="BW1860" s="243" t="s">
        <v>2427</v>
      </c>
      <c r="BX1860" s="243" t="s">
        <v>3090</v>
      </c>
      <c r="BY1860" s="246" t="s">
        <v>3091</v>
      </c>
      <c r="BZ1860" s="243" t="s">
        <v>2517</v>
      </c>
      <c r="CA1860" s="243" t="s">
        <v>2208</v>
      </c>
      <c r="CB1860" s="246"/>
    </row>
    <row r="1861" spans="1:94" ht="150">
      <c r="A1861" s="239">
        <v>72479</v>
      </c>
      <c r="B1861" s="239" t="s">
        <v>423</v>
      </c>
      <c r="C1861" s="264" t="s">
        <v>164</v>
      </c>
      <c r="D1861" s="264" t="s">
        <v>427</v>
      </c>
      <c r="E1861" s="264" t="s">
        <v>426</v>
      </c>
      <c r="F1861" s="239">
        <v>1</v>
      </c>
      <c r="G1861" s="265">
        <v>45897</v>
      </c>
      <c r="H1861" s="357">
        <v>45926</v>
      </c>
      <c r="I1861" s="308" t="s">
        <v>3092</v>
      </c>
      <c r="J1861" s="245"/>
      <c r="L1861" s="252"/>
      <c r="AN1861" s="243" t="s">
        <v>2543</v>
      </c>
      <c r="AO1861" s="243" t="s">
        <v>2331</v>
      </c>
      <c r="AP1861" s="243" t="s">
        <v>2366</v>
      </c>
      <c r="AQ1861" s="243" t="s">
        <v>2366</v>
      </c>
      <c r="AR1861" s="243" t="s">
        <v>2331</v>
      </c>
      <c r="AS1861" s="243" t="s">
        <v>2331</v>
      </c>
      <c r="AT1861" s="243" t="s">
        <v>2331</v>
      </c>
      <c r="AU1861" s="243" t="s">
        <v>2331</v>
      </c>
      <c r="AV1861" s="243" t="s">
        <v>2331</v>
      </c>
      <c r="AW1861" s="243" t="s">
        <v>2331</v>
      </c>
      <c r="AX1861" s="243" t="s">
        <v>2389</v>
      </c>
      <c r="AY1861" s="243" t="s">
        <v>2225</v>
      </c>
      <c r="AZ1861" s="243" t="s">
        <v>2225</v>
      </c>
      <c r="BA1861" s="243" t="s">
        <v>2203</v>
      </c>
      <c r="BB1861" s="243" t="s">
        <v>2183</v>
      </c>
      <c r="BC1861" s="243" t="s">
        <v>2183</v>
      </c>
      <c r="BD1861" s="243" t="s">
        <v>2389</v>
      </c>
      <c r="BE1861" s="243" t="s">
        <v>2225</v>
      </c>
      <c r="BF1861" s="243" t="s">
        <v>2225</v>
      </c>
      <c r="BG1861" s="246" t="s">
        <v>2524</v>
      </c>
      <c r="BH1861" s="246" t="s">
        <v>2524</v>
      </c>
      <c r="BI1861" s="246" t="s">
        <v>2524</v>
      </c>
      <c r="BJ1861" s="246" t="s">
        <v>2524</v>
      </c>
      <c r="BK1861" s="246" t="s">
        <v>2524</v>
      </c>
      <c r="BL1861" s="246" t="s">
        <v>2524</v>
      </c>
      <c r="BM1861" s="246" t="s">
        <v>2524</v>
      </c>
      <c r="BN1861" s="246" t="s">
        <v>2515</v>
      </c>
      <c r="BO1861" s="246" t="s">
        <v>2515</v>
      </c>
      <c r="BP1861" s="246" t="s">
        <v>2515</v>
      </c>
      <c r="BQ1861" s="246" t="s">
        <v>2515</v>
      </c>
      <c r="BR1861" s="246" t="s">
        <v>2515</v>
      </c>
      <c r="BS1861" s="246" t="s">
        <v>2515</v>
      </c>
      <c r="BT1861" s="246" t="s">
        <v>2515</v>
      </c>
      <c r="BU1861" s="243" t="s">
        <v>2196</v>
      </c>
      <c r="BV1861" s="243" t="s">
        <v>2427</v>
      </c>
      <c r="BW1861" s="243" t="s">
        <v>2427</v>
      </c>
      <c r="BY1861" s="243" t="s">
        <v>3092</v>
      </c>
      <c r="BZ1861" s="243" t="s">
        <v>3092</v>
      </c>
      <c r="CA1861" s="243" t="s">
        <v>3092</v>
      </c>
      <c r="CB1861" s="246" t="s">
        <v>2547</v>
      </c>
      <c r="CC1861" s="246" t="s">
        <v>2547</v>
      </c>
      <c r="CD1861" s="246" t="s">
        <v>2547</v>
      </c>
      <c r="CE1861" s="246" t="s">
        <v>2547</v>
      </c>
      <c r="CF1861" s="246" t="s">
        <v>2547</v>
      </c>
      <c r="CG1861" s="246" t="s">
        <v>2547</v>
      </c>
      <c r="CH1861" s="246" t="s">
        <v>2547</v>
      </c>
      <c r="CI1861" s="243" t="s">
        <v>2196</v>
      </c>
      <c r="CJ1861" s="243" t="s">
        <v>2427</v>
      </c>
      <c r="CK1861" s="243" t="s">
        <v>2427</v>
      </c>
      <c r="CL1861" s="243" t="s">
        <v>2427</v>
      </c>
      <c r="CM1861" s="243" t="s">
        <v>2427</v>
      </c>
      <c r="CN1861" s="243" t="s">
        <v>2426</v>
      </c>
      <c r="CO1861" s="243" t="s">
        <v>2426</v>
      </c>
      <c r="CP1861" s="243" t="s">
        <v>2208</v>
      </c>
    </row>
    <row r="1862" spans="1:94" ht="150">
      <c r="A1862" s="239">
        <v>72480</v>
      </c>
      <c r="B1862" s="239" t="s">
        <v>423</v>
      </c>
      <c r="C1862" s="264" t="s">
        <v>164</v>
      </c>
      <c r="D1862" s="264" t="s">
        <v>429</v>
      </c>
      <c r="E1862" s="264" t="s">
        <v>428</v>
      </c>
      <c r="F1862" s="239">
        <v>1</v>
      </c>
      <c r="G1862" s="265">
        <v>45897</v>
      </c>
      <c r="H1862" s="357">
        <v>45926</v>
      </c>
      <c r="I1862" s="308" t="s">
        <v>2427</v>
      </c>
      <c r="J1862" s="245"/>
      <c r="L1862" s="252"/>
      <c r="AM1862" s="243" t="s">
        <v>2528</v>
      </c>
      <c r="AN1862" s="243" t="s">
        <v>2525</v>
      </c>
      <c r="AO1862" s="243" t="s">
        <v>2525</v>
      </c>
      <c r="AP1862" s="243" t="s">
        <v>2523</v>
      </c>
      <c r="AQ1862" s="246" t="s">
        <v>2524</v>
      </c>
      <c r="AR1862" s="246" t="s">
        <v>2524</v>
      </c>
      <c r="AS1862" s="246" t="s">
        <v>2524</v>
      </c>
      <c r="AT1862" s="246" t="s">
        <v>2524</v>
      </c>
      <c r="AU1862" s="246" t="s">
        <v>2524</v>
      </c>
      <c r="AV1862" s="246" t="s">
        <v>2524</v>
      </c>
      <c r="AW1862" s="246" t="s">
        <v>2524</v>
      </c>
      <c r="AX1862" s="243" t="s">
        <v>2545</v>
      </c>
      <c r="AY1862" s="243" t="s">
        <v>2545</v>
      </c>
      <c r="BL1862" s="243" t="s">
        <v>2389</v>
      </c>
      <c r="BM1862" s="243" t="s">
        <v>2225</v>
      </c>
      <c r="BN1862" s="243" t="s">
        <v>2225</v>
      </c>
      <c r="BO1862" s="243" t="s">
        <v>2518</v>
      </c>
      <c r="BP1862" s="243" t="s">
        <v>2437</v>
      </c>
      <c r="BQ1862" s="243" t="s">
        <v>2437</v>
      </c>
      <c r="BR1862" s="243" t="s">
        <v>2225</v>
      </c>
      <c r="BS1862" s="243" t="s">
        <v>2225</v>
      </c>
      <c r="BT1862" s="246" t="s">
        <v>2547</v>
      </c>
      <c r="BU1862" s="246" t="s">
        <v>2547</v>
      </c>
      <c r="BV1862" s="246" t="s">
        <v>2547</v>
      </c>
      <c r="BW1862" s="246" t="s">
        <v>2547</v>
      </c>
      <c r="BY1862" s="246" t="s">
        <v>2547</v>
      </c>
      <c r="BZ1862" s="243" t="s">
        <v>2196</v>
      </c>
      <c r="CA1862" s="243" t="s">
        <v>2427</v>
      </c>
      <c r="CB1862" s="243" t="s">
        <v>2427</v>
      </c>
      <c r="CC1862" s="243" t="s">
        <v>2427</v>
      </c>
      <c r="CD1862" s="243" t="s">
        <v>2427</v>
      </c>
      <c r="CE1862" s="243" t="s">
        <v>2426</v>
      </c>
      <c r="CF1862" s="243" t="s">
        <v>2208</v>
      </c>
      <c r="CH1862" s="246"/>
    </row>
    <row r="1863" spans="1:94" ht="150">
      <c r="A1863" s="239">
        <v>72481</v>
      </c>
      <c r="B1863" s="239" t="s">
        <v>423</v>
      </c>
      <c r="C1863" s="264" t="s">
        <v>164</v>
      </c>
      <c r="D1863" s="264" t="s">
        <v>431</v>
      </c>
      <c r="E1863" s="264" t="s">
        <v>430</v>
      </c>
      <c r="F1863" s="239">
        <v>1</v>
      </c>
      <c r="G1863" s="265">
        <v>45897</v>
      </c>
      <c r="H1863" s="357">
        <v>45926</v>
      </c>
      <c r="I1863" s="308" t="s">
        <v>3090</v>
      </c>
      <c r="J1863" s="245"/>
      <c r="L1863" s="252"/>
      <c r="P1863" s="243" t="s">
        <v>2187</v>
      </c>
      <c r="AL1863" s="243" t="s">
        <v>2528</v>
      </c>
      <c r="AM1863" s="243" t="s">
        <v>2525</v>
      </c>
      <c r="AN1863" s="243" t="s">
        <v>2525</v>
      </c>
      <c r="AO1863" s="243" t="s">
        <v>2389</v>
      </c>
      <c r="AP1863" s="243" t="s">
        <v>2225</v>
      </c>
      <c r="AQ1863" s="243" t="s">
        <v>2225</v>
      </c>
      <c r="AR1863" s="243" t="s">
        <v>2523</v>
      </c>
      <c r="AS1863" s="246" t="s">
        <v>2524</v>
      </c>
      <c r="AT1863" s="246" t="s">
        <v>2524</v>
      </c>
      <c r="AU1863" s="246" t="s">
        <v>2524</v>
      </c>
      <c r="AV1863" s="246" t="s">
        <v>2524</v>
      </c>
      <c r="AW1863" s="246" t="s">
        <v>2524</v>
      </c>
      <c r="AX1863" s="246" t="s">
        <v>2524</v>
      </c>
      <c r="AY1863" s="246" t="s">
        <v>2524</v>
      </c>
      <c r="AZ1863" s="243" t="s">
        <v>2545</v>
      </c>
      <c r="BA1863" s="243" t="s">
        <v>2545</v>
      </c>
      <c r="BB1863" s="243" t="s">
        <v>2389</v>
      </c>
      <c r="BC1863" s="243" t="s">
        <v>2225</v>
      </c>
      <c r="BD1863" s="243" t="s">
        <v>2225</v>
      </c>
      <c r="BE1863" s="243" t="s">
        <v>2546</v>
      </c>
      <c r="BO1863" s="246" t="s">
        <v>2547</v>
      </c>
      <c r="BP1863" s="246" t="s">
        <v>2547</v>
      </c>
      <c r="BQ1863" s="246" t="s">
        <v>2547</v>
      </c>
      <c r="BR1863" s="246" t="s">
        <v>2547</v>
      </c>
      <c r="BS1863" s="246" t="s">
        <v>2547</v>
      </c>
      <c r="BT1863" s="246" t="s">
        <v>2547</v>
      </c>
      <c r="BU1863" s="246" t="s">
        <v>2547</v>
      </c>
      <c r="BV1863" s="243" t="s">
        <v>2196</v>
      </c>
      <c r="BW1863" s="243" t="s">
        <v>2427</v>
      </c>
      <c r="BX1863" s="243" t="s">
        <v>3090</v>
      </c>
      <c r="BY1863" s="246" t="s">
        <v>3091</v>
      </c>
      <c r="BZ1863" s="243" t="s">
        <v>2517</v>
      </c>
      <c r="CA1863" s="243" t="s">
        <v>2208</v>
      </c>
      <c r="CB1863" s="246"/>
    </row>
    <row r="1864" spans="1:94" ht="150">
      <c r="A1864" s="239">
        <v>72482</v>
      </c>
      <c r="B1864" s="239" t="s">
        <v>423</v>
      </c>
      <c r="C1864" s="264" t="s">
        <v>164</v>
      </c>
      <c r="D1864" s="264" t="s">
        <v>433</v>
      </c>
      <c r="E1864" s="264" t="s">
        <v>432</v>
      </c>
      <c r="F1864" s="239">
        <v>1</v>
      </c>
      <c r="G1864" s="265">
        <v>45897</v>
      </c>
      <c r="H1864" s="357">
        <v>45926</v>
      </c>
      <c r="I1864" s="308" t="s">
        <v>3092</v>
      </c>
      <c r="J1864" s="245"/>
      <c r="L1864" s="252"/>
      <c r="AG1864" s="243" t="s">
        <v>2338</v>
      </c>
      <c r="AL1864" s="243" t="s">
        <v>2522</v>
      </c>
      <c r="AQ1864" s="243" t="s">
        <v>2523</v>
      </c>
      <c r="AR1864" s="246" t="s">
        <v>2524</v>
      </c>
      <c r="AS1864" s="246" t="s">
        <v>2524</v>
      </c>
      <c r="AT1864" s="246" t="s">
        <v>2524</v>
      </c>
      <c r="AU1864" s="246" t="s">
        <v>2524</v>
      </c>
      <c r="AV1864" s="246" t="s">
        <v>2524</v>
      </c>
      <c r="AW1864" s="246" t="s">
        <v>2524</v>
      </c>
      <c r="AX1864" s="246" t="s">
        <v>2524</v>
      </c>
      <c r="AY1864" s="243" t="s">
        <v>2331</v>
      </c>
      <c r="AZ1864" s="243" t="s">
        <v>2331</v>
      </c>
      <c r="BA1864" s="243" t="s">
        <v>2389</v>
      </c>
      <c r="BB1864" s="243" t="s">
        <v>2427</v>
      </c>
      <c r="BC1864" s="243" t="s">
        <v>2427</v>
      </c>
      <c r="BD1864" s="243" t="s">
        <v>2518</v>
      </c>
      <c r="BE1864" s="243" t="s">
        <v>2437</v>
      </c>
      <c r="BF1864" s="243" t="s">
        <v>2437</v>
      </c>
      <c r="BG1864" s="243" t="s">
        <v>2526</v>
      </c>
      <c r="BH1864" s="243" t="s">
        <v>2526</v>
      </c>
      <c r="BI1864" s="243" t="s">
        <v>2426</v>
      </c>
      <c r="BJ1864" s="243" t="s">
        <v>2426</v>
      </c>
      <c r="BK1864" s="243" t="s">
        <v>2208</v>
      </c>
      <c r="BX1864" s="243" t="s">
        <v>3092</v>
      </c>
      <c r="BY1864" s="243" t="s">
        <v>3092</v>
      </c>
      <c r="BZ1864" s="243" t="s">
        <v>3092</v>
      </c>
      <c r="CA1864" s="243" t="s">
        <v>3092</v>
      </c>
      <c r="CB1864" s="243" t="s">
        <v>3092</v>
      </c>
      <c r="CC1864" s="243" t="s">
        <v>2225</v>
      </c>
      <c r="CD1864" s="243" t="s">
        <v>2437</v>
      </c>
      <c r="CE1864" s="243" t="s">
        <v>3090</v>
      </c>
      <c r="CF1864" s="243" t="s">
        <v>3090</v>
      </c>
      <c r="CG1864" s="243" t="s">
        <v>3090</v>
      </c>
      <c r="CH1864" s="243" t="s">
        <v>3090</v>
      </c>
      <c r="CI1864" s="246" t="s">
        <v>3091</v>
      </c>
      <c r="CJ1864" s="243" t="s">
        <v>2517</v>
      </c>
      <c r="CK1864" s="243" t="s">
        <v>2208</v>
      </c>
    </row>
    <row r="1865" spans="1:94" ht="150">
      <c r="A1865" s="239">
        <v>72483</v>
      </c>
      <c r="B1865" s="239" t="s">
        <v>423</v>
      </c>
      <c r="C1865" s="264" t="s">
        <v>164</v>
      </c>
      <c r="D1865" s="264" t="s">
        <v>435</v>
      </c>
      <c r="E1865" s="264" t="s">
        <v>434</v>
      </c>
      <c r="F1865" s="239">
        <v>1</v>
      </c>
      <c r="G1865" s="265">
        <v>45897</v>
      </c>
      <c r="H1865" s="357">
        <v>45926</v>
      </c>
      <c r="I1865" s="308" t="s">
        <v>2225</v>
      </c>
      <c r="J1865" s="245"/>
      <c r="L1865" s="252"/>
      <c r="AI1865" s="243" t="s">
        <v>2394</v>
      </c>
      <c r="AR1865" s="243" t="s">
        <v>2528</v>
      </c>
      <c r="AS1865" s="243" t="s">
        <v>2528</v>
      </c>
      <c r="AT1865" s="243" t="s">
        <v>2183</v>
      </c>
      <c r="AU1865" s="243" t="s">
        <v>2183</v>
      </c>
      <c r="AV1865" s="243" t="s">
        <v>2389</v>
      </c>
      <c r="AW1865" s="243" t="s">
        <v>2225</v>
      </c>
      <c r="AX1865" s="243" t="s">
        <v>2225</v>
      </c>
      <c r="AY1865" s="243" t="s">
        <v>2523</v>
      </c>
      <c r="AZ1865" s="246" t="s">
        <v>2524</v>
      </c>
      <c r="BA1865" s="246" t="s">
        <v>2524</v>
      </c>
      <c r="BB1865" s="246" t="s">
        <v>2524</v>
      </c>
      <c r="BC1865" s="246" t="s">
        <v>2524</v>
      </c>
      <c r="BD1865" s="246" t="s">
        <v>2524</v>
      </c>
      <c r="BE1865" s="246" t="s">
        <v>2524</v>
      </c>
      <c r="BF1865" s="246" t="s">
        <v>2524</v>
      </c>
      <c r="BG1865" s="243" t="s">
        <v>2587</v>
      </c>
      <c r="BH1865" s="243" t="s">
        <v>2587</v>
      </c>
      <c r="BI1865" s="243" t="s">
        <v>2389</v>
      </c>
      <c r="BJ1865" s="243" t="s">
        <v>2225</v>
      </c>
      <c r="BK1865" s="243" t="s">
        <v>2225</v>
      </c>
      <c r="BL1865" s="246" t="s">
        <v>2547</v>
      </c>
      <c r="BM1865" s="246" t="s">
        <v>2547</v>
      </c>
      <c r="BN1865" s="246" t="s">
        <v>2547</v>
      </c>
      <c r="BO1865" s="246" t="s">
        <v>2547</v>
      </c>
      <c r="BP1865" s="246" t="s">
        <v>2547</v>
      </c>
      <c r="BQ1865" s="246" t="s">
        <v>2547</v>
      </c>
      <c r="BR1865" s="246" t="s">
        <v>2547</v>
      </c>
      <c r="BS1865" s="243" t="s">
        <v>2196</v>
      </c>
      <c r="BT1865" s="243" t="s">
        <v>2427</v>
      </c>
      <c r="BU1865" s="243" t="s">
        <v>2427</v>
      </c>
      <c r="BV1865" s="243" t="s">
        <v>2426</v>
      </c>
      <c r="BW1865" s="243" t="s">
        <v>2426</v>
      </c>
      <c r="BY1865" s="246" t="s">
        <v>2547</v>
      </c>
      <c r="BZ1865" s="243" t="s">
        <v>2196</v>
      </c>
      <c r="CA1865" s="243" t="s">
        <v>2427</v>
      </c>
      <c r="CB1865" s="243" t="s">
        <v>2427</v>
      </c>
      <c r="CC1865" s="243" t="s">
        <v>2427</v>
      </c>
      <c r="CD1865" s="243" t="s">
        <v>2427</v>
      </c>
      <c r="CE1865" s="243" t="s">
        <v>2426</v>
      </c>
      <c r="CF1865" s="243" t="s">
        <v>2208</v>
      </c>
      <c r="CH1865" s="246"/>
    </row>
    <row r="1866" spans="1:94" ht="150">
      <c r="A1866" s="239">
        <v>72484</v>
      </c>
      <c r="B1866" s="239" t="s">
        <v>423</v>
      </c>
      <c r="C1866" s="264" t="s">
        <v>164</v>
      </c>
      <c r="D1866" s="264" t="s">
        <v>437</v>
      </c>
      <c r="E1866" s="264" t="s">
        <v>436</v>
      </c>
      <c r="F1866" s="239">
        <v>1</v>
      </c>
      <c r="G1866" s="265">
        <v>45897</v>
      </c>
      <c r="H1866" s="357">
        <v>45926</v>
      </c>
      <c r="I1866" s="308" t="s">
        <v>2389</v>
      </c>
      <c r="J1866" s="245"/>
      <c r="L1866" s="252"/>
      <c r="AI1866" s="243" t="s">
        <v>2394</v>
      </c>
      <c r="AQ1866" s="243" t="s">
        <v>2523</v>
      </c>
      <c r="AR1866" s="246" t="s">
        <v>2524</v>
      </c>
      <c r="AS1866" s="246" t="s">
        <v>2524</v>
      </c>
      <c r="AT1866" s="246" t="s">
        <v>2524</v>
      </c>
      <c r="AU1866" s="246" t="s">
        <v>2524</v>
      </c>
      <c r="AV1866" s="246" t="s">
        <v>2524</v>
      </c>
      <c r="AW1866" s="246" t="s">
        <v>2524</v>
      </c>
      <c r="AX1866" s="243" t="s">
        <v>2389</v>
      </c>
      <c r="AY1866" s="243" t="s">
        <v>2225</v>
      </c>
      <c r="AZ1866" s="243" t="s">
        <v>2225</v>
      </c>
      <c r="BA1866" s="243" t="s">
        <v>2518</v>
      </c>
      <c r="BB1866" s="243" t="s">
        <v>2437</v>
      </c>
      <c r="BC1866" s="243" t="s">
        <v>2437</v>
      </c>
      <c r="BD1866" s="243" t="s">
        <v>2526</v>
      </c>
      <c r="BE1866" s="246" t="s">
        <v>2530</v>
      </c>
      <c r="BF1866" s="246" t="s">
        <v>2530</v>
      </c>
      <c r="BG1866" s="246" t="s">
        <v>2530</v>
      </c>
      <c r="BH1866" s="246" t="s">
        <v>2530</v>
      </c>
      <c r="BI1866" s="246" t="s">
        <v>2530</v>
      </c>
      <c r="BJ1866" s="246" t="s">
        <v>2530</v>
      </c>
      <c r="BK1866" s="246" t="s">
        <v>2530</v>
      </c>
      <c r="BL1866" s="243" t="s">
        <v>2196</v>
      </c>
      <c r="BM1866" s="243" t="s">
        <v>2426</v>
      </c>
      <c r="BN1866" s="243" t="s">
        <v>2426</v>
      </c>
      <c r="BO1866" s="243" t="s">
        <v>2208</v>
      </c>
      <c r="BY1866" s="246" t="s">
        <v>2547</v>
      </c>
      <c r="BZ1866" s="243" t="s">
        <v>2196</v>
      </c>
      <c r="CA1866" s="243" t="s">
        <v>2427</v>
      </c>
      <c r="CB1866" s="243" t="s">
        <v>2427</v>
      </c>
      <c r="CC1866" s="243" t="s">
        <v>2427</v>
      </c>
      <c r="CD1866" s="243" t="s">
        <v>2427</v>
      </c>
      <c r="CE1866" s="243" t="s">
        <v>2426</v>
      </c>
      <c r="CF1866" s="243" t="s">
        <v>2208</v>
      </c>
      <c r="CH1866" s="246"/>
    </row>
    <row r="1867" spans="1:94" ht="150">
      <c r="A1867" s="239">
        <v>72485</v>
      </c>
      <c r="B1867" s="239" t="s">
        <v>423</v>
      </c>
      <c r="C1867" s="264" t="s">
        <v>164</v>
      </c>
      <c r="D1867" s="264" t="s">
        <v>439</v>
      </c>
      <c r="E1867" s="264" t="s">
        <v>438</v>
      </c>
      <c r="F1867" s="239">
        <v>1</v>
      </c>
      <c r="G1867" s="265">
        <v>45897</v>
      </c>
      <c r="H1867" s="357">
        <v>45926</v>
      </c>
      <c r="I1867" s="308" t="s">
        <v>2225</v>
      </c>
      <c r="J1867" s="245"/>
      <c r="L1867" s="252"/>
      <c r="AJ1867" s="243" t="s">
        <v>2394</v>
      </c>
      <c r="AQ1867" s="243" t="s">
        <v>2528</v>
      </c>
      <c r="AR1867" s="243" t="s">
        <v>2528</v>
      </c>
      <c r="AU1867" s="243" t="s">
        <v>2183</v>
      </c>
      <c r="AV1867" s="243" t="s">
        <v>2183</v>
      </c>
      <c r="AW1867" s="243" t="s">
        <v>2389</v>
      </c>
      <c r="AX1867" s="243" t="s">
        <v>2225</v>
      </c>
      <c r="AY1867" s="243" t="s">
        <v>2523</v>
      </c>
      <c r="AZ1867" s="246" t="s">
        <v>2524</v>
      </c>
      <c r="BA1867" s="246" t="s">
        <v>2524</v>
      </c>
      <c r="BB1867" s="246" t="s">
        <v>2524</v>
      </c>
      <c r="BC1867" s="246" t="s">
        <v>2524</v>
      </c>
      <c r="BD1867" s="246" t="s">
        <v>2524</v>
      </c>
      <c r="BE1867" s="246" t="s">
        <v>2524</v>
      </c>
      <c r="BF1867" s="246" t="s">
        <v>2524</v>
      </c>
      <c r="BG1867" s="243" t="s">
        <v>2529</v>
      </c>
      <c r="BH1867" s="243" t="s">
        <v>2529</v>
      </c>
      <c r="BI1867" s="243" t="s">
        <v>2389</v>
      </c>
      <c r="BJ1867" s="243" t="s">
        <v>2225</v>
      </c>
      <c r="BK1867" s="243" t="s">
        <v>2225</v>
      </c>
      <c r="BL1867" s="243" t="s">
        <v>2518</v>
      </c>
      <c r="BM1867" s="243" t="s">
        <v>2437</v>
      </c>
      <c r="BN1867" s="243" t="s">
        <v>2437</v>
      </c>
      <c r="BO1867" s="243" t="s">
        <v>2526</v>
      </c>
      <c r="BP1867" s="246" t="s">
        <v>2530</v>
      </c>
      <c r="BQ1867" s="246" t="s">
        <v>2530</v>
      </c>
      <c r="BR1867" s="246" t="s">
        <v>2530</v>
      </c>
      <c r="BS1867" s="246" t="s">
        <v>2530</v>
      </c>
      <c r="BT1867" s="246" t="s">
        <v>2530</v>
      </c>
      <c r="BU1867" s="246" t="s">
        <v>2530</v>
      </c>
      <c r="BV1867" s="246" t="s">
        <v>2530</v>
      </c>
      <c r="BW1867" s="243" t="s">
        <v>2196</v>
      </c>
      <c r="BX1867" s="243" t="s">
        <v>2426</v>
      </c>
      <c r="CB1867" s="246" t="s">
        <v>2547</v>
      </c>
      <c r="CC1867" s="246" t="s">
        <v>2547</v>
      </c>
      <c r="CD1867" s="246" t="s">
        <v>2547</v>
      </c>
      <c r="CE1867" s="246" t="s">
        <v>2547</v>
      </c>
      <c r="CF1867" s="246" t="s">
        <v>2547</v>
      </c>
      <c r="CG1867" s="246" t="s">
        <v>2547</v>
      </c>
      <c r="CH1867" s="246" t="s">
        <v>2547</v>
      </c>
      <c r="CI1867" s="243" t="s">
        <v>2196</v>
      </c>
      <c r="CJ1867" s="243" t="s">
        <v>2427</v>
      </c>
      <c r="CK1867" s="243" t="s">
        <v>2427</v>
      </c>
      <c r="CL1867" s="243" t="s">
        <v>2427</v>
      </c>
      <c r="CM1867" s="243" t="s">
        <v>2427</v>
      </c>
      <c r="CN1867" s="243" t="s">
        <v>2426</v>
      </c>
      <c r="CO1867" s="243" t="s">
        <v>2426</v>
      </c>
      <c r="CP1867" s="243" t="s">
        <v>2208</v>
      </c>
    </row>
    <row r="1868" spans="1:94">
      <c r="A1868" s="239">
        <v>72488</v>
      </c>
      <c r="B1868" s="239" t="s">
        <v>440</v>
      </c>
      <c r="C1868" s="264" t="s">
        <v>164</v>
      </c>
      <c r="D1868" s="264" t="s">
        <v>441</v>
      </c>
      <c r="E1868" s="264">
        <v>700460807</v>
      </c>
      <c r="F1868" s="239">
        <v>1</v>
      </c>
      <c r="G1868" s="265">
        <v>45860</v>
      </c>
      <c r="H1868" s="239" t="s">
        <v>2536</v>
      </c>
      <c r="I1868" s="308" t="s">
        <v>2196</v>
      </c>
      <c r="J1868" s="245"/>
      <c r="L1868" s="252"/>
      <c r="AH1868" s="243" t="s">
        <v>2183</v>
      </c>
      <c r="AO1868" s="243" t="s">
        <v>2196</v>
      </c>
      <c r="AU1868" s="243" t="s">
        <v>2398</v>
      </c>
      <c r="AV1868" s="243" t="s">
        <v>2517</v>
      </c>
      <c r="AW1868" s="243" t="s">
        <v>2517</v>
      </c>
      <c r="AX1868" s="243" t="s">
        <v>2517</v>
      </c>
      <c r="AY1868" s="243" t="s">
        <v>2517</v>
      </c>
      <c r="AZ1868" s="243" t="s">
        <v>2426</v>
      </c>
      <c r="BA1868" s="243" t="s">
        <v>2426</v>
      </c>
      <c r="BB1868" s="243" t="s">
        <v>2208</v>
      </c>
    </row>
    <row r="1869" spans="1:94" ht="90">
      <c r="A1869" s="239">
        <v>72489</v>
      </c>
      <c r="B1869" s="239" t="s">
        <v>440</v>
      </c>
      <c r="C1869" s="264" t="s">
        <v>164</v>
      </c>
      <c r="D1869" s="264" t="s">
        <v>442</v>
      </c>
      <c r="E1869" s="264">
        <v>700465242</v>
      </c>
      <c r="F1869" s="239">
        <v>1</v>
      </c>
      <c r="G1869" s="265">
        <v>45863</v>
      </c>
      <c r="H1869" s="239" t="s">
        <v>2536</v>
      </c>
      <c r="I1869" s="308" t="s">
        <v>2183</v>
      </c>
      <c r="J1869" s="245"/>
      <c r="L1869" s="252"/>
      <c r="AK1869" s="243" t="s">
        <v>2183</v>
      </c>
      <c r="AQ1869" s="243" t="s">
        <v>2389</v>
      </c>
      <c r="AR1869" s="243" t="s">
        <v>2225</v>
      </c>
      <c r="AS1869" s="246" t="s">
        <v>2551</v>
      </c>
      <c r="AT1869" s="243" t="s">
        <v>2555</v>
      </c>
      <c r="AU1869" s="243" t="s">
        <v>2555</v>
      </c>
      <c r="AV1869" s="243" t="s">
        <v>2556</v>
      </c>
      <c r="AW1869" s="243" t="s">
        <v>2556</v>
      </c>
      <c r="AX1869" s="243" t="s">
        <v>2556</v>
      </c>
      <c r="AY1869" s="243" t="s">
        <v>2556</v>
      </c>
      <c r="AZ1869" s="243" t="s">
        <v>2514</v>
      </c>
      <c r="BA1869" s="243" t="s">
        <v>2514</v>
      </c>
      <c r="BB1869" s="243" t="s">
        <v>2331</v>
      </c>
      <c r="BC1869" s="243" t="s">
        <v>2331</v>
      </c>
      <c r="BD1869" s="243" t="s">
        <v>2331</v>
      </c>
      <c r="BE1869" s="243" t="s">
        <v>2331</v>
      </c>
      <c r="BF1869" s="243" t="s">
        <v>2389</v>
      </c>
      <c r="BG1869" s="243" t="s">
        <v>2553</v>
      </c>
      <c r="BH1869" s="243" t="s">
        <v>2427</v>
      </c>
      <c r="BI1869" s="243" t="s">
        <v>2427</v>
      </c>
      <c r="BJ1869" s="243" t="s">
        <v>2398</v>
      </c>
      <c r="BK1869" s="243" t="s">
        <v>2398</v>
      </c>
      <c r="BL1869" s="243" t="s">
        <v>2426</v>
      </c>
      <c r="BM1869" s="243" t="s">
        <v>2426</v>
      </c>
      <c r="BN1869" s="243" t="s">
        <v>2208</v>
      </c>
    </row>
    <row r="1870" spans="1:94" ht="120">
      <c r="A1870" s="239">
        <v>72490</v>
      </c>
      <c r="B1870" s="239">
        <v>721700</v>
      </c>
      <c r="C1870" s="264" t="s">
        <v>445</v>
      </c>
      <c r="D1870" s="264" t="s">
        <v>444</v>
      </c>
      <c r="E1870" s="264" t="s">
        <v>443</v>
      </c>
      <c r="F1870" s="239" t="s">
        <v>446</v>
      </c>
      <c r="G1870" s="265">
        <v>45898</v>
      </c>
      <c r="H1870" s="239" t="s">
        <v>2498</v>
      </c>
      <c r="I1870" s="313" t="s">
        <v>2495</v>
      </c>
      <c r="J1870" s="245"/>
      <c r="L1870" s="252"/>
      <c r="T1870" s="246"/>
      <c r="AN1870" s="246" t="s">
        <v>2495</v>
      </c>
      <c r="AO1870" s="246" t="s">
        <v>2495</v>
      </c>
      <c r="AP1870" s="246" t="s">
        <v>2495</v>
      </c>
      <c r="AQ1870" s="246" t="s">
        <v>2495</v>
      </c>
      <c r="AR1870" s="246" t="s">
        <v>2495</v>
      </c>
      <c r="AS1870" s="246" t="s">
        <v>2495</v>
      </c>
      <c r="AT1870" s="246" t="s">
        <v>2495</v>
      </c>
      <c r="AU1870" s="243" t="s">
        <v>2196</v>
      </c>
      <c r="AV1870" s="243" t="s">
        <v>2196</v>
      </c>
      <c r="AW1870" s="243" t="s">
        <v>2196</v>
      </c>
      <c r="AX1870" s="243" t="s">
        <v>2196</v>
      </c>
      <c r="AY1870" s="243" t="s">
        <v>2196</v>
      </c>
      <c r="AZ1870" s="243" t="s">
        <v>2196</v>
      </c>
      <c r="BA1870" s="243" t="s">
        <v>2426</v>
      </c>
      <c r="BB1870" s="243" t="s">
        <v>2426</v>
      </c>
      <c r="BC1870" s="243" t="s">
        <v>2426</v>
      </c>
    </row>
    <row r="1871" spans="1:94" ht="120">
      <c r="A1871" s="239">
        <v>72490</v>
      </c>
      <c r="B1871" s="239">
        <v>721700</v>
      </c>
      <c r="C1871" s="264" t="s">
        <v>445</v>
      </c>
      <c r="D1871" s="264" t="s">
        <v>448</v>
      </c>
      <c r="E1871" s="264" t="s">
        <v>447</v>
      </c>
      <c r="F1871" s="239" t="s">
        <v>446</v>
      </c>
      <c r="G1871" s="265">
        <v>45898</v>
      </c>
      <c r="H1871" s="239" t="s">
        <v>2498</v>
      </c>
      <c r="I1871" s="313" t="s">
        <v>2495</v>
      </c>
      <c r="J1871" s="245"/>
      <c r="L1871" s="252"/>
      <c r="AN1871" s="246" t="s">
        <v>2495</v>
      </c>
      <c r="AO1871" s="246" t="s">
        <v>2495</v>
      </c>
      <c r="AP1871" s="246" t="s">
        <v>2495</v>
      </c>
      <c r="AQ1871" s="246" t="s">
        <v>2495</v>
      </c>
      <c r="AR1871" s="246" t="s">
        <v>2495</v>
      </c>
      <c r="AS1871" s="246" t="s">
        <v>2495</v>
      </c>
      <c r="AT1871" s="246" t="s">
        <v>2495</v>
      </c>
      <c r="AU1871" s="243" t="s">
        <v>2196</v>
      </c>
      <c r="AV1871" s="243" t="s">
        <v>2196</v>
      </c>
      <c r="AW1871" s="243" t="s">
        <v>2196</v>
      </c>
      <c r="AX1871" s="243" t="s">
        <v>2196</v>
      </c>
      <c r="AY1871" s="243" t="s">
        <v>2196</v>
      </c>
      <c r="AZ1871" s="243" t="s">
        <v>2196</v>
      </c>
      <c r="BA1871" s="243" t="s">
        <v>2426</v>
      </c>
      <c r="BB1871" s="243" t="s">
        <v>2426</v>
      </c>
      <c r="BC1871" s="243" t="s">
        <v>2426</v>
      </c>
    </row>
    <row r="1872" spans="1:94" ht="120">
      <c r="A1872" s="239">
        <v>72490</v>
      </c>
      <c r="B1872" s="239">
        <v>721700</v>
      </c>
      <c r="C1872" s="264" t="s">
        <v>445</v>
      </c>
      <c r="D1872" s="264" t="s">
        <v>449</v>
      </c>
      <c r="E1872" s="264" t="s">
        <v>447</v>
      </c>
      <c r="F1872" s="239" t="s">
        <v>450</v>
      </c>
      <c r="G1872" s="265">
        <v>45898</v>
      </c>
      <c r="H1872" s="239" t="s">
        <v>2498</v>
      </c>
      <c r="I1872" s="313" t="s">
        <v>2495</v>
      </c>
      <c r="J1872" s="245"/>
      <c r="L1872" s="252"/>
      <c r="AN1872" s="246" t="s">
        <v>2495</v>
      </c>
      <c r="AO1872" s="246" t="s">
        <v>2495</v>
      </c>
      <c r="AP1872" s="246" t="s">
        <v>2495</v>
      </c>
      <c r="AQ1872" s="246" t="s">
        <v>2495</v>
      </c>
      <c r="AR1872" s="246" t="s">
        <v>2495</v>
      </c>
      <c r="AS1872" s="246" t="s">
        <v>2495</v>
      </c>
      <c r="AT1872" s="246" t="s">
        <v>2495</v>
      </c>
      <c r="AU1872" s="243" t="s">
        <v>2196</v>
      </c>
      <c r="AV1872" s="243" t="s">
        <v>2196</v>
      </c>
      <c r="AW1872" s="243" t="s">
        <v>2196</v>
      </c>
      <c r="AX1872" s="243" t="s">
        <v>2196</v>
      </c>
      <c r="AY1872" s="243" t="s">
        <v>2196</v>
      </c>
      <c r="AZ1872" s="243" t="s">
        <v>2196</v>
      </c>
      <c r="BA1872" s="243" t="s">
        <v>2426</v>
      </c>
      <c r="BB1872" s="243" t="s">
        <v>2426</v>
      </c>
      <c r="BC1872" s="243" t="s">
        <v>2426</v>
      </c>
    </row>
    <row r="1873" spans="1:99">
      <c r="A1873" s="239">
        <v>72491</v>
      </c>
      <c r="B1873" s="261">
        <v>1114013</v>
      </c>
      <c r="C1873" s="262" t="s">
        <v>453</v>
      </c>
      <c r="D1873" s="262" t="s">
        <v>452</v>
      </c>
      <c r="E1873" s="262" t="s">
        <v>451</v>
      </c>
      <c r="F1873" s="261">
        <v>1</v>
      </c>
      <c r="G1873" s="263">
        <v>45884</v>
      </c>
      <c r="H1873" s="261"/>
      <c r="I1873" s="308" t="s">
        <v>2151</v>
      </c>
      <c r="J1873" s="245"/>
      <c r="L1873" s="252"/>
    </row>
    <row r="1874" spans="1:99">
      <c r="A1874" s="239">
        <v>72492</v>
      </c>
      <c r="B1874" s="261" t="s">
        <v>454</v>
      </c>
      <c r="C1874" s="262" t="s">
        <v>164</v>
      </c>
      <c r="D1874" s="262" t="s">
        <v>455</v>
      </c>
      <c r="E1874" s="262">
        <v>700614242</v>
      </c>
      <c r="F1874" s="261">
        <v>4</v>
      </c>
      <c r="G1874" s="263">
        <v>45859</v>
      </c>
      <c r="H1874" s="261"/>
      <c r="I1874" s="308" t="s">
        <v>2208</v>
      </c>
      <c r="J1874" s="245"/>
      <c r="L1874" s="252"/>
      <c r="X1874" s="243" t="s">
        <v>2196</v>
      </c>
      <c r="AQ1874" s="243" t="s">
        <v>2577</v>
      </c>
      <c r="AR1874" s="243" t="s">
        <v>2225</v>
      </c>
      <c r="AS1874" s="243" t="s">
        <v>2225</v>
      </c>
      <c r="AT1874" s="243" t="s">
        <v>2426</v>
      </c>
      <c r="AU1874" s="243" t="s">
        <v>2426</v>
      </c>
      <c r="AV1874" s="243" t="s">
        <v>2208</v>
      </c>
    </row>
    <row r="1875" spans="1:99">
      <c r="A1875" s="239">
        <v>72493</v>
      </c>
      <c r="B1875" s="239" t="s">
        <v>454</v>
      </c>
      <c r="C1875" s="264" t="s">
        <v>164</v>
      </c>
      <c r="D1875" s="264" t="s">
        <v>456</v>
      </c>
      <c r="E1875" s="264">
        <v>700470628</v>
      </c>
      <c r="F1875" s="239">
        <v>2</v>
      </c>
      <c r="G1875" s="265">
        <v>45859</v>
      </c>
      <c r="H1875" s="357" t="s">
        <v>3286</v>
      </c>
      <c r="I1875" s="308" t="s">
        <v>2225</v>
      </c>
      <c r="J1875" s="245"/>
      <c r="L1875" s="252"/>
      <c r="AQ1875" s="243" t="s">
        <v>2196</v>
      </c>
      <c r="AR1875" s="243" t="s">
        <v>2625</v>
      </c>
      <c r="AS1875" s="243" t="s">
        <v>2394</v>
      </c>
      <c r="AT1875" s="243" t="s">
        <v>2340</v>
      </c>
      <c r="AU1875" s="243" t="s">
        <v>2340</v>
      </c>
      <c r="AV1875" s="243" t="s">
        <v>2331</v>
      </c>
      <c r="AW1875" s="243" t="s">
        <v>2331</v>
      </c>
      <c r="AX1875" s="243" t="s">
        <v>2389</v>
      </c>
      <c r="AY1875" s="243" t="s">
        <v>2225</v>
      </c>
      <c r="AZ1875" s="243" t="s">
        <v>2225</v>
      </c>
      <c r="BA1875" s="243" t="s">
        <v>2426</v>
      </c>
      <c r="BB1875" s="243" t="s">
        <v>2426</v>
      </c>
      <c r="BC1875" s="243" t="s">
        <v>2208</v>
      </c>
      <c r="CJ1875" s="243" t="s">
        <v>2225</v>
      </c>
      <c r="CK1875" s="243" t="s">
        <v>3090</v>
      </c>
      <c r="CL1875" s="243" t="s">
        <v>2208</v>
      </c>
    </row>
    <row r="1876" spans="1:99" ht="60">
      <c r="A1876" s="239">
        <v>72495</v>
      </c>
      <c r="B1876" s="261" t="s">
        <v>457</v>
      </c>
      <c r="C1876" s="262" t="s">
        <v>164</v>
      </c>
      <c r="D1876" s="262" t="s">
        <v>458</v>
      </c>
      <c r="E1876" s="262">
        <v>700657767</v>
      </c>
      <c r="F1876" s="261">
        <v>1</v>
      </c>
      <c r="G1876" s="263">
        <v>45875</v>
      </c>
      <c r="H1876" s="261" t="s">
        <v>2744</v>
      </c>
      <c r="I1876" s="308" t="s">
        <v>2208</v>
      </c>
      <c r="J1876" s="245"/>
      <c r="L1876" s="252"/>
      <c r="AJ1876" s="243" t="s">
        <v>2331</v>
      </c>
      <c r="AL1876" s="243" t="s">
        <v>2183</v>
      </c>
      <c r="AQ1876" s="243" t="s">
        <v>2514</v>
      </c>
      <c r="AR1876" s="243" t="s">
        <v>2389</v>
      </c>
      <c r="AS1876" s="243" t="s">
        <v>2225</v>
      </c>
      <c r="AT1876" s="246" t="s">
        <v>2554</v>
      </c>
      <c r="AU1876" s="246" t="s">
        <v>2554</v>
      </c>
      <c r="AV1876" s="246" t="s">
        <v>2554</v>
      </c>
      <c r="AW1876" s="246" t="s">
        <v>2554</v>
      </c>
      <c r="AX1876" s="246" t="s">
        <v>2554</v>
      </c>
      <c r="AY1876" s="246" t="s">
        <v>2554</v>
      </c>
      <c r="AZ1876" s="246" t="s">
        <v>2554</v>
      </c>
      <c r="BA1876" s="243" t="s">
        <v>2196</v>
      </c>
      <c r="BB1876" s="243" t="s">
        <v>2196</v>
      </c>
      <c r="BD1876" s="243" t="s">
        <v>2196</v>
      </c>
      <c r="BI1876" s="243" t="s">
        <v>2225</v>
      </c>
      <c r="BJ1876" s="243" t="s">
        <v>2225</v>
      </c>
      <c r="BK1876" s="243" t="s">
        <v>2426</v>
      </c>
    </row>
    <row r="1877" spans="1:99">
      <c r="A1877" s="239">
        <v>72496</v>
      </c>
      <c r="B1877" s="261">
        <v>3739266</v>
      </c>
      <c r="C1877" s="262" t="s">
        <v>49</v>
      </c>
      <c r="D1877" s="262" t="s">
        <v>460</v>
      </c>
      <c r="E1877" s="262" t="s">
        <v>459</v>
      </c>
      <c r="F1877" s="261">
        <v>2</v>
      </c>
      <c r="G1877" s="263">
        <v>45855</v>
      </c>
      <c r="H1877" s="261"/>
      <c r="I1877" s="308" t="s">
        <v>2151</v>
      </c>
      <c r="J1877" s="245"/>
      <c r="L1877" s="252"/>
    </row>
    <row r="1878" spans="1:99" ht="120">
      <c r="A1878" s="239">
        <v>72497</v>
      </c>
      <c r="B1878" s="239">
        <v>721701</v>
      </c>
      <c r="C1878" s="264" t="s">
        <v>445</v>
      </c>
      <c r="D1878" s="264" t="s">
        <v>462</v>
      </c>
      <c r="E1878" s="264" t="s">
        <v>461</v>
      </c>
      <c r="F1878" s="239">
        <v>170</v>
      </c>
      <c r="G1878" s="265">
        <v>45951</v>
      </c>
      <c r="H1878" s="239" t="s">
        <v>2498</v>
      </c>
      <c r="I1878" s="308" t="s">
        <v>2184</v>
      </c>
      <c r="J1878" s="245"/>
      <c r="L1878" s="252"/>
      <c r="CE1878" s="246" t="s">
        <v>2509</v>
      </c>
      <c r="CF1878" s="246" t="s">
        <v>2509</v>
      </c>
      <c r="CG1878" s="246" t="s">
        <v>2509</v>
      </c>
      <c r="CH1878" s="246" t="s">
        <v>2509</v>
      </c>
      <c r="CI1878" s="246" t="s">
        <v>2509</v>
      </c>
      <c r="CJ1878" s="246" t="s">
        <v>2509</v>
      </c>
      <c r="CK1878" s="246" t="s">
        <v>2509</v>
      </c>
      <c r="CL1878" s="243" t="s">
        <v>2196</v>
      </c>
      <c r="CM1878" s="243" t="s">
        <v>2196</v>
      </c>
      <c r="CN1878" s="243" t="s">
        <v>2196</v>
      </c>
      <c r="CO1878" s="243" t="s">
        <v>2225</v>
      </c>
      <c r="CP1878" s="243" t="s">
        <v>2225</v>
      </c>
      <c r="CQ1878" s="243" t="s">
        <v>2225</v>
      </c>
      <c r="CR1878" s="243" t="s">
        <v>2426</v>
      </c>
      <c r="CS1878" s="243" t="s">
        <v>2426</v>
      </c>
      <c r="CT1878" s="243" t="s">
        <v>2426</v>
      </c>
      <c r="CU1878" s="243" t="s">
        <v>2208</v>
      </c>
    </row>
    <row r="1879" spans="1:99" ht="120">
      <c r="A1879" s="239">
        <v>72498</v>
      </c>
      <c r="B1879" s="239">
        <v>721701</v>
      </c>
      <c r="C1879" s="264" t="s">
        <v>445</v>
      </c>
      <c r="D1879" s="264" t="s">
        <v>464</v>
      </c>
      <c r="E1879" s="264" t="s">
        <v>463</v>
      </c>
      <c r="F1879" s="239">
        <v>170</v>
      </c>
      <c r="G1879" s="265">
        <v>45951</v>
      </c>
      <c r="H1879" s="239" t="s">
        <v>2498</v>
      </c>
      <c r="I1879" s="308" t="s">
        <v>2184</v>
      </c>
      <c r="J1879" s="245"/>
      <c r="L1879" s="251"/>
      <c r="CE1879" s="246" t="s">
        <v>2509</v>
      </c>
      <c r="CF1879" s="246" t="s">
        <v>2509</v>
      </c>
      <c r="CG1879" s="246" t="s">
        <v>2509</v>
      </c>
      <c r="CH1879" s="246" t="s">
        <v>2509</v>
      </c>
      <c r="CI1879" s="246" t="s">
        <v>2509</v>
      </c>
      <c r="CJ1879" s="246" t="s">
        <v>2509</v>
      </c>
      <c r="CK1879" s="246" t="s">
        <v>2509</v>
      </c>
      <c r="CL1879" s="243" t="s">
        <v>2196</v>
      </c>
      <c r="CM1879" s="243" t="s">
        <v>2196</v>
      </c>
      <c r="CN1879" s="243" t="s">
        <v>2196</v>
      </c>
      <c r="CO1879" s="243" t="s">
        <v>2225</v>
      </c>
      <c r="CP1879" s="243" t="s">
        <v>2225</v>
      </c>
      <c r="CQ1879" s="243" t="s">
        <v>2225</v>
      </c>
      <c r="CR1879" s="243" t="s">
        <v>2426</v>
      </c>
      <c r="CS1879" s="243" t="s">
        <v>2426</v>
      </c>
      <c r="CT1879" s="243" t="s">
        <v>2426</v>
      </c>
      <c r="CU1879" s="243" t="s">
        <v>2208</v>
      </c>
    </row>
    <row r="1880" spans="1:99" ht="120">
      <c r="A1880" s="239">
        <v>72499</v>
      </c>
      <c r="B1880" s="239">
        <v>721701</v>
      </c>
      <c r="C1880" s="264" t="s">
        <v>445</v>
      </c>
      <c r="D1880" s="264" t="s">
        <v>466</v>
      </c>
      <c r="E1880" s="264" t="s">
        <v>465</v>
      </c>
      <c r="F1880" s="239">
        <v>350</v>
      </c>
      <c r="G1880" s="265">
        <v>45951</v>
      </c>
      <c r="H1880" s="239" t="s">
        <v>2498</v>
      </c>
      <c r="I1880" s="308" t="s">
        <v>2184</v>
      </c>
      <c r="J1880" s="245"/>
      <c r="L1880" s="252"/>
      <c r="CE1880" s="246" t="s">
        <v>2509</v>
      </c>
      <c r="CF1880" s="246" t="s">
        <v>2509</v>
      </c>
      <c r="CG1880" s="246" t="s">
        <v>2509</v>
      </c>
      <c r="CH1880" s="246" t="s">
        <v>2509</v>
      </c>
      <c r="CI1880" s="246" t="s">
        <v>2509</v>
      </c>
      <c r="CJ1880" s="246" t="s">
        <v>2509</v>
      </c>
      <c r="CK1880" s="246" t="s">
        <v>2509</v>
      </c>
      <c r="CL1880" s="243" t="s">
        <v>2196</v>
      </c>
      <c r="CM1880" s="243" t="s">
        <v>2196</v>
      </c>
      <c r="CN1880" s="243" t="s">
        <v>2196</v>
      </c>
      <c r="CO1880" s="243" t="s">
        <v>2225</v>
      </c>
      <c r="CP1880" s="243" t="s">
        <v>2225</v>
      </c>
      <c r="CQ1880" s="243" t="s">
        <v>2225</v>
      </c>
      <c r="CR1880" s="243" t="s">
        <v>2426</v>
      </c>
      <c r="CS1880" s="243" t="s">
        <v>2426</v>
      </c>
      <c r="CT1880" s="243" t="s">
        <v>2426</v>
      </c>
      <c r="CU1880" s="243" t="s">
        <v>2208</v>
      </c>
    </row>
    <row r="1881" spans="1:99" ht="120">
      <c r="A1881" s="239">
        <v>72500</v>
      </c>
      <c r="B1881" s="239">
        <v>721701</v>
      </c>
      <c r="C1881" s="264" t="s">
        <v>445</v>
      </c>
      <c r="D1881" s="264" t="s">
        <v>468</v>
      </c>
      <c r="E1881" s="264" t="s">
        <v>467</v>
      </c>
      <c r="F1881" s="239">
        <v>170</v>
      </c>
      <c r="G1881" s="265">
        <v>45951</v>
      </c>
      <c r="H1881" s="239" t="s">
        <v>2498</v>
      </c>
      <c r="I1881" s="308" t="s">
        <v>2184</v>
      </c>
      <c r="J1881" s="245"/>
      <c r="L1881" s="252"/>
      <c r="CE1881" s="246" t="s">
        <v>2509</v>
      </c>
      <c r="CF1881" s="246" t="s">
        <v>2509</v>
      </c>
      <c r="CG1881" s="246" t="s">
        <v>2509</v>
      </c>
      <c r="CH1881" s="246" t="s">
        <v>2509</v>
      </c>
      <c r="CI1881" s="246" t="s">
        <v>2509</v>
      </c>
      <c r="CJ1881" s="246" t="s">
        <v>2509</v>
      </c>
      <c r="CK1881" s="246" t="s">
        <v>2509</v>
      </c>
      <c r="CL1881" s="243" t="s">
        <v>2196</v>
      </c>
      <c r="CM1881" s="243" t="s">
        <v>2196</v>
      </c>
      <c r="CN1881" s="243" t="s">
        <v>2196</v>
      </c>
      <c r="CO1881" s="243" t="s">
        <v>2225</v>
      </c>
      <c r="CP1881" s="243" t="s">
        <v>2225</v>
      </c>
      <c r="CQ1881" s="243" t="s">
        <v>2225</v>
      </c>
      <c r="CR1881" s="243" t="s">
        <v>2426</v>
      </c>
      <c r="CS1881" s="243" t="s">
        <v>2426</v>
      </c>
      <c r="CT1881" s="243" t="s">
        <v>2426</v>
      </c>
      <c r="CU1881" s="243" t="s">
        <v>2208</v>
      </c>
    </row>
    <row r="1882" spans="1:99">
      <c r="A1882" s="239">
        <v>72501</v>
      </c>
      <c r="B1882" s="239">
        <v>721701</v>
      </c>
      <c r="C1882" s="264" t="s">
        <v>445</v>
      </c>
      <c r="D1882" s="264" t="s">
        <v>470</v>
      </c>
      <c r="E1882" s="264" t="s">
        <v>469</v>
      </c>
      <c r="F1882" s="239">
        <v>350</v>
      </c>
      <c r="G1882" s="265">
        <v>45951</v>
      </c>
      <c r="H1882" s="239"/>
      <c r="I1882" s="308"/>
      <c r="J1882" s="245"/>
      <c r="L1882" s="252"/>
    </row>
    <row r="1883" spans="1:99" ht="120">
      <c r="A1883" s="239">
        <v>72502</v>
      </c>
      <c r="B1883" s="239">
        <v>721701</v>
      </c>
      <c r="C1883" s="264" t="s">
        <v>445</v>
      </c>
      <c r="D1883" s="264" t="s">
        <v>464</v>
      </c>
      <c r="E1883" s="264" t="s">
        <v>471</v>
      </c>
      <c r="F1883" s="239">
        <v>180</v>
      </c>
      <c r="G1883" s="265">
        <v>45951</v>
      </c>
      <c r="H1883" s="239" t="s">
        <v>2498</v>
      </c>
      <c r="I1883" s="308" t="s">
        <v>2184</v>
      </c>
      <c r="J1883" s="245"/>
      <c r="L1883" s="252"/>
      <c r="CE1883" s="246" t="s">
        <v>2509</v>
      </c>
      <c r="CF1883" s="246" t="s">
        <v>2509</v>
      </c>
      <c r="CG1883" s="246" t="s">
        <v>2509</v>
      </c>
      <c r="CH1883" s="246" t="s">
        <v>2509</v>
      </c>
      <c r="CI1883" s="246" t="s">
        <v>2509</v>
      </c>
      <c r="CJ1883" s="246" t="s">
        <v>2509</v>
      </c>
      <c r="CK1883" s="246" t="s">
        <v>2509</v>
      </c>
      <c r="CL1883" s="243" t="s">
        <v>2196</v>
      </c>
      <c r="CM1883" s="243" t="s">
        <v>2196</v>
      </c>
      <c r="CN1883" s="243" t="s">
        <v>2196</v>
      </c>
      <c r="CO1883" s="243" t="s">
        <v>2225</v>
      </c>
      <c r="CP1883" s="243" t="s">
        <v>2225</v>
      </c>
      <c r="CQ1883" s="243" t="s">
        <v>2225</v>
      </c>
      <c r="CR1883" s="243" t="s">
        <v>2426</v>
      </c>
      <c r="CS1883" s="243" t="s">
        <v>2426</v>
      </c>
      <c r="CT1883" s="243" t="s">
        <v>2426</v>
      </c>
      <c r="CU1883" s="243" t="s">
        <v>2208</v>
      </c>
    </row>
    <row r="1884" spans="1:99" ht="120">
      <c r="A1884" s="239">
        <v>72503</v>
      </c>
      <c r="B1884" s="239">
        <v>721701</v>
      </c>
      <c r="C1884" s="264" t="s">
        <v>445</v>
      </c>
      <c r="D1884" s="264" t="s">
        <v>462</v>
      </c>
      <c r="E1884" s="264" t="s">
        <v>472</v>
      </c>
      <c r="F1884" s="239">
        <v>180</v>
      </c>
      <c r="G1884" s="265">
        <v>45951</v>
      </c>
      <c r="H1884" s="239" t="s">
        <v>2498</v>
      </c>
      <c r="I1884" s="308" t="s">
        <v>2184</v>
      </c>
      <c r="J1884" s="245"/>
      <c r="L1884" s="252"/>
      <c r="CE1884" s="246" t="s">
        <v>2509</v>
      </c>
      <c r="CF1884" s="246" t="s">
        <v>2509</v>
      </c>
      <c r="CG1884" s="246" t="s">
        <v>2509</v>
      </c>
      <c r="CH1884" s="246" t="s">
        <v>2509</v>
      </c>
      <c r="CI1884" s="246" t="s">
        <v>2509</v>
      </c>
      <c r="CJ1884" s="246" t="s">
        <v>2509</v>
      </c>
      <c r="CK1884" s="246" t="s">
        <v>2509</v>
      </c>
      <c r="CL1884" s="243" t="s">
        <v>2196</v>
      </c>
      <c r="CM1884" s="243" t="s">
        <v>2196</v>
      </c>
      <c r="CN1884" s="243" t="s">
        <v>2196</v>
      </c>
      <c r="CO1884" s="243" t="s">
        <v>2225</v>
      </c>
      <c r="CP1884" s="243" t="s">
        <v>2225</v>
      </c>
      <c r="CQ1884" s="243" t="s">
        <v>2225</v>
      </c>
      <c r="CR1884" s="243" t="s">
        <v>2426</v>
      </c>
      <c r="CS1884" s="243" t="s">
        <v>2426</v>
      </c>
      <c r="CT1884" s="243" t="s">
        <v>2426</v>
      </c>
      <c r="CU1884" s="243" t="s">
        <v>2208</v>
      </c>
    </row>
    <row r="1885" spans="1:99" ht="120">
      <c r="A1885" s="239">
        <v>72504</v>
      </c>
      <c r="B1885" s="239">
        <v>721704</v>
      </c>
      <c r="C1885" s="264" t="s">
        <v>445</v>
      </c>
      <c r="D1885" s="264" t="s">
        <v>474</v>
      </c>
      <c r="E1885" s="264" t="s">
        <v>473</v>
      </c>
      <c r="F1885" s="239">
        <v>350</v>
      </c>
      <c r="G1885" s="265">
        <v>45951</v>
      </c>
      <c r="H1885" s="239" t="s">
        <v>2498</v>
      </c>
      <c r="I1885" s="308" t="s">
        <v>2184</v>
      </c>
      <c r="J1885" s="245"/>
      <c r="L1885" s="252"/>
      <c r="CE1885" s="246" t="s">
        <v>2509</v>
      </c>
      <c r="CF1885" s="246" t="s">
        <v>2509</v>
      </c>
      <c r="CG1885" s="246" t="s">
        <v>2509</v>
      </c>
      <c r="CH1885" s="246" t="s">
        <v>2509</v>
      </c>
      <c r="CI1885" s="246" t="s">
        <v>2509</v>
      </c>
      <c r="CJ1885" s="246" t="s">
        <v>2509</v>
      </c>
      <c r="CK1885" s="246" t="s">
        <v>2509</v>
      </c>
      <c r="CL1885" s="243" t="s">
        <v>2196</v>
      </c>
      <c r="CM1885" s="243" t="s">
        <v>2196</v>
      </c>
      <c r="CN1885" s="243" t="s">
        <v>2196</v>
      </c>
      <c r="CO1885" s="243" t="s">
        <v>2225</v>
      </c>
      <c r="CP1885" s="243" t="s">
        <v>2225</v>
      </c>
      <c r="CQ1885" s="243" t="s">
        <v>2225</v>
      </c>
      <c r="CR1885" s="243" t="s">
        <v>2426</v>
      </c>
      <c r="CS1885" s="243" t="s">
        <v>2426</v>
      </c>
      <c r="CT1885" s="243" t="s">
        <v>2426</v>
      </c>
      <c r="CU1885" s="243" t="s">
        <v>2208</v>
      </c>
    </row>
    <row r="1886" spans="1:99" ht="120">
      <c r="A1886" s="239">
        <v>72505</v>
      </c>
      <c r="B1886" s="239">
        <v>721704</v>
      </c>
      <c r="C1886" s="264" t="s">
        <v>445</v>
      </c>
      <c r="D1886" s="264" t="s">
        <v>476</v>
      </c>
      <c r="E1886" s="264" t="s">
        <v>475</v>
      </c>
      <c r="F1886" s="239" t="s">
        <v>477</v>
      </c>
      <c r="G1886" s="265">
        <v>45951</v>
      </c>
      <c r="H1886" s="239" t="s">
        <v>2498</v>
      </c>
      <c r="I1886" s="308" t="s">
        <v>2184</v>
      </c>
      <c r="J1886" s="245"/>
      <c r="L1886" s="252"/>
      <c r="CE1886" s="246" t="s">
        <v>2509</v>
      </c>
      <c r="CF1886" s="246" t="s">
        <v>2509</v>
      </c>
      <c r="CG1886" s="246" t="s">
        <v>2509</v>
      </c>
      <c r="CH1886" s="246" t="s">
        <v>2509</v>
      </c>
      <c r="CI1886" s="246" t="s">
        <v>2509</v>
      </c>
      <c r="CJ1886" s="246" t="s">
        <v>2509</v>
      </c>
      <c r="CK1886" s="246" t="s">
        <v>2509</v>
      </c>
      <c r="CL1886" s="243" t="s">
        <v>2196</v>
      </c>
      <c r="CM1886" s="243" t="s">
        <v>2196</v>
      </c>
      <c r="CN1886" s="243" t="s">
        <v>2196</v>
      </c>
      <c r="CO1886" s="243" t="s">
        <v>2225</v>
      </c>
      <c r="CP1886" s="243" t="s">
        <v>2225</v>
      </c>
      <c r="CQ1886" s="243" t="s">
        <v>2225</v>
      </c>
      <c r="CR1886" s="243" t="s">
        <v>2426</v>
      </c>
      <c r="CS1886" s="243" t="s">
        <v>2426</v>
      </c>
      <c r="CT1886" s="243" t="s">
        <v>2426</v>
      </c>
      <c r="CU1886" s="243" t="s">
        <v>2208</v>
      </c>
    </row>
    <row r="1887" spans="1:99">
      <c r="A1887" s="239">
        <v>72506</v>
      </c>
      <c r="B1887" s="239">
        <v>721704</v>
      </c>
      <c r="C1887" s="264" t="s">
        <v>445</v>
      </c>
      <c r="D1887" s="264" t="s">
        <v>479</v>
      </c>
      <c r="E1887" s="264" t="s">
        <v>478</v>
      </c>
      <c r="F1887" s="239">
        <v>170</v>
      </c>
      <c r="G1887" s="265">
        <v>45951</v>
      </c>
      <c r="H1887" s="239" t="s">
        <v>2498</v>
      </c>
      <c r="I1887" s="308" t="s">
        <v>2184</v>
      </c>
      <c r="J1887" s="245"/>
      <c r="L1887" s="252"/>
    </row>
    <row r="1888" spans="1:99" ht="120">
      <c r="A1888" s="239">
        <v>72507</v>
      </c>
      <c r="B1888" s="239">
        <v>721704</v>
      </c>
      <c r="C1888" s="264" t="s">
        <v>445</v>
      </c>
      <c r="D1888" s="264" t="s">
        <v>481</v>
      </c>
      <c r="E1888" s="264" t="s">
        <v>480</v>
      </c>
      <c r="F1888" s="239">
        <v>170</v>
      </c>
      <c r="G1888" s="265">
        <v>45951</v>
      </c>
      <c r="H1888" s="303" t="s">
        <v>3284</v>
      </c>
      <c r="I1888" s="308" t="s">
        <v>2184</v>
      </c>
      <c r="J1888" s="245"/>
      <c r="L1888" s="252"/>
      <c r="CE1888" s="246" t="s">
        <v>2509</v>
      </c>
      <c r="CF1888" s="246" t="s">
        <v>2509</v>
      </c>
      <c r="CG1888" s="246" t="s">
        <v>2509</v>
      </c>
      <c r="CH1888" s="246" t="s">
        <v>2509</v>
      </c>
      <c r="CI1888" s="246" t="s">
        <v>2509</v>
      </c>
      <c r="CJ1888" s="246" t="s">
        <v>2509</v>
      </c>
      <c r="CK1888" s="246" t="s">
        <v>2509</v>
      </c>
      <c r="CL1888" s="243" t="s">
        <v>2196</v>
      </c>
      <c r="CM1888" s="243" t="s">
        <v>2196</v>
      </c>
      <c r="CN1888" s="243" t="s">
        <v>2196</v>
      </c>
      <c r="CO1888" s="243" t="s">
        <v>2225</v>
      </c>
      <c r="CP1888" s="243" t="s">
        <v>2225</v>
      </c>
      <c r="CQ1888" s="243" t="s">
        <v>2225</v>
      </c>
      <c r="CR1888" s="243" t="s">
        <v>2426</v>
      </c>
      <c r="CS1888" s="243" t="s">
        <v>2426</v>
      </c>
      <c r="CT1888" s="243" t="s">
        <v>2426</v>
      </c>
      <c r="CU1888" s="243" t="s">
        <v>2208</v>
      </c>
    </row>
    <row r="1889" spans="1:99" ht="120">
      <c r="A1889" s="239">
        <v>72508</v>
      </c>
      <c r="B1889" s="239">
        <v>721704</v>
      </c>
      <c r="C1889" s="264" t="s">
        <v>445</v>
      </c>
      <c r="D1889" s="264" t="s">
        <v>483</v>
      </c>
      <c r="E1889" s="264" t="s">
        <v>482</v>
      </c>
      <c r="F1889" s="239">
        <v>340</v>
      </c>
      <c r="G1889" s="265">
        <v>45951</v>
      </c>
      <c r="H1889" s="239" t="s">
        <v>2498</v>
      </c>
      <c r="I1889" s="308" t="s">
        <v>2184</v>
      </c>
      <c r="J1889" s="245"/>
      <c r="L1889" s="252"/>
      <c r="CE1889" s="246" t="s">
        <v>2509</v>
      </c>
      <c r="CF1889" s="246" t="s">
        <v>2509</v>
      </c>
      <c r="CG1889" s="246" t="s">
        <v>2509</v>
      </c>
      <c r="CH1889" s="246" t="s">
        <v>2509</v>
      </c>
      <c r="CI1889" s="246" t="s">
        <v>2509</v>
      </c>
      <c r="CJ1889" s="246" t="s">
        <v>2509</v>
      </c>
      <c r="CK1889" s="246" t="s">
        <v>2509</v>
      </c>
      <c r="CL1889" s="243" t="s">
        <v>2196</v>
      </c>
      <c r="CM1889" s="243" t="s">
        <v>2196</v>
      </c>
      <c r="CN1889" s="243" t="s">
        <v>2196</v>
      </c>
      <c r="CO1889" s="243" t="s">
        <v>2225</v>
      </c>
      <c r="CP1889" s="243" t="s">
        <v>2225</v>
      </c>
      <c r="CQ1889" s="243" t="s">
        <v>2225</v>
      </c>
      <c r="CR1889" s="243" t="s">
        <v>2426</v>
      </c>
      <c r="CS1889" s="243" t="s">
        <v>2426</v>
      </c>
      <c r="CT1889" s="243" t="s">
        <v>2426</v>
      </c>
      <c r="CU1889" s="243" t="s">
        <v>2208</v>
      </c>
    </row>
    <row r="1890" spans="1:99" ht="120">
      <c r="A1890" s="239">
        <v>72509</v>
      </c>
      <c r="B1890" s="239">
        <v>721704</v>
      </c>
      <c r="C1890" s="264" t="s">
        <v>445</v>
      </c>
      <c r="D1890" s="264" t="s">
        <v>485</v>
      </c>
      <c r="E1890" s="264" t="s">
        <v>484</v>
      </c>
      <c r="F1890" s="239">
        <v>690</v>
      </c>
      <c r="G1890" s="265">
        <v>45951</v>
      </c>
      <c r="H1890" s="239" t="s">
        <v>2498</v>
      </c>
      <c r="I1890" s="308" t="s">
        <v>2184</v>
      </c>
      <c r="J1890" s="245"/>
      <c r="L1890" s="252"/>
      <c r="CE1890" s="246" t="s">
        <v>2509</v>
      </c>
      <c r="CF1890" s="246" t="s">
        <v>2509</v>
      </c>
      <c r="CG1890" s="246" t="s">
        <v>2509</v>
      </c>
      <c r="CH1890" s="246" t="s">
        <v>2509</v>
      </c>
      <c r="CI1890" s="246" t="s">
        <v>2509</v>
      </c>
      <c r="CJ1890" s="246" t="s">
        <v>2509</v>
      </c>
      <c r="CK1890" s="246" t="s">
        <v>2509</v>
      </c>
      <c r="CL1890" s="243" t="s">
        <v>2196</v>
      </c>
      <c r="CM1890" s="243" t="s">
        <v>2196</v>
      </c>
      <c r="CN1890" s="243" t="s">
        <v>2196</v>
      </c>
      <c r="CO1890" s="243" t="s">
        <v>2225</v>
      </c>
      <c r="CP1890" s="243" t="s">
        <v>2225</v>
      </c>
      <c r="CQ1890" s="243" t="s">
        <v>2225</v>
      </c>
      <c r="CR1890" s="243" t="s">
        <v>2426</v>
      </c>
      <c r="CS1890" s="243" t="s">
        <v>2426</v>
      </c>
      <c r="CT1890" s="243" t="s">
        <v>2426</v>
      </c>
      <c r="CU1890" s="243" t="s">
        <v>2208</v>
      </c>
    </row>
    <row r="1891" spans="1:99" ht="120">
      <c r="A1891" s="239">
        <v>72510</v>
      </c>
      <c r="B1891" s="239">
        <v>721704</v>
      </c>
      <c r="C1891" s="264" t="s">
        <v>445</v>
      </c>
      <c r="D1891" s="264" t="s">
        <v>485</v>
      </c>
      <c r="E1891" s="264" t="s">
        <v>486</v>
      </c>
      <c r="F1891" s="239">
        <v>350</v>
      </c>
      <c r="G1891" s="265">
        <v>45951</v>
      </c>
      <c r="H1891" s="239" t="s">
        <v>2498</v>
      </c>
      <c r="I1891" s="308" t="s">
        <v>2184</v>
      </c>
      <c r="J1891" s="245"/>
      <c r="L1891" s="252"/>
      <c r="CE1891" s="246" t="s">
        <v>2509</v>
      </c>
      <c r="CF1891" s="246" t="s">
        <v>2509</v>
      </c>
      <c r="CG1891" s="246" t="s">
        <v>2509</v>
      </c>
      <c r="CH1891" s="246" t="s">
        <v>2509</v>
      </c>
      <c r="CI1891" s="246" t="s">
        <v>2509</v>
      </c>
      <c r="CJ1891" s="246" t="s">
        <v>2509</v>
      </c>
      <c r="CK1891" s="246" t="s">
        <v>2509</v>
      </c>
      <c r="CL1891" s="243" t="s">
        <v>2196</v>
      </c>
      <c r="CM1891" s="243" t="s">
        <v>2196</v>
      </c>
      <c r="CN1891" s="243" t="s">
        <v>2196</v>
      </c>
      <c r="CO1891" s="243" t="s">
        <v>2225</v>
      </c>
      <c r="CP1891" s="243" t="s">
        <v>2225</v>
      </c>
      <c r="CQ1891" s="243" t="s">
        <v>2225</v>
      </c>
      <c r="CR1891" s="243" t="s">
        <v>2426</v>
      </c>
      <c r="CS1891" s="243" t="s">
        <v>2426</v>
      </c>
      <c r="CT1891" s="243" t="s">
        <v>2426</v>
      </c>
      <c r="CU1891" s="243" t="s">
        <v>2208</v>
      </c>
    </row>
    <row r="1892" spans="1:99" ht="120">
      <c r="A1892" s="239">
        <v>72511</v>
      </c>
      <c r="B1892" s="239">
        <v>721704</v>
      </c>
      <c r="C1892" s="264" t="s">
        <v>445</v>
      </c>
      <c r="D1892" s="264" t="s">
        <v>488</v>
      </c>
      <c r="E1892" s="264" t="s">
        <v>487</v>
      </c>
      <c r="F1892" s="239" t="s">
        <v>489</v>
      </c>
      <c r="G1892" s="265">
        <v>45951</v>
      </c>
      <c r="H1892" s="239" t="s">
        <v>2498</v>
      </c>
      <c r="I1892" s="308" t="s">
        <v>2184</v>
      </c>
      <c r="J1892" s="245"/>
      <c r="L1892" s="252"/>
      <c r="CE1892" s="246" t="s">
        <v>2509</v>
      </c>
      <c r="CF1892" s="246" t="s">
        <v>2509</v>
      </c>
      <c r="CG1892" s="246" t="s">
        <v>2509</v>
      </c>
      <c r="CH1892" s="246" t="s">
        <v>2509</v>
      </c>
      <c r="CI1892" s="246" t="s">
        <v>2509</v>
      </c>
      <c r="CJ1892" s="246" t="s">
        <v>2509</v>
      </c>
      <c r="CK1892" s="246" t="s">
        <v>2509</v>
      </c>
      <c r="CL1892" s="243" t="s">
        <v>2196</v>
      </c>
      <c r="CM1892" s="243" t="s">
        <v>2196</v>
      </c>
      <c r="CN1892" s="243" t="s">
        <v>2196</v>
      </c>
      <c r="CO1892" s="243" t="s">
        <v>2225</v>
      </c>
      <c r="CP1892" s="243" t="s">
        <v>2225</v>
      </c>
      <c r="CQ1892" s="243" t="s">
        <v>2225</v>
      </c>
      <c r="CR1892" s="243" t="s">
        <v>2426</v>
      </c>
      <c r="CS1892" s="243" t="s">
        <v>2426</v>
      </c>
      <c r="CT1892" s="243" t="s">
        <v>2426</v>
      </c>
      <c r="CU1892" s="243" t="s">
        <v>2208</v>
      </c>
    </row>
    <row r="1893" spans="1:99" ht="120">
      <c r="A1893" s="239">
        <v>72512</v>
      </c>
      <c r="B1893" s="239">
        <v>721704</v>
      </c>
      <c r="C1893" s="264" t="s">
        <v>445</v>
      </c>
      <c r="D1893" s="264" t="s">
        <v>491</v>
      </c>
      <c r="E1893" s="264" t="s">
        <v>490</v>
      </c>
      <c r="F1893" s="239">
        <v>1380</v>
      </c>
      <c r="G1893" s="265">
        <v>45951</v>
      </c>
      <c r="H1893" s="239" t="s">
        <v>2498</v>
      </c>
      <c r="I1893" s="308" t="s">
        <v>2184</v>
      </c>
      <c r="J1893" s="245"/>
      <c r="L1893" s="252"/>
      <c r="CE1893" s="246" t="s">
        <v>2509</v>
      </c>
      <c r="CF1893" s="246" t="s">
        <v>2509</v>
      </c>
      <c r="CG1893" s="246" t="s">
        <v>2509</v>
      </c>
      <c r="CH1893" s="246" t="s">
        <v>2509</v>
      </c>
      <c r="CI1893" s="246" t="s">
        <v>2509</v>
      </c>
      <c r="CJ1893" s="246" t="s">
        <v>2509</v>
      </c>
      <c r="CK1893" s="246" t="s">
        <v>2509</v>
      </c>
      <c r="CL1893" s="243" t="s">
        <v>2196</v>
      </c>
      <c r="CM1893" s="243" t="s">
        <v>2196</v>
      </c>
      <c r="CN1893" s="243" t="s">
        <v>2196</v>
      </c>
      <c r="CO1893" s="243" t="s">
        <v>2225</v>
      </c>
      <c r="CP1893" s="243" t="s">
        <v>2225</v>
      </c>
      <c r="CQ1893" s="243" t="s">
        <v>2225</v>
      </c>
      <c r="CR1893" s="243" t="s">
        <v>2426</v>
      </c>
      <c r="CS1893" s="243" t="s">
        <v>2426</v>
      </c>
      <c r="CT1893" s="243" t="s">
        <v>2426</v>
      </c>
      <c r="CU1893" s="243" t="s">
        <v>2208</v>
      </c>
    </row>
    <row r="1894" spans="1:99" ht="120">
      <c r="A1894" s="239">
        <v>72513</v>
      </c>
      <c r="B1894" s="239">
        <v>721704</v>
      </c>
      <c r="C1894" s="264" t="s">
        <v>445</v>
      </c>
      <c r="D1894" s="264" t="s">
        <v>493</v>
      </c>
      <c r="E1894" s="264" t="s">
        <v>492</v>
      </c>
      <c r="F1894" s="239">
        <v>350</v>
      </c>
      <c r="G1894" s="265">
        <v>45951</v>
      </c>
      <c r="H1894" s="239" t="s">
        <v>3283</v>
      </c>
      <c r="I1894" s="308" t="s">
        <v>2184</v>
      </c>
      <c r="J1894" s="245"/>
      <c r="L1894" s="252"/>
      <c r="CE1894" s="246" t="s">
        <v>2509</v>
      </c>
      <c r="CF1894" s="246" t="s">
        <v>2509</v>
      </c>
      <c r="CG1894" s="246" t="s">
        <v>2509</v>
      </c>
      <c r="CH1894" s="246" t="s">
        <v>2509</v>
      </c>
      <c r="CI1894" s="246" t="s">
        <v>2509</v>
      </c>
      <c r="CJ1894" s="246" t="s">
        <v>2509</v>
      </c>
      <c r="CK1894" s="246" t="s">
        <v>2509</v>
      </c>
      <c r="CL1894" s="243" t="s">
        <v>2196</v>
      </c>
      <c r="CM1894" s="243" t="s">
        <v>2196</v>
      </c>
      <c r="CN1894" s="243" t="s">
        <v>2196</v>
      </c>
      <c r="CO1894" s="243" t="s">
        <v>2225</v>
      </c>
      <c r="CP1894" s="243" t="s">
        <v>2225</v>
      </c>
      <c r="CQ1894" s="243" t="s">
        <v>2225</v>
      </c>
      <c r="CR1894" s="243" t="s">
        <v>2426</v>
      </c>
      <c r="CS1894" s="243" t="s">
        <v>2426</v>
      </c>
      <c r="CT1894" s="243" t="s">
        <v>2426</v>
      </c>
      <c r="CU1894" s="243" t="s">
        <v>2208</v>
      </c>
    </row>
    <row r="1895" spans="1:99" ht="120">
      <c r="A1895" s="239">
        <v>72514</v>
      </c>
      <c r="B1895" s="239">
        <v>721733</v>
      </c>
      <c r="C1895" s="264" t="s">
        <v>445</v>
      </c>
      <c r="D1895" s="264" t="s">
        <v>495</v>
      </c>
      <c r="E1895" s="264" t="s">
        <v>494</v>
      </c>
      <c r="F1895" s="239">
        <v>350</v>
      </c>
      <c r="G1895" s="265">
        <v>45951</v>
      </c>
      <c r="H1895" s="303" t="s">
        <v>3285</v>
      </c>
      <c r="I1895" s="308" t="s">
        <v>2184</v>
      </c>
      <c r="J1895" s="245"/>
      <c r="L1895" s="252"/>
      <c r="CH1895" s="246" t="s">
        <v>2509</v>
      </c>
      <c r="CI1895" s="246" t="s">
        <v>2509</v>
      </c>
      <c r="CJ1895" s="246" t="s">
        <v>2509</v>
      </c>
      <c r="CK1895" s="246" t="s">
        <v>2509</v>
      </c>
      <c r="CL1895" s="243" t="s">
        <v>2196</v>
      </c>
      <c r="CM1895" s="243" t="s">
        <v>2196</v>
      </c>
      <c r="CN1895" s="243" t="s">
        <v>2196</v>
      </c>
      <c r="CO1895" s="243" t="s">
        <v>2225</v>
      </c>
      <c r="CP1895" s="243" t="s">
        <v>2225</v>
      </c>
      <c r="CQ1895" s="243" t="s">
        <v>2225</v>
      </c>
      <c r="CR1895" s="243" t="s">
        <v>2426</v>
      </c>
      <c r="CS1895" s="243" t="s">
        <v>2426</v>
      </c>
      <c r="CT1895" s="243" t="s">
        <v>2426</v>
      </c>
      <c r="CU1895" s="243" t="s">
        <v>2208</v>
      </c>
    </row>
    <row r="1896" spans="1:99">
      <c r="A1896" s="239">
        <v>72515</v>
      </c>
      <c r="B1896" s="239">
        <v>721733</v>
      </c>
      <c r="C1896" s="264" t="s">
        <v>445</v>
      </c>
      <c r="D1896" s="264" t="s">
        <v>497</v>
      </c>
      <c r="E1896" s="264" t="s">
        <v>496</v>
      </c>
      <c r="F1896" s="239">
        <v>170</v>
      </c>
      <c r="G1896" s="265">
        <v>45951</v>
      </c>
      <c r="H1896" s="239"/>
      <c r="I1896" s="308" t="s">
        <v>2184</v>
      </c>
      <c r="J1896" s="245"/>
      <c r="L1896" s="252"/>
    </row>
    <row r="1897" spans="1:99">
      <c r="A1897" s="239">
        <v>72516</v>
      </c>
      <c r="B1897" s="239">
        <v>721733</v>
      </c>
      <c r="C1897" s="264" t="s">
        <v>445</v>
      </c>
      <c r="D1897" s="264" t="s">
        <v>497</v>
      </c>
      <c r="E1897" s="264" t="s">
        <v>498</v>
      </c>
      <c r="F1897" s="239">
        <v>180</v>
      </c>
      <c r="G1897" s="265">
        <v>45951</v>
      </c>
      <c r="H1897" s="239"/>
      <c r="I1897" s="308" t="s">
        <v>2184</v>
      </c>
      <c r="J1897" s="245"/>
      <c r="L1897" s="252"/>
    </row>
    <row r="1898" spans="1:99">
      <c r="A1898" s="239">
        <v>72517</v>
      </c>
      <c r="B1898" s="280" t="s">
        <v>499</v>
      </c>
      <c r="C1898" s="281" t="s">
        <v>20</v>
      </c>
      <c r="D1898" s="281" t="s">
        <v>501</v>
      </c>
      <c r="E1898" s="281" t="s">
        <v>500</v>
      </c>
      <c r="F1898" s="280">
        <v>3</v>
      </c>
      <c r="G1898" s="282">
        <v>45978</v>
      </c>
      <c r="H1898" s="280"/>
      <c r="I1898" s="308" t="s">
        <v>2186</v>
      </c>
      <c r="J1898" s="245"/>
      <c r="L1898" s="252"/>
    </row>
    <row r="1899" spans="1:99">
      <c r="A1899" s="239"/>
      <c r="B1899" s="239"/>
      <c r="C1899" s="264"/>
      <c r="D1899" s="264" t="s">
        <v>610</v>
      </c>
      <c r="E1899" s="264" t="s">
        <v>611</v>
      </c>
      <c r="F1899" s="239">
        <v>3</v>
      </c>
      <c r="G1899" s="265">
        <v>45978</v>
      </c>
      <c r="H1899" s="239"/>
      <c r="I1899" s="308" t="s">
        <v>2201</v>
      </c>
      <c r="J1899" s="245" t="s">
        <v>2201</v>
      </c>
      <c r="L1899" s="252"/>
    </row>
    <row r="1900" spans="1:99">
      <c r="A1900" s="239"/>
      <c r="B1900" s="239"/>
      <c r="C1900" s="264"/>
      <c r="D1900" s="284" t="s">
        <v>673</v>
      </c>
      <c r="E1900" s="284" t="s">
        <v>2355</v>
      </c>
      <c r="F1900" s="285">
        <v>3</v>
      </c>
      <c r="G1900" s="286">
        <v>45978</v>
      </c>
      <c r="H1900" s="285"/>
      <c r="I1900" s="308" t="s">
        <v>2196</v>
      </c>
      <c r="J1900" s="245"/>
      <c r="L1900" s="252"/>
      <c r="Z1900" s="243" t="s">
        <v>2196</v>
      </c>
    </row>
    <row r="1901" spans="1:99">
      <c r="A1901" s="239"/>
      <c r="B1901" s="239"/>
      <c r="C1901" s="264"/>
      <c r="D1901" s="264" t="s">
        <v>2356</v>
      </c>
      <c r="E1901" s="264" t="s">
        <v>2357</v>
      </c>
      <c r="F1901" s="239">
        <v>3</v>
      </c>
      <c r="G1901" s="265"/>
      <c r="H1901" s="239"/>
      <c r="I1901" s="308" t="s">
        <v>2358</v>
      </c>
      <c r="J1901" s="245"/>
      <c r="L1901" s="252"/>
      <c r="AF1901" s="243" t="s">
        <v>2358</v>
      </c>
    </row>
    <row r="1902" spans="1:99">
      <c r="A1902" s="239"/>
      <c r="B1902" s="239"/>
      <c r="C1902" s="264"/>
      <c r="D1902" s="264"/>
      <c r="E1902" s="264"/>
      <c r="F1902" s="239"/>
      <c r="G1902" s="265"/>
      <c r="H1902" s="239"/>
      <c r="I1902" s="308"/>
      <c r="J1902" s="245"/>
      <c r="L1902" s="252"/>
    </row>
    <row r="1903" spans="1:99">
      <c r="A1903" s="239"/>
      <c r="B1903" s="239"/>
      <c r="C1903" s="264"/>
      <c r="D1903" s="264" t="s">
        <v>612</v>
      </c>
      <c r="E1903" s="264" t="s">
        <v>613</v>
      </c>
      <c r="F1903" s="239">
        <v>3</v>
      </c>
      <c r="G1903" s="265">
        <v>45978</v>
      </c>
      <c r="H1903" s="239"/>
      <c r="I1903" s="308" t="s">
        <v>2199</v>
      </c>
      <c r="J1903" s="245"/>
      <c r="L1903" s="252"/>
    </row>
    <row r="1904" spans="1:99">
      <c r="A1904" s="239"/>
      <c r="B1904" s="239"/>
      <c r="C1904" s="264"/>
      <c r="D1904" s="264" t="s">
        <v>614</v>
      </c>
      <c r="E1904" s="264" t="s">
        <v>615</v>
      </c>
      <c r="F1904" s="239">
        <v>3</v>
      </c>
      <c r="G1904" s="265">
        <v>45978</v>
      </c>
      <c r="H1904" s="239"/>
      <c r="I1904" s="308" t="s">
        <v>2394</v>
      </c>
      <c r="J1904" s="245"/>
      <c r="L1904" s="252"/>
      <c r="AZ1904" s="243" t="s">
        <v>2394</v>
      </c>
      <c r="BJ1904" s="243" t="s">
        <v>2340</v>
      </c>
      <c r="BK1904" s="243" t="s">
        <v>2340</v>
      </c>
      <c r="BL1904" s="243" t="s">
        <v>2331</v>
      </c>
      <c r="BM1904" s="243" t="s">
        <v>2331</v>
      </c>
      <c r="BN1904" s="243" t="s">
        <v>2389</v>
      </c>
      <c r="BO1904" s="243" t="s">
        <v>2427</v>
      </c>
      <c r="BP1904" s="243" t="s">
        <v>2427</v>
      </c>
    </row>
    <row r="1905" spans="1:68">
      <c r="A1905" s="239"/>
      <c r="B1905" s="239"/>
      <c r="C1905" s="264"/>
      <c r="D1905" s="264" t="s">
        <v>616</v>
      </c>
      <c r="E1905" s="264" t="s">
        <v>617</v>
      </c>
      <c r="F1905" s="239">
        <v>3</v>
      </c>
      <c r="G1905" s="265">
        <v>45978</v>
      </c>
      <c r="H1905" s="239"/>
      <c r="I1905" s="308"/>
      <c r="J1905" s="245"/>
      <c r="L1905" s="252"/>
    </row>
    <row r="1906" spans="1:68">
      <c r="A1906" s="239"/>
      <c r="B1906" s="239"/>
      <c r="C1906" s="264"/>
      <c r="D1906" s="264" t="s">
        <v>618</v>
      </c>
      <c r="E1906" s="264" t="s">
        <v>619</v>
      </c>
      <c r="F1906" s="239">
        <v>3</v>
      </c>
      <c r="G1906" s="265">
        <v>45978</v>
      </c>
      <c r="H1906" s="239" t="s">
        <v>2498</v>
      </c>
      <c r="I1906" s="308" t="s">
        <v>2244</v>
      </c>
      <c r="J1906" s="245"/>
      <c r="L1906" s="252"/>
      <c r="AI1906" s="243" t="s">
        <v>2244</v>
      </c>
    </row>
    <row r="1907" spans="1:68">
      <c r="A1907" s="239"/>
      <c r="B1907" s="239"/>
      <c r="C1907" s="264"/>
      <c r="D1907" s="264" t="s">
        <v>620</v>
      </c>
      <c r="E1907" s="264" t="s">
        <v>621</v>
      </c>
      <c r="F1907" s="239">
        <v>3</v>
      </c>
      <c r="G1907" s="265">
        <v>45978</v>
      </c>
      <c r="H1907" s="239"/>
      <c r="I1907" s="308" t="s">
        <v>2340</v>
      </c>
      <c r="J1907" s="245"/>
      <c r="L1907" s="252"/>
      <c r="AH1907" s="243" t="s">
        <v>2340</v>
      </c>
    </row>
    <row r="1908" spans="1:68">
      <c r="A1908" s="239"/>
      <c r="B1908" s="239"/>
      <c r="C1908" s="264"/>
      <c r="D1908" s="264" t="s">
        <v>622</v>
      </c>
      <c r="E1908" s="264" t="s">
        <v>623</v>
      </c>
      <c r="F1908" s="239">
        <v>3</v>
      </c>
      <c r="G1908" s="265">
        <v>45978</v>
      </c>
      <c r="H1908" s="239"/>
      <c r="I1908" s="308" t="s">
        <v>2246</v>
      </c>
      <c r="J1908" s="245"/>
      <c r="L1908" s="252"/>
      <c r="AI1908" s="243" t="s">
        <v>2246</v>
      </c>
    </row>
    <row r="1909" spans="1:68">
      <c r="A1909" s="239"/>
      <c r="B1909" s="239"/>
      <c r="C1909" s="264"/>
      <c r="D1909" s="264" t="s">
        <v>624</v>
      </c>
      <c r="E1909" s="264" t="s">
        <v>625</v>
      </c>
      <c r="F1909" s="239">
        <v>3</v>
      </c>
      <c r="G1909" s="265">
        <v>45978</v>
      </c>
      <c r="H1909" s="239"/>
      <c r="I1909" s="308" t="s">
        <v>2384</v>
      </c>
      <c r="J1909" s="245"/>
      <c r="L1909" s="252"/>
      <c r="AI1909" s="243" t="s">
        <v>2383</v>
      </c>
    </row>
    <row r="1910" spans="1:68">
      <c r="A1910" s="239"/>
      <c r="B1910" s="239"/>
      <c r="C1910" s="264"/>
      <c r="D1910" s="264" t="s">
        <v>626</v>
      </c>
      <c r="E1910" s="264" t="s">
        <v>627</v>
      </c>
      <c r="F1910" s="239">
        <v>3</v>
      </c>
      <c r="G1910" s="265">
        <v>45978</v>
      </c>
      <c r="H1910" s="239"/>
      <c r="I1910" s="308" t="s">
        <v>2196</v>
      </c>
      <c r="J1910" s="245"/>
      <c r="L1910" s="252"/>
      <c r="Z1910" s="243" t="s">
        <v>2201</v>
      </c>
    </row>
    <row r="1911" spans="1:68">
      <c r="A1911" s="239"/>
      <c r="B1911" s="239"/>
      <c r="C1911" s="264"/>
      <c r="D1911" s="264" t="s">
        <v>628</v>
      </c>
      <c r="E1911" s="264" t="s">
        <v>629</v>
      </c>
      <c r="F1911" s="239">
        <v>3</v>
      </c>
      <c r="G1911" s="265">
        <v>45978</v>
      </c>
      <c r="H1911" s="239"/>
      <c r="I1911" s="308" t="s">
        <v>2394</v>
      </c>
      <c r="J1911" s="245"/>
      <c r="L1911" s="252"/>
      <c r="AZ1911" s="243" t="s">
        <v>2394</v>
      </c>
      <c r="BK1911" s="243" t="s">
        <v>2340</v>
      </c>
      <c r="BL1911" s="243" t="s">
        <v>2340</v>
      </c>
      <c r="BM1911" s="243" t="s">
        <v>2389</v>
      </c>
      <c r="BN1911" s="243" t="s">
        <v>2427</v>
      </c>
      <c r="BO1911" s="243" t="s">
        <v>2427</v>
      </c>
    </row>
    <row r="1912" spans="1:68">
      <c r="A1912" s="239"/>
      <c r="B1912" s="239"/>
      <c r="C1912" s="264"/>
      <c r="D1912" s="264" t="s">
        <v>630</v>
      </c>
      <c r="E1912" s="264" t="s">
        <v>631</v>
      </c>
      <c r="F1912" s="239">
        <v>3</v>
      </c>
      <c r="G1912" s="265">
        <v>45978</v>
      </c>
      <c r="H1912" s="239"/>
      <c r="I1912" s="308" t="s">
        <v>2199</v>
      </c>
      <c r="J1912" s="245"/>
      <c r="L1912" s="252"/>
    </row>
    <row r="1913" spans="1:68">
      <c r="A1913" s="239"/>
      <c r="B1913" s="239"/>
      <c r="C1913" s="264"/>
      <c r="D1913" s="264" t="s">
        <v>632</v>
      </c>
      <c r="E1913" s="264" t="s">
        <v>633</v>
      </c>
      <c r="F1913" s="239">
        <v>3</v>
      </c>
      <c r="G1913" s="265">
        <v>45978</v>
      </c>
      <c r="H1913" s="239"/>
      <c r="I1913" s="308" t="s">
        <v>2340</v>
      </c>
      <c r="J1913" s="245"/>
      <c r="L1913" s="252"/>
      <c r="BH1913" s="243" t="s">
        <v>2340</v>
      </c>
      <c r="BI1913" s="243" t="s">
        <v>2340</v>
      </c>
      <c r="BJ1913" s="243" t="s">
        <v>2331</v>
      </c>
      <c r="BK1913" s="243" t="s">
        <v>2331</v>
      </c>
      <c r="BL1913" s="243" t="s">
        <v>2389</v>
      </c>
      <c r="BM1913" s="243" t="s">
        <v>2437</v>
      </c>
      <c r="BN1913" s="243" t="s">
        <v>2437</v>
      </c>
      <c r="BO1913" s="243" t="s">
        <v>2427</v>
      </c>
      <c r="BP1913" s="243" t="s">
        <v>2427</v>
      </c>
    </row>
    <row r="1914" spans="1:68">
      <c r="A1914" s="239"/>
      <c r="B1914" s="239"/>
      <c r="C1914" s="264"/>
      <c r="D1914" s="264" t="s">
        <v>632</v>
      </c>
      <c r="E1914" s="264" t="s">
        <v>634</v>
      </c>
      <c r="F1914" s="239">
        <v>3</v>
      </c>
      <c r="G1914" s="265">
        <v>45978</v>
      </c>
      <c r="H1914" s="239" t="s">
        <v>2819</v>
      </c>
      <c r="I1914" s="308" t="s">
        <v>2340</v>
      </c>
      <c r="J1914" s="245"/>
      <c r="L1914" s="252"/>
      <c r="BH1914" s="243" t="s">
        <v>2340</v>
      </c>
      <c r="BI1914" s="243" t="s">
        <v>2331</v>
      </c>
      <c r="BJ1914" s="243" t="s">
        <v>2331</v>
      </c>
      <c r="BK1914" s="243" t="s">
        <v>2417</v>
      </c>
      <c r="BL1914" s="243" t="s">
        <v>2417</v>
      </c>
      <c r="BM1914" s="243" t="s">
        <v>2389</v>
      </c>
      <c r="BN1914" s="243" t="s">
        <v>2427</v>
      </c>
      <c r="BO1914" s="243" t="s">
        <v>2427</v>
      </c>
    </row>
    <row r="1915" spans="1:68">
      <c r="A1915" s="239"/>
      <c r="B1915" s="239"/>
      <c r="C1915" s="264"/>
      <c r="D1915" s="264" t="s">
        <v>635</v>
      </c>
      <c r="E1915" s="264" t="s">
        <v>636</v>
      </c>
      <c r="F1915" s="239">
        <v>3</v>
      </c>
      <c r="G1915" s="265">
        <v>45978</v>
      </c>
      <c r="H1915" s="239"/>
      <c r="I1915" s="308" t="s">
        <v>2394</v>
      </c>
      <c r="J1915" s="245"/>
      <c r="L1915" s="252"/>
      <c r="AZ1915" s="243" t="s">
        <v>2394</v>
      </c>
      <c r="BK1915" s="243" t="s">
        <v>2340</v>
      </c>
      <c r="BL1915" s="243" t="s">
        <v>2340</v>
      </c>
      <c r="BM1915" s="243" t="s">
        <v>2389</v>
      </c>
      <c r="BN1915" s="243" t="s">
        <v>2427</v>
      </c>
      <c r="BO1915" s="243" t="s">
        <v>2427</v>
      </c>
    </row>
    <row r="1916" spans="1:68">
      <c r="A1916" s="239"/>
      <c r="B1916" s="239"/>
      <c r="C1916" s="264"/>
      <c r="D1916" s="264" t="s">
        <v>622</v>
      </c>
      <c r="E1916" s="264" t="s">
        <v>637</v>
      </c>
      <c r="F1916" s="239">
        <v>3</v>
      </c>
      <c r="G1916" s="265">
        <v>45978</v>
      </c>
      <c r="H1916" s="239"/>
      <c r="I1916" s="308"/>
      <c r="J1916" s="245"/>
      <c r="L1916" s="252"/>
    </row>
    <row r="1917" spans="1:68">
      <c r="A1917" s="239"/>
      <c r="B1917" s="239"/>
      <c r="C1917" s="264"/>
      <c r="D1917" s="264" t="s">
        <v>626</v>
      </c>
      <c r="E1917" s="264" t="s">
        <v>638</v>
      </c>
      <c r="F1917" s="239">
        <v>3</v>
      </c>
      <c r="G1917" s="265">
        <v>45978</v>
      </c>
      <c r="H1917" s="239"/>
      <c r="I1917" s="308"/>
      <c r="J1917" s="245"/>
      <c r="L1917" s="252"/>
    </row>
    <row r="1918" spans="1:68">
      <c r="A1918" s="239"/>
      <c r="B1918" s="239"/>
      <c r="C1918" s="264"/>
      <c r="D1918" s="264" t="s">
        <v>626</v>
      </c>
      <c r="E1918" s="264" t="s">
        <v>639</v>
      </c>
      <c r="F1918" s="239">
        <v>3</v>
      </c>
      <c r="G1918" s="265">
        <v>45978</v>
      </c>
      <c r="H1918" s="239"/>
      <c r="I1918" s="308" t="s">
        <v>2340</v>
      </c>
      <c r="J1918" s="245"/>
      <c r="L1918" s="252"/>
      <c r="AZ1918" s="243" t="s">
        <v>2340</v>
      </c>
      <c r="BA1918" s="243" t="s">
        <v>2182</v>
      </c>
      <c r="BB1918" s="243" t="s">
        <v>2182</v>
      </c>
      <c r="BC1918" s="243" t="s">
        <v>2389</v>
      </c>
      <c r="BD1918" s="243" t="s">
        <v>2389</v>
      </c>
      <c r="BE1918" s="243" t="s">
        <v>2895</v>
      </c>
      <c r="BF1918" s="243" t="s">
        <v>2427</v>
      </c>
    </row>
    <row r="1919" spans="1:68">
      <c r="A1919" s="239"/>
      <c r="B1919" s="239"/>
      <c r="C1919" s="264"/>
      <c r="D1919" s="264" t="s">
        <v>640</v>
      </c>
      <c r="E1919" s="264" t="s">
        <v>641</v>
      </c>
      <c r="F1919" s="239">
        <v>3</v>
      </c>
      <c r="G1919" s="265">
        <v>45978</v>
      </c>
      <c r="H1919" s="239"/>
      <c r="I1919" s="308" t="s">
        <v>2248</v>
      </c>
      <c r="J1919" s="245"/>
      <c r="L1919" s="252"/>
      <c r="AC1919" s="243" t="s">
        <v>2248</v>
      </c>
    </row>
    <row r="1920" spans="1:68">
      <c r="A1920" s="239"/>
      <c r="B1920" s="239"/>
      <c r="C1920" s="264"/>
      <c r="D1920" s="264" t="s">
        <v>642</v>
      </c>
      <c r="E1920" s="264" t="s">
        <v>643</v>
      </c>
      <c r="F1920" s="239">
        <v>3</v>
      </c>
      <c r="G1920" s="265">
        <v>45978</v>
      </c>
      <c r="H1920" s="239"/>
      <c r="I1920" s="308" t="s">
        <v>2335</v>
      </c>
      <c r="J1920" s="245"/>
      <c r="L1920" s="252"/>
      <c r="AC1920" s="243" t="s">
        <v>2335</v>
      </c>
    </row>
    <row r="1921" spans="1:32">
      <c r="A1921" s="239"/>
      <c r="B1921" s="239"/>
      <c r="C1921" s="264"/>
      <c r="D1921" s="264" t="s">
        <v>644</v>
      </c>
      <c r="E1921" s="264" t="s">
        <v>645</v>
      </c>
      <c r="F1921" s="239">
        <v>3</v>
      </c>
      <c r="G1921" s="265">
        <v>45978</v>
      </c>
      <c r="H1921" s="239"/>
      <c r="I1921" s="308" t="s">
        <v>2331</v>
      </c>
      <c r="J1921" s="245"/>
      <c r="L1921" s="252"/>
      <c r="AC1921" s="243" t="s">
        <v>2331</v>
      </c>
    </row>
    <row r="1922" spans="1:32">
      <c r="A1922" s="239"/>
      <c r="B1922" s="239"/>
      <c r="C1922" s="264"/>
      <c r="D1922" s="264" t="s">
        <v>646</v>
      </c>
      <c r="E1922" s="264" t="s">
        <v>647</v>
      </c>
      <c r="F1922" s="239">
        <v>3</v>
      </c>
      <c r="G1922" s="265">
        <v>45978</v>
      </c>
      <c r="H1922" s="239"/>
      <c r="I1922" s="308"/>
      <c r="J1922" s="245"/>
      <c r="L1922" s="252"/>
    </row>
    <row r="1923" spans="1:32">
      <c r="A1923" s="239"/>
      <c r="B1923" s="239"/>
      <c r="C1923" s="264"/>
      <c r="D1923" s="264" t="s">
        <v>648</v>
      </c>
      <c r="E1923" s="264" t="s">
        <v>649</v>
      </c>
      <c r="F1923" s="239">
        <v>3</v>
      </c>
      <c r="G1923" s="265">
        <v>45978</v>
      </c>
      <c r="H1923" s="239"/>
      <c r="I1923" s="308" t="s">
        <v>2196</v>
      </c>
      <c r="J1923" s="245" t="s">
        <v>2201</v>
      </c>
      <c r="L1923" s="252"/>
    </row>
    <row r="1924" spans="1:32">
      <c r="A1924" s="239"/>
      <c r="B1924" s="239"/>
      <c r="C1924" s="264"/>
      <c r="D1924" s="264" t="s">
        <v>650</v>
      </c>
      <c r="E1924" s="264" t="s">
        <v>651</v>
      </c>
      <c r="F1924" s="239">
        <v>3</v>
      </c>
      <c r="G1924" s="265">
        <v>45978</v>
      </c>
      <c r="H1924" s="239"/>
      <c r="I1924" s="308" t="s">
        <v>2338</v>
      </c>
      <c r="J1924" s="245"/>
      <c r="L1924" s="252"/>
      <c r="AE1924" s="243" t="s">
        <v>2338</v>
      </c>
    </row>
    <row r="1925" spans="1:32">
      <c r="A1925" s="239"/>
      <c r="B1925" s="239"/>
      <c r="C1925" s="264"/>
      <c r="D1925" s="264" t="s">
        <v>652</v>
      </c>
      <c r="E1925" s="264" t="s">
        <v>653</v>
      </c>
      <c r="F1925" s="239">
        <v>3</v>
      </c>
      <c r="G1925" s="265">
        <v>45978</v>
      </c>
      <c r="H1925" s="239"/>
      <c r="I1925" s="308" t="s">
        <v>2338</v>
      </c>
      <c r="J1925" s="245"/>
      <c r="L1925" s="252"/>
      <c r="AE1925" s="243" t="s">
        <v>2338</v>
      </c>
    </row>
    <row r="1926" spans="1:32">
      <c r="A1926" s="239"/>
      <c r="B1926" s="239"/>
      <c r="C1926" s="264"/>
      <c r="D1926" s="264" t="s">
        <v>654</v>
      </c>
      <c r="E1926" s="264" t="s">
        <v>655</v>
      </c>
      <c r="F1926" s="239">
        <v>3</v>
      </c>
      <c r="G1926" s="265">
        <v>45978</v>
      </c>
      <c r="H1926" s="239"/>
      <c r="I1926" s="308" t="s">
        <v>2196</v>
      </c>
      <c r="J1926" s="245" t="s">
        <v>2201</v>
      </c>
      <c r="L1926" s="252"/>
    </row>
    <row r="1927" spans="1:32">
      <c r="A1927" s="239"/>
      <c r="B1927" s="239"/>
      <c r="C1927" s="264"/>
      <c r="D1927" s="264" t="s">
        <v>656</v>
      </c>
      <c r="E1927" s="264" t="s">
        <v>657</v>
      </c>
      <c r="F1927" s="239">
        <v>3</v>
      </c>
      <c r="G1927" s="265">
        <v>45978</v>
      </c>
      <c r="H1927" s="239"/>
      <c r="I1927" s="308" t="s">
        <v>2196</v>
      </c>
      <c r="J1927" s="245" t="s">
        <v>2201</v>
      </c>
      <c r="L1927" s="252"/>
    </row>
    <row r="1928" spans="1:32">
      <c r="A1928" s="239"/>
      <c r="B1928" s="239"/>
      <c r="C1928" s="264"/>
      <c r="D1928" s="264" t="s">
        <v>658</v>
      </c>
      <c r="E1928" s="264" t="s">
        <v>659</v>
      </c>
      <c r="F1928" s="239">
        <v>3</v>
      </c>
      <c r="G1928" s="265">
        <v>45978</v>
      </c>
      <c r="H1928" s="239"/>
      <c r="I1928" s="308" t="s">
        <v>2196</v>
      </c>
      <c r="J1928" s="245" t="s">
        <v>2201</v>
      </c>
      <c r="L1928" s="252"/>
    </row>
    <row r="1929" spans="1:32">
      <c r="A1929" s="239"/>
      <c r="B1929" s="239"/>
      <c r="C1929" s="264"/>
      <c r="D1929" s="264" t="s">
        <v>660</v>
      </c>
      <c r="E1929" s="264" t="s">
        <v>661</v>
      </c>
      <c r="F1929" s="239">
        <v>3</v>
      </c>
      <c r="G1929" s="265">
        <v>45978</v>
      </c>
      <c r="H1929" s="239"/>
      <c r="I1929" s="308" t="s">
        <v>2331</v>
      </c>
      <c r="J1929" s="245"/>
      <c r="L1929" s="252"/>
      <c r="AE1929" s="243" t="s">
        <v>2331</v>
      </c>
    </row>
    <row r="1930" spans="1:32">
      <c r="A1930" s="239"/>
      <c r="B1930" s="239"/>
      <c r="C1930" s="264"/>
      <c r="D1930" s="264" t="s">
        <v>662</v>
      </c>
      <c r="E1930" s="264" t="s">
        <v>663</v>
      </c>
      <c r="F1930" s="239">
        <v>6</v>
      </c>
      <c r="G1930" s="265">
        <v>45978</v>
      </c>
      <c r="H1930" s="239"/>
      <c r="I1930" s="308"/>
      <c r="J1930" s="245"/>
      <c r="L1930" s="252"/>
    </row>
    <row r="1931" spans="1:32">
      <c r="A1931" s="239"/>
      <c r="B1931" s="239"/>
      <c r="C1931" s="264"/>
      <c r="D1931" s="264" t="s">
        <v>664</v>
      </c>
      <c r="E1931" s="264" t="s">
        <v>665</v>
      </c>
      <c r="F1931" s="239">
        <v>6</v>
      </c>
      <c r="G1931" s="265">
        <v>45978</v>
      </c>
      <c r="H1931" s="239"/>
      <c r="I1931" s="308"/>
      <c r="J1931" s="245"/>
      <c r="L1931" s="252"/>
    </row>
    <row r="1932" spans="1:32">
      <c r="A1932" s="239"/>
      <c r="B1932" s="239"/>
      <c r="C1932" s="264"/>
      <c r="D1932" s="264" t="s">
        <v>646</v>
      </c>
      <c r="E1932" s="264" t="s">
        <v>666</v>
      </c>
      <c r="F1932" s="239">
        <v>3</v>
      </c>
      <c r="G1932" s="265">
        <v>45978</v>
      </c>
      <c r="H1932" s="239"/>
      <c r="I1932" s="308"/>
      <c r="J1932" s="245"/>
      <c r="L1932" s="252"/>
    </row>
    <row r="1933" spans="1:32">
      <c r="A1933" s="239"/>
      <c r="B1933" s="239"/>
      <c r="C1933" s="264"/>
      <c r="D1933" s="264" t="s">
        <v>667</v>
      </c>
      <c r="E1933" s="264" t="s">
        <v>668</v>
      </c>
      <c r="F1933" s="239">
        <v>3</v>
      </c>
      <c r="G1933" s="265">
        <v>45978</v>
      </c>
      <c r="H1933" s="239"/>
      <c r="I1933" s="308"/>
      <c r="J1933" s="245"/>
      <c r="L1933" s="252"/>
    </row>
    <row r="1934" spans="1:32">
      <c r="A1934" s="239"/>
      <c r="B1934" s="239"/>
      <c r="C1934" s="264"/>
      <c r="D1934" s="264" t="s">
        <v>646</v>
      </c>
      <c r="E1934" s="264" t="s">
        <v>669</v>
      </c>
      <c r="F1934" s="239">
        <v>3</v>
      </c>
      <c r="G1934" s="265">
        <v>45978</v>
      </c>
      <c r="H1934" s="239"/>
      <c r="I1934" s="308"/>
      <c r="J1934" s="245"/>
      <c r="L1934" s="252"/>
    </row>
    <row r="1935" spans="1:32">
      <c r="A1935" s="239"/>
      <c r="B1935" s="239"/>
      <c r="C1935" s="264"/>
      <c r="D1935" s="264" t="s">
        <v>670</v>
      </c>
      <c r="E1935" s="264" t="s">
        <v>671</v>
      </c>
      <c r="F1935" s="239">
        <v>3</v>
      </c>
      <c r="G1935" s="265">
        <v>45978</v>
      </c>
      <c r="H1935" s="239"/>
      <c r="I1935" s="308" t="s">
        <v>2248</v>
      </c>
      <c r="J1935" s="245"/>
      <c r="L1935" s="252"/>
      <c r="AF1935" s="243" t="s">
        <v>2248</v>
      </c>
    </row>
    <row r="1936" spans="1:32">
      <c r="A1936" s="239"/>
      <c r="B1936" s="239"/>
      <c r="C1936" s="264"/>
      <c r="D1936" s="264" t="s">
        <v>673</v>
      </c>
      <c r="E1936" s="264" t="s">
        <v>659</v>
      </c>
      <c r="F1936" s="239">
        <v>3</v>
      </c>
      <c r="G1936" s="265">
        <v>45978</v>
      </c>
      <c r="H1936" s="239"/>
      <c r="I1936" s="308"/>
      <c r="J1936" s="245"/>
      <c r="L1936" s="252"/>
    </row>
    <row r="1937" spans="1:72">
      <c r="A1937" s="239"/>
      <c r="B1937" s="239"/>
      <c r="C1937" s="264"/>
      <c r="D1937" s="264" t="s">
        <v>674</v>
      </c>
      <c r="E1937" s="264" t="s">
        <v>661</v>
      </c>
      <c r="F1937" s="239">
        <v>3</v>
      </c>
      <c r="G1937" s="265">
        <v>45978</v>
      </c>
      <c r="H1937" s="239"/>
      <c r="I1937" s="308"/>
      <c r="J1937" s="245"/>
      <c r="L1937" s="252"/>
    </row>
    <row r="1938" spans="1:72">
      <c r="A1938" s="239"/>
      <c r="B1938" s="239"/>
      <c r="C1938" s="264"/>
      <c r="D1938" s="264" t="s">
        <v>646</v>
      </c>
      <c r="E1938" s="264" t="s">
        <v>663</v>
      </c>
      <c r="F1938" s="239">
        <v>3</v>
      </c>
      <c r="G1938" s="265">
        <v>45978</v>
      </c>
      <c r="H1938" s="239"/>
      <c r="I1938" s="308"/>
      <c r="J1938" s="245"/>
      <c r="L1938" s="252"/>
    </row>
    <row r="1939" spans="1:72">
      <c r="A1939" s="239"/>
      <c r="B1939" s="239"/>
      <c r="C1939" s="264"/>
      <c r="D1939" s="264" t="s">
        <v>675</v>
      </c>
      <c r="E1939" s="264" t="s">
        <v>500</v>
      </c>
      <c r="F1939" s="239">
        <v>3</v>
      </c>
      <c r="G1939" s="265">
        <v>45978</v>
      </c>
      <c r="H1939" s="239"/>
      <c r="I1939" s="308"/>
      <c r="J1939" s="245"/>
      <c r="L1939" s="252"/>
    </row>
    <row r="1940" spans="1:72">
      <c r="A1940" s="239"/>
      <c r="B1940" s="239"/>
      <c r="C1940" s="264"/>
      <c r="D1940" s="264" t="s">
        <v>676</v>
      </c>
      <c r="E1940" s="264"/>
      <c r="F1940" s="239">
        <v>3</v>
      </c>
      <c r="G1940" s="265">
        <v>45978</v>
      </c>
      <c r="H1940" s="239"/>
      <c r="I1940" s="308" t="s">
        <v>2196</v>
      </c>
      <c r="J1940" s="245" t="s">
        <v>2200</v>
      </c>
      <c r="L1940" s="252"/>
    </row>
    <row r="1941" spans="1:72">
      <c r="A1941" s="239"/>
      <c r="B1941" s="239"/>
      <c r="C1941" s="264"/>
      <c r="D1941" s="264" t="s">
        <v>677</v>
      </c>
      <c r="E1941" s="264" t="s">
        <v>678</v>
      </c>
      <c r="F1941" s="239">
        <v>3</v>
      </c>
      <c r="G1941" s="265">
        <v>45978</v>
      </c>
      <c r="H1941" s="239" t="s">
        <v>2891</v>
      </c>
      <c r="I1941" s="308" t="s">
        <v>2196</v>
      </c>
      <c r="J1941" s="245"/>
      <c r="L1941" s="252"/>
      <c r="AG1941" s="243" t="s">
        <v>2248</v>
      </c>
      <c r="BJ1941" s="243" t="s">
        <v>2892</v>
      </c>
      <c r="BK1941" s="243" t="s">
        <v>2196</v>
      </c>
      <c r="BL1941" s="243" t="s">
        <v>2427</v>
      </c>
      <c r="BM1941" s="243" t="s">
        <v>2427</v>
      </c>
    </row>
    <row r="1942" spans="1:72">
      <c r="A1942" s="239"/>
      <c r="B1942" s="239"/>
      <c r="C1942" s="264"/>
      <c r="D1942" s="264" t="s">
        <v>2894</v>
      </c>
      <c r="E1942" s="264" t="s">
        <v>2893</v>
      </c>
      <c r="F1942" s="239">
        <v>3</v>
      </c>
      <c r="G1942" s="265">
        <v>45978</v>
      </c>
      <c r="H1942" s="239" t="s">
        <v>2891</v>
      </c>
      <c r="I1942" s="308" t="s">
        <v>2196</v>
      </c>
      <c r="J1942" s="245"/>
      <c r="L1942" s="252"/>
      <c r="BJ1942" s="243" t="s">
        <v>2892</v>
      </c>
      <c r="BK1942" s="243" t="s">
        <v>2196</v>
      </c>
      <c r="BL1942" s="243" t="s">
        <v>2331</v>
      </c>
      <c r="BM1942" s="243" t="s">
        <v>2331</v>
      </c>
      <c r="BN1942" s="243" t="s">
        <v>2417</v>
      </c>
      <c r="BO1942" s="243" t="s">
        <v>2417</v>
      </c>
      <c r="BP1942" s="243" t="s">
        <v>2389</v>
      </c>
      <c r="BQ1942" s="243" t="s">
        <v>2225</v>
      </c>
      <c r="BR1942" s="243" t="s">
        <v>2225</v>
      </c>
      <c r="BS1942" s="243" t="s">
        <v>2427</v>
      </c>
      <c r="BT1942" s="243" t="s">
        <v>2427</v>
      </c>
    </row>
    <row r="1943" spans="1:72">
      <c r="A1943" s="239"/>
      <c r="B1943" s="239"/>
      <c r="C1943" s="264"/>
      <c r="D1943" s="264" t="s">
        <v>679</v>
      </c>
      <c r="E1943" s="264" t="s">
        <v>680</v>
      </c>
      <c r="F1943" s="239">
        <v>3</v>
      </c>
      <c r="G1943" s="265">
        <v>45978</v>
      </c>
      <c r="H1943" s="239" t="s">
        <v>2891</v>
      </c>
      <c r="I1943" s="308" t="s">
        <v>2196</v>
      </c>
      <c r="J1943" s="245"/>
      <c r="L1943" s="252"/>
      <c r="BJ1943" s="243" t="s">
        <v>2892</v>
      </c>
      <c r="BK1943" s="243" t="s">
        <v>2196</v>
      </c>
      <c r="BL1943" s="243" t="s">
        <v>2417</v>
      </c>
      <c r="BM1943" s="243" t="s">
        <v>2417</v>
      </c>
      <c r="BN1943" s="243" t="s">
        <v>2389</v>
      </c>
      <c r="BO1943" s="243" t="s">
        <v>2225</v>
      </c>
      <c r="BP1943" s="243" t="s">
        <v>2225</v>
      </c>
      <c r="BQ1943" s="243" t="s">
        <v>2427</v>
      </c>
      <c r="BR1943" s="243" t="s">
        <v>2427</v>
      </c>
    </row>
    <row r="1944" spans="1:72">
      <c r="A1944" s="239"/>
      <c r="B1944" s="239"/>
      <c r="C1944" s="264"/>
      <c r="D1944" s="264" t="s">
        <v>681</v>
      </c>
      <c r="E1944" s="264" t="s">
        <v>682</v>
      </c>
      <c r="F1944" s="239">
        <v>3</v>
      </c>
      <c r="G1944" s="265">
        <v>45978</v>
      </c>
      <c r="H1944" s="239"/>
      <c r="I1944" s="308" t="s">
        <v>2248</v>
      </c>
      <c r="J1944" s="245"/>
      <c r="L1944" s="252"/>
      <c r="AE1944" s="243" t="s">
        <v>2248</v>
      </c>
    </row>
    <row r="1945" spans="1:72">
      <c r="A1945" s="239"/>
      <c r="B1945" s="239"/>
      <c r="C1945" s="264"/>
      <c r="D1945" s="264" t="s">
        <v>683</v>
      </c>
      <c r="E1945" s="264" t="s">
        <v>684</v>
      </c>
      <c r="F1945" s="239">
        <v>3</v>
      </c>
      <c r="G1945" s="265">
        <v>45978</v>
      </c>
      <c r="H1945" s="239"/>
      <c r="I1945" s="308" t="s">
        <v>2196</v>
      </c>
      <c r="J1945" s="245"/>
      <c r="L1945" s="252"/>
      <c r="AF1945" s="243" t="s">
        <v>2200</v>
      </c>
    </row>
    <row r="1946" spans="1:72">
      <c r="A1946" s="239"/>
      <c r="B1946" s="239"/>
      <c r="C1946" s="264"/>
      <c r="D1946" s="264" t="s">
        <v>685</v>
      </c>
      <c r="E1946" s="264" t="s">
        <v>686</v>
      </c>
      <c r="F1946" s="239">
        <v>3</v>
      </c>
      <c r="G1946" s="265">
        <v>45978</v>
      </c>
      <c r="H1946" s="239"/>
      <c r="I1946" s="308" t="s">
        <v>2417</v>
      </c>
      <c r="J1946" s="245"/>
      <c r="L1946" s="252"/>
      <c r="AA1946" s="243" t="s">
        <v>2200</v>
      </c>
      <c r="BK1946" s="243" t="s">
        <v>2417</v>
      </c>
      <c r="BL1946" s="243" t="s">
        <v>2182</v>
      </c>
      <c r="BM1946" s="243" t="s">
        <v>2182</v>
      </c>
      <c r="BN1946" s="243" t="s">
        <v>2389</v>
      </c>
      <c r="BO1946" s="243" t="s">
        <v>2427</v>
      </c>
      <c r="BP1946" s="243" t="s">
        <v>2427</v>
      </c>
    </row>
    <row r="1947" spans="1:72">
      <c r="A1947" s="239"/>
      <c r="B1947" s="239"/>
      <c r="C1947" s="264"/>
      <c r="D1947" s="264" t="s">
        <v>687</v>
      </c>
      <c r="E1947" s="264" t="s">
        <v>688</v>
      </c>
      <c r="F1947" s="239">
        <v>3</v>
      </c>
      <c r="G1947" s="265">
        <v>45978</v>
      </c>
      <c r="H1947" s="239"/>
      <c r="I1947" s="308" t="s">
        <v>2244</v>
      </c>
      <c r="J1947" s="245"/>
      <c r="L1947" s="252"/>
      <c r="AD1947" s="243" t="s">
        <v>2244</v>
      </c>
    </row>
    <row r="1948" spans="1:72">
      <c r="A1948" s="239"/>
      <c r="B1948" s="239"/>
      <c r="C1948" s="264"/>
      <c r="D1948" s="264" t="s">
        <v>689</v>
      </c>
      <c r="E1948" s="264" t="s">
        <v>690</v>
      </c>
      <c r="F1948" s="239">
        <v>3</v>
      </c>
      <c r="G1948" s="265">
        <v>45978</v>
      </c>
      <c r="H1948" s="239"/>
      <c r="I1948" s="308" t="s">
        <v>2244</v>
      </c>
      <c r="J1948" s="245"/>
      <c r="L1948" s="252"/>
      <c r="AC1948" s="243" t="s">
        <v>2244</v>
      </c>
    </row>
    <row r="1949" spans="1:72">
      <c r="A1949" s="239"/>
      <c r="B1949" s="239"/>
      <c r="C1949" s="264"/>
      <c r="D1949" s="264" t="s">
        <v>691</v>
      </c>
      <c r="E1949" s="264" t="s">
        <v>692</v>
      </c>
      <c r="F1949" s="239">
        <v>3</v>
      </c>
      <c r="G1949" s="265">
        <v>45978</v>
      </c>
      <c r="H1949" s="239"/>
      <c r="I1949" s="308" t="s">
        <v>2248</v>
      </c>
      <c r="J1949" s="245"/>
      <c r="L1949" s="252"/>
      <c r="AF1949" s="243" t="s">
        <v>2248</v>
      </c>
    </row>
    <row r="1950" spans="1:72">
      <c r="A1950" s="239"/>
      <c r="B1950" s="239"/>
      <c r="C1950" s="264"/>
      <c r="D1950" s="264" t="s">
        <v>646</v>
      </c>
      <c r="E1950" s="264" t="s">
        <v>693</v>
      </c>
      <c r="F1950" s="239">
        <v>3</v>
      </c>
      <c r="G1950" s="265">
        <v>45978</v>
      </c>
      <c r="H1950" s="239"/>
      <c r="I1950" s="308"/>
      <c r="J1950" s="245"/>
      <c r="L1950" s="252"/>
    </row>
    <row r="1951" spans="1:72">
      <c r="A1951" s="239"/>
      <c r="B1951" s="239"/>
      <c r="C1951" s="264"/>
      <c r="D1951" s="264" t="s">
        <v>675</v>
      </c>
      <c r="E1951" s="264" t="s">
        <v>2202</v>
      </c>
      <c r="F1951" s="239">
        <v>3</v>
      </c>
      <c r="G1951" s="265">
        <v>45978</v>
      </c>
      <c r="H1951" s="239"/>
      <c r="I1951" s="308" t="s">
        <v>2203</v>
      </c>
      <c r="J1951" s="245"/>
      <c r="L1951" s="252"/>
    </row>
    <row r="1952" spans="1:72">
      <c r="A1952" s="239">
        <v>72520</v>
      </c>
      <c r="B1952" s="239"/>
      <c r="C1952" s="264" t="s">
        <v>504</v>
      </c>
      <c r="D1952" s="264" t="s">
        <v>503</v>
      </c>
      <c r="E1952" s="264" t="s">
        <v>502</v>
      </c>
      <c r="F1952" s="239">
        <v>3</v>
      </c>
      <c r="G1952" s="265">
        <v>45856</v>
      </c>
      <c r="H1952" s="264" t="s">
        <v>2178</v>
      </c>
      <c r="I1952" s="308"/>
      <c r="J1952" s="245"/>
      <c r="L1952" s="252"/>
    </row>
    <row r="1953" spans="1:61">
      <c r="A1953" s="239">
        <v>72521</v>
      </c>
      <c r="B1953" s="239"/>
      <c r="C1953" s="264" t="s">
        <v>504</v>
      </c>
      <c r="D1953" s="264" t="s">
        <v>506</v>
      </c>
      <c r="E1953" s="264" t="s">
        <v>505</v>
      </c>
      <c r="F1953" s="239">
        <v>2</v>
      </c>
      <c r="G1953" s="265">
        <v>45856</v>
      </c>
      <c r="H1953" s="264"/>
      <c r="I1953" s="308"/>
      <c r="J1953" s="245"/>
      <c r="L1953" s="252"/>
    </row>
    <row r="1954" spans="1:61">
      <c r="A1954" s="239">
        <v>72522</v>
      </c>
      <c r="B1954" s="239"/>
      <c r="C1954" s="264" t="s">
        <v>504</v>
      </c>
      <c r="D1954" s="264" t="s">
        <v>508</v>
      </c>
      <c r="E1954" s="264" t="s">
        <v>507</v>
      </c>
      <c r="F1954" s="239" t="s">
        <v>2410</v>
      </c>
      <c r="G1954" s="265">
        <v>45856</v>
      </c>
      <c r="H1954" s="264" t="s">
        <v>2409</v>
      </c>
      <c r="I1954" s="308" t="s">
        <v>2407</v>
      </c>
      <c r="J1954" s="245"/>
      <c r="L1954" s="252"/>
      <c r="AL1954" s="243" t="s">
        <v>2407</v>
      </c>
    </row>
    <row r="1955" spans="1:61">
      <c r="A1955" s="239"/>
      <c r="B1955" s="239"/>
      <c r="C1955" s="264"/>
      <c r="D1955" s="264"/>
      <c r="E1955" s="264"/>
      <c r="F1955" s="239"/>
      <c r="G1955" s="265"/>
      <c r="H1955" s="264"/>
      <c r="I1955" s="308"/>
      <c r="J1955" s="245"/>
      <c r="L1955" s="252"/>
    </row>
    <row r="1956" spans="1:61" ht="210">
      <c r="A1956" s="239">
        <v>72523</v>
      </c>
      <c r="B1956" s="239" t="s">
        <v>509</v>
      </c>
      <c r="C1956" s="264" t="s">
        <v>164</v>
      </c>
      <c r="D1956" s="264" t="s">
        <v>510</v>
      </c>
      <c r="E1956" s="264">
        <v>700673679</v>
      </c>
      <c r="F1956" s="239">
        <v>4</v>
      </c>
      <c r="G1956" s="265">
        <v>45862</v>
      </c>
      <c r="H1956" s="264"/>
      <c r="I1956" s="313" t="s">
        <v>2177</v>
      </c>
      <c r="J1956" s="247"/>
      <c r="L1956" s="252"/>
      <c r="AH1956" s="246" t="s">
        <v>2177</v>
      </c>
    </row>
    <row r="1957" spans="1:61" ht="41.25" customHeight="1">
      <c r="A1957" s="239">
        <v>72524</v>
      </c>
      <c r="B1957" s="261" t="s">
        <v>509</v>
      </c>
      <c r="C1957" s="262" t="s">
        <v>164</v>
      </c>
      <c r="D1957" s="262" t="s">
        <v>512</v>
      </c>
      <c r="E1957" s="262" t="s">
        <v>511</v>
      </c>
      <c r="F1957" s="261">
        <v>1</v>
      </c>
      <c r="G1957" s="263">
        <v>45863</v>
      </c>
      <c r="H1957" s="262"/>
      <c r="I1957" s="308" t="s">
        <v>2151</v>
      </c>
      <c r="J1957" s="245"/>
      <c r="L1957" s="252"/>
    </row>
    <row r="1958" spans="1:61">
      <c r="A1958" s="239"/>
      <c r="B1958" s="239"/>
      <c r="C1958" s="264"/>
      <c r="D1958" s="264"/>
      <c r="E1958" s="264"/>
      <c r="F1958" s="239"/>
      <c r="G1958" s="265"/>
      <c r="H1958" s="264"/>
      <c r="I1958" s="308"/>
      <c r="J1958" s="245"/>
      <c r="L1958" s="252"/>
    </row>
    <row r="1959" spans="1:61">
      <c r="A1959" s="239">
        <v>72525</v>
      </c>
      <c r="B1959" s="239">
        <v>280102819</v>
      </c>
      <c r="C1959" s="264" t="s">
        <v>167</v>
      </c>
      <c r="D1959" s="264" t="s">
        <v>514</v>
      </c>
      <c r="E1959" s="264" t="s">
        <v>513</v>
      </c>
      <c r="F1959" s="239">
        <v>1</v>
      </c>
      <c r="G1959" s="265">
        <v>45855</v>
      </c>
      <c r="H1959" s="264" t="s">
        <v>2408</v>
      </c>
      <c r="I1959" s="264" t="s">
        <v>2331</v>
      </c>
      <c r="J1959" s="258"/>
      <c r="K1959" s="258"/>
      <c r="L1959" s="258"/>
      <c r="M1959" s="258"/>
      <c r="N1959" s="258"/>
      <c r="O1959" s="258"/>
      <c r="P1959" s="258"/>
      <c r="Q1959" s="258"/>
      <c r="R1959" s="258"/>
      <c r="S1959" s="258"/>
      <c r="T1959" s="258"/>
      <c r="U1959" s="258"/>
      <c r="V1959" s="258"/>
      <c r="W1959" s="258"/>
      <c r="X1959" s="258"/>
      <c r="Y1959" s="258"/>
      <c r="Z1959" s="258"/>
      <c r="AA1959" s="258"/>
      <c r="AB1959" s="258"/>
      <c r="AC1959" s="258"/>
      <c r="AD1959" s="258"/>
      <c r="AE1959" s="258"/>
      <c r="AF1959" s="258"/>
      <c r="AK1959" s="243" t="s">
        <v>2196</v>
      </c>
      <c r="AQ1959" s="243" t="s">
        <v>2331</v>
      </c>
    </row>
    <row r="1960" spans="1:61">
      <c r="A1960" s="239">
        <v>72526</v>
      </c>
      <c r="B1960" s="239">
        <v>280102819</v>
      </c>
      <c r="C1960" s="264" t="s">
        <v>167</v>
      </c>
      <c r="D1960" s="264" t="s">
        <v>515</v>
      </c>
      <c r="E1960" s="264" t="s">
        <v>513</v>
      </c>
      <c r="F1960" s="239">
        <v>1</v>
      </c>
      <c r="G1960" s="265">
        <v>45855</v>
      </c>
      <c r="H1960" s="264" t="s">
        <v>2408</v>
      </c>
      <c r="I1960" s="264" t="s">
        <v>2331</v>
      </c>
      <c r="J1960" s="258"/>
      <c r="K1960" s="258"/>
      <c r="L1960" s="258"/>
      <c r="M1960" s="258"/>
      <c r="N1960" s="258"/>
      <c r="O1960" s="258"/>
      <c r="P1960" s="258"/>
      <c r="Q1960" s="258"/>
      <c r="R1960" s="258"/>
      <c r="S1960" s="258"/>
      <c r="T1960" s="258"/>
      <c r="U1960" s="258"/>
      <c r="V1960" s="258"/>
      <c r="W1960" s="258"/>
      <c r="X1960" s="258"/>
      <c r="Y1960" s="258"/>
      <c r="Z1960" s="258"/>
      <c r="AA1960" s="258"/>
      <c r="AB1960" s="258"/>
      <c r="AC1960" s="258"/>
      <c r="AD1960" s="258"/>
      <c r="AE1960" s="258"/>
      <c r="AF1960" s="258"/>
      <c r="AK1960" s="243" t="s">
        <v>2196</v>
      </c>
      <c r="AR1960" s="243" t="s">
        <v>2331</v>
      </c>
      <c r="AS1960" s="243" t="s">
        <v>2225</v>
      </c>
      <c r="AT1960" s="243" t="s">
        <v>2225</v>
      </c>
      <c r="AU1960" s="243" t="s">
        <v>2426</v>
      </c>
      <c r="AV1960" s="243" t="s">
        <v>2208</v>
      </c>
    </row>
    <row r="1961" spans="1:61">
      <c r="A1961" s="239">
        <v>72527</v>
      </c>
      <c r="B1961" s="239">
        <v>280102819</v>
      </c>
      <c r="C1961" s="264" t="s">
        <v>167</v>
      </c>
      <c r="D1961" s="264" t="s">
        <v>517</v>
      </c>
      <c r="E1961" s="264" t="s">
        <v>516</v>
      </c>
      <c r="F1961" s="239">
        <v>1</v>
      </c>
      <c r="G1961" s="265">
        <v>45855</v>
      </c>
      <c r="H1961" s="264"/>
      <c r="I1961" s="308" t="s">
        <v>2225</v>
      </c>
      <c r="J1961" s="245"/>
      <c r="L1961" s="251"/>
      <c r="AK1961" s="243" t="s">
        <v>2196</v>
      </c>
      <c r="AR1961" s="243" t="s">
        <v>2578</v>
      </c>
      <c r="AS1961" s="243" t="s">
        <v>2225</v>
      </c>
      <c r="AT1961" s="243" t="s">
        <v>2225</v>
      </c>
      <c r="AU1961" s="243" t="s">
        <v>2225</v>
      </c>
      <c r="AV1961" s="243" t="s">
        <v>2225</v>
      </c>
      <c r="AW1961" s="243" t="s">
        <v>2225</v>
      </c>
      <c r="AX1961" s="243" t="s">
        <v>2225</v>
      </c>
      <c r="AY1961" s="243" t="s">
        <v>2426</v>
      </c>
      <c r="AZ1961" s="243" t="s">
        <v>2208</v>
      </c>
    </row>
    <row r="1962" spans="1:61">
      <c r="A1962" s="239">
        <v>72528</v>
      </c>
      <c r="B1962" s="239">
        <v>280102819</v>
      </c>
      <c r="C1962" s="264" t="s">
        <v>167</v>
      </c>
      <c r="D1962" s="264" t="s">
        <v>518</v>
      </c>
      <c r="E1962" s="264" t="s">
        <v>516</v>
      </c>
      <c r="F1962" s="239">
        <v>1</v>
      </c>
      <c r="G1962" s="265">
        <v>45855</v>
      </c>
      <c r="H1962" s="264" t="s">
        <v>2408</v>
      </c>
      <c r="I1962" s="308" t="s">
        <v>2196</v>
      </c>
      <c r="J1962" s="245"/>
      <c r="L1962" s="251"/>
      <c r="AK1962" s="243" t="s">
        <v>2196</v>
      </c>
    </row>
    <row r="1963" spans="1:61" ht="41.25" customHeight="1">
      <c r="A1963" s="239">
        <v>72529</v>
      </c>
      <c r="B1963" s="261">
        <v>280102819</v>
      </c>
      <c r="C1963" s="262" t="s">
        <v>167</v>
      </c>
      <c r="D1963" s="262" t="s">
        <v>520</v>
      </c>
      <c r="E1963" s="262" t="s">
        <v>519</v>
      </c>
      <c r="F1963" s="261">
        <v>1</v>
      </c>
      <c r="G1963" s="263">
        <v>45855</v>
      </c>
      <c r="H1963" s="262" t="s">
        <v>2408</v>
      </c>
      <c r="I1963" s="308" t="s">
        <v>2151</v>
      </c>
      <c r="J1963" s="245"/>
      <c r="L1963" s="251"/>
    </row>
    <row r="1964" spans="1:61" ht="41.25" customHeight="1">
      <c r="A1964" s="239">
        <v>72530</v>
      </c>
      <c r="B1964" s="261">
        <v>280102819</v>
      </c>
      <c r="C1964" s="262" t="s">
        <v>167</v>
      </c>
      <c r="D1964" s="262" t="s">
        <v>522</v>
      </c>
      <c r="E1964" s="262" t="s">
        <v>521</v>
      </c>
      <c r="F1964" s="261">
        <v>4</v>
      </c>
      <c r="G1964" s="263">
        <v>45855</v>
      </c>
      <c r="H1964" s="262" t="s">
        <v>2408</v>
      </c>
      <c r="I1964" s="308" t="s">
        <v>2151</v>
      </c>
      <c r="J1964" s="245"/>
      <c r="L1964" s="252"/>
      <c r="AQ1964" s="243" t="s">
        <v>2331</v>
      </c>
      <c r="AR1964" s="243" t="s">
        <v>2225</v>
      </c>
      <c r="AS1964" s="243" t="s">
        <v>2225</v>
      </c>
      <c r="AT1964" s="243" t="s">
        <v>2426</v>
      </c>
      <c r="AU1964" s="243" t="s">
        <v>2208</v>
      </c>
    </row>
    <row r="1965" spans="1:61" ht="41.25" customHeight="1">
      <c r="A1965" s="239">
        <v>72531</v>
      </c>
      <c r="B1965" s="261">
        <v>280102819</v>
      </c>
      <c r="C1965" s="262" t="s">
        <v>526</v>
      </c>
      <c r="D1965" s="262" t="s">
        <v>525</v>
      </c>
      <c r="E1965" s="262" t="s">
        <v>524</v>
      </c>
      <c r="F1965" s="261">
        <v>2</v>
      </c>
      <c r="G1965" s="263">
        <v>45846</v>
      </c>
      <c r="H1965" s="262"/>
      <c r="I1965" s="308"/>
      <c r="J1965" s="245"/>
      <c r="L1965" s="252"/>
    </row>
    <row r="1966" spans="1:61" ht="41.25" customHeight="1">
      <c r="A1966" s="239">
        <v>72532</v>
      </c>
      <c r="B1966" s="261" t="s">
        <v>523</v>
      </c>
      <c r="C1966" s="262" t="s">
        <v>255</v>
      </c>
      <c r="D1966" s="262" t="s">
        <v>527</v>
      </c>
      <c r="E1966" s="262" t="s">
        <v>154</v>
      </c>
      <c r="F1966" s="261" t="s">
        <v>528</v>
      </c>
      <c r="G1966" s="263">
        <v>45845</v>
      </c>
      <c r="H1966" s="262"/>
      <c r="I1966" s="308"/>
      <c r="J1966" s="245"/>
      <c r="L1966" s="252"/>
    </row>
    <row r="1967" spans="1:61" ht="60">
      <c r="A1967" s="239">
        <v>72533</v>
      </c>
      <c r="B1967" s="239">
        <v>211249978</v>
      </c>
      <c r="C1967" s="264" t="s">
        <v>1028</v>
      </c>
      <c r="D1967" s="264" t="s">
        <v>1029</v>
      </c>
      <c r="E1967" s="310">
        <v>2604680</v>
      </c>
      <c r="F1967" s="239">
        <v>2</v>
      </c>
      <c r="G1967" s="265">
        <v>45881</v>
      </c>
      <c r="H1967" s="283" t="s">
        <v>2811</v>
      </c>
      <c r="I1967" s="313" t="s">
        <v>2196</v>
      </c>
      <c r="J1967" s="245"/>
      <c r="L1967" s="252"/>
      <c r="X1967" s="243" t="s">
        <v>2181</v>
      </c>
      <c r="AI1967" s="243" t="s">
        <v>2196</v>
      </c>
      <c r="AJ1967" s="243" t="s">
        <v>2196</v>
      </c>
      <c r="AK1967" s="243" t="s">
        <v>2196</v>
      </c>
      <c r="AL1967" s="243" t="s">
        <v>2196</v>
      </c>
      <c r="AM1967" s="243" t="s">
        <v>2417</v>
      </c>
      <c r="AQ1967" s="246" t="s">
        <v>2564</v>
      </c>
      <c r="AR1967" s="246" t="s">
        <v>2564</v>
      </c>
      <c r="AS1967" s="246" t="s">
        <v>2564</v>
      </c>
      <c r="AT1967" s="246" t="s">
        <v>2564</v>
      </c>
      <c r="AU1967" s="246" t="s">
        <v>2564</v>
      </c>
      <c r="AV1967" s="246" t="s">
        <v>2564</v>
      </c>
      <c r="AW1967" s="246" t="s">
        <v>2564</v>
      </c>
      <c r="AX1967" s="246" t="s">
        <v>2564</v>
      </c>
      <c r="AY1967" s="246" t="s">
        <v>2564</v>
      </c>
      <c r="AZ1967" s="246" t="s">
        <v>2564</v>
      </c>
      <c r="BA1967" s="246" t="s">
        <v>2564</v>
      </c>
      <c r="BB1967" s="246" t="s">
        <v>2564</v>
      </c>
      <c r="BC1967" s="246" t="s">
        <v>2564</v>
      </c>
      <c r="BD1967" s="246" t="s">
        <v>2564</v>
      </c>
      <c r="BE1967" s="246" t="s">
        <v>2564</v>
      </c>
      <c r="BF1967" s="246" t="s">
        <v>2564</v>
      </c>
      <c r="BG1967" s="246" t="s">
        <v>2564</v>
      </c>
      <c r="BH1967" s="246" t="s">
        <v>2564</v>
      </c>
      <c r="BI1967" s="243" t="s">
        <v>2196</v>
      </c>
    </row>
    <row r="1968" spans="1:61">
      <c r="A1968" s="239">
        <v>72534</v>
      </c>
      <c r="B1968" s="261" t="s">
        <v>1083</v>
      </c>
      <c r="C1968" s="262" t="s">
        <v>20</v>
      </c>
      <c r="D1968" s="262" t="s">
        <v>1031</v>
      </c>
      <c r="E1968" s="262" t="s">
        <v>1030</v>
      </c>
      <c r="F1968" s="261">
        <v>1</v>
      </c>
      <c r="G1968" s="263">
        <v>45896</v>
      </c>
      <c r="H1968" s="262"/>
      <c r="I1968" s="308" t="s">
        <v>2151</v>
      </c>
      <c r="J1968" s="245"/>
      <c r="L1968" s="252"/>
    </row>
    <row r="1969" spans="1:79">
      <c r="A1969" s="239">
        <v>72535</v>
      </c>
      <c r="B1969" s="261" t="s">
        <v>1083</v>
      </c>
      <c r="C1969" s="262" t="s">
        <v>20</v>
      </c>
      <c r="D1969" s="262" t="s">
        <v>1034</v>
      </c>
      <c r="E1969" s="262" t="s">
        <v>1033</v>
      </c>
      <c r="F1969" s="261"/>
      <c r="G1969" s="263">
        <v>45896</v>
      </c>
      <c r="H1969" s="262"/>
      <c r="I1969" s="308" t="s">
        <v>2151</v>
      </c>
      <c r="J1969" s="245"/>
      <c r="L1969" s="252"/>
    </row>
    <row r="1970" spans="1:79">
      <c r="A1970" s="239">
        <v>72536</v>
      </c>
      <c r="B1970" s="261" t="s">
        <v>1083</v>
      </c>
      <c r="C1970" s="262" t="s">
        <v>20</v>
      </c>
      <c r="D1970" s="262" t="s">
        <v>1036</v>
      </c>
      <c r="E1970" s="262" t="s">
        <v>1035</v>
      </c>
      <c r="F1970" s="261">
        <v>1</v>
      </c>
      <c r="G1970" s="263">
        <v>45896</v>
      </c>
      <c r="H1970" s="262"/>
      <c r="I1970" s="308" t="s">
        <v>2151</v>
      </c>
      <c r="J1970" s="245"/>
      <c r="L1970" s="251"/>
      <c r="AB1970" s="243" t="s">
        <v>2334</v>
      </c>
      <c r="AO1970" s="243" t="s">
        <v>2389</v>
      </c>
      <c r="AP1970" s="243" t="s">
        <v>2225</v>
      </c>
      <c r="AQ1970" s="243" t="s">
        <v>2225</v>
      </c>
      <c r="AR1970" s="243" t="s">
        <v>2426</v>
      </c>
      <c r="AS1970" s="243" t="s">
        <v>2426</v>
      </c>
      <c r="AT1970" s="243" t="s">
        <v>2208</v>
      </c>
      <c r="AU1970" s="243" t="s">
        <v>2208</v>
      </c>
    </row>
    <row r="1971" spans="1:79">
      <c r="A1971" s="239">
        <v>72537</v>
      </c>
      <c r="B1971" s="261" t="s">
        <v>1083</v>
      </c>
      <c r="C1971" s="262" t="s">
        <v>20</v>
      </c>
      <c r="D1971" s="262" t="s">
        <v>1038</v>
      </c>
      <c r="E1971" s="262" t="s">
        <v>1037</v>
      </c>
      <c r="F1971" s="261"/>
      <c r="G1971" s="263">
        <v>45896</v>
      </c>
      <c r="H1971" s="262"/>
      <c r="I1971" s="308" t="s">
        <v>2151</v>
      </c>
      <c r="J1971" s="245"/>
      <c r="L1971" s="252"/>
      <c r="AC1971" s="243" t="s">
        <v>2248</v>
      </c>
      <c r="AO1971" s="243" t="s">
        <v>2225</v>
      </c>
      <c r="AP1971" s="243" t="s">
        <v>2225</v>
      </c>
      <c r="AQ1971" s="243" t="s">
        <v>2426</v>
      </c>
      <c r="AR1971" s="243" t="s">
        <v>2426</v>
      </c>
    </row>
    <row r="1972" spans="1:79">
      <c r="A1972" s="239">
        <v>72538</v>
      </c>
      <c r="B1972" s="261" t="s">
        <v>1083</v>
      </c>
      <c r="C1972" s="262" t="s">
        <v>20</v>
      </c>
      <c r="D1972" s="262" t="s">
        <v>1040</v>
      </c>
      <c r="E1972" s="262" t="s">
        <v>1039</v>
      </c>
      <c r="F1972" s="261"/>
      <c r="G1972" s="263">
        <v>45896</v>
      </c>
      <c r="H1972" s="262"/>
      <c r="I1972" s="308" t="s">
        <v>2151</v>
      </c>
      <c r="J1972" s="245"/>
      <c r="L1972" s="252"/>
    </row>
    <row r="1973" spans="1:79">
      <c r="A1973" s="239">
        <v>72539</v>
      </c>
      <c r="B1973" s="261" t="s">
        <v>1083</v>
      </c>
      <c r="C1973" s="262" t="s">
        <v>20</v>
      </c>
      <c r="D1973" s="262" t="s">
        <v>1042</v>
      </c>
      <c r="E1973" s="262" t="s">
        <v>1041</v>
      </c>
      <c r="F1973" s="261"/>
      <c r="G1973" s="263">
        <v>45896</v>
      </c>
      <c r="H1973" s="262"/>
      <c r="I1973" s="308" t="s">
        <v>2151</v>
      </c>
      <c r="J1973" s="245"/>
      <c r="L1973" s="252"/>
    </row>
    <row r="1974" spans="1:79">
      <c r="A1974" s="239">
        <v>72540</v>
      </c>
      <c r="B1974" s="261" t="s">
        <v>1083</v>
      </c>
      <c r="C1974" s="262" t="s">
        <v>20</v>
      </c>
      <c r="D1974" s="262" t="s">
        <v>1044</v>
      </c>
      <c r="E1974" s="262" t="s">
        <v>1043</v>
      </c>
      <c r="F1974" s="261"/>
      <c r="G1974" s="263">
        <v>45896</v>
      </c>
      <c r="H1974" s="262"/>
      <c r="I1974" s="308" t="s">
        <v>2151</v>
      </c>
      <c r="J1974" s="245"/>
      <c r="L1974" s="252"/>
      <c r="AC1974" s="243" t="s">
        <v>2248</v>
      </c>
      <c r="AO1974" s="243" t="s">
        <v>2225</v>
      </c>
      <c r="AP1974" s="243" t="s">
        <v>2225</v>
      </c>
      <c r="AQ1974" s="243" t="s">
        <v>2426</v>
      </c>
      <c r="AR1974" s="243" t="s">
        <v>2426</v>
      </c>
    </row>
    <row r="1975" spans="1:79" ht="90">
      <c r="A1975" s="239">
        <v>72541</v>
      </c>
      <c r="B1975" s="261" t="s">
        <v>1083</v>
      </c>
      <c r="C1975" s="262" t="s">
        <v>20</v>
      </c>
      <c r="D1975" s="262" t="s">
        <v>1046</v>
      </c>
      <c r="E1975" s="262" t="s">
        <v>1045</v>
      </c>
      <c r="F1975" s="261"/>
      <c r="G1975" s="263">
        <v>45908</v>
      </c>
      <c r="H1975" s="262"/>
      <c r="I1975" s="308" t="s">
        <v>2151</v>
      </c>
      <c r="J1975" s="245"/>
      <c r="L1975" s="252"/>
      <c r="AJ1975" s="243" t="s">
        <v>2244</v>
      </c>
      <c r="BG1975" s="243" t="s">
        <v>2225</v>
      </c>
      <c r="BH1975" s="246" t="s">
        <v>2716</v>
      </c>
      <c r="BI1975" s="246" t="s">
        <v>2716</v>
      </c>
      <c r="BJ1975" s="246" t="s">
        <v>2716</v>
      </c>
      <c r="BK1975" s="246" t="s">
        <v>2716</v>
      </c>
      <c r="BL1975" s="246" t="s">
        <v>2716</v>
      </c>
      <c r="BM1975" s="246" t="s">
        <v>2716</v>
      </c>
      <c r="BN1975" s="246" t="s">
        <v>2716</v>
      </c>
      <c r="BO1975" s="243" t="s">
        <v>2196</v>
      </c>
      <c r="BP1975" s="243" t="s">
        <v>2225</v>
      </c>
      <c r="BQ1975" s="243" t="s">
        <v>2182</v>
      </c>
      <c r="BR1975" s="243" t="s">
        <v>2427</v>
      </c>
      <c r="BS1975" s="243" t="s">
        <v>2427</v>
      </c>
      <c r="BT1975" s="243" t="s">
        <v>2426</v>
      </c>
    </row>
    <row r="1976" spans="1:79">
      <c r="A1976" s="239">
        <v>72542</v>
      </c>
      <c r="B1976" s="261" t="s">
        <v>1083</v>
      </c>
      <c r="C1976" s="262" t="s">
        <v>20</v>
      </c>
      <c r="D1976" s="262" t="s">
        <v>1040</v>
      </c>
      <c r="E1976" s="262" t="s">
        <v>1047</v>
      </c>
      <c r="F1976" s="261"/>
      <c r="G1976" s="263">
        <v>45896</v>
      </c>
      <c r="H1976" s="262"/>
      <c r="I1976" s="308" t="s">
        <v>2151</v>
      </c>
      <c r="J1976" s="245"/>
      <c r="L1976" s="252"/>
    </row>
    <row r="1977" spans="1:79">
      <c r="A1977" s="239">
        <v>72543</v>
      </c>
      <c r="B1977" s="261" t="s">
        <v>1083</v>
      </c>
      <c r="C1977" s="262" t="s">
        <v>20</v>
      </c>
      <c r="D1977" s="262" t="s">
        <v>1049</v>
      </c>
      <c r="E1977" s="262" t="s">
        <v>1048</v>
      </c>
      <c r="F1977" s="261"/>
      <c r="G1977" s="263">
        <v>45896</v>
      </c>
      <c r="H1977" s="262"/>
      <c r="I1977" s="308" t="s">
        <v>2151</v>
      </c>
      <c r="J1977" s="245"/>
      <c r="L1977" s="252"/>
    </row>
    <row r="1978" spans="1:79">
      <c r="A1978" s="239">
        <v>72546</v>
      </c>
      <c r="B1978" s="239" t="s">
        <v>1056</v>
      </c>
      <c r="C1978" s="264" t="s">
        <v>338</v>
      </c>
      <c r="D1978" s="264" t="s">
        <v>1055</v>
      </c>
      <c r="E1978" s="264" t="s">
        <v>1054</v>
      </c>
      <c r="F1978" s="239"/>
      <c r="G1978" s="265">
        <v>45923</v>
      </c>
      <c r="H1978" s="264"/>
      <c r="I1978" s="308" t="s">
        <v>2528</v>
      </c>
      <c r="J1978" s="245"/>
      <c r="L1978" s="252"/>
      <c r="AN1978" s="243" t="s">
        <v>2338</v>
      </c>
      <c r="AO1978" s="243" t="s">
        <v>2562</v>
      </c>
      <c r="AS1978" s="243" t="s">
        <v>2528</v>
      </c>
      <c r="AT1978" s="243" t="s">
        <v>2559</v>
      </c>
      <c r="AU1978" s="243" t="s">
        <v>2560</v>
      </c>
      <c r="AV1978" s="243" t="s">
        <v>2389</v>
      </c>
      <c r="AW1978" s="243" t="s">
        <v>2225</v>
      </c>
      <c r="AX1978" s="243" t="s">
        <v>2225</v>
      </c>
      <c r="AY1978" s="243" t="s">
        <v>2203</v>
      </c>
      <c r="AZ1978" s="243" t="s">
        <v>2183</v>
      </c>
      <c r="BA1978" s="243" t="s">
        <v>2183</v>
      </c>
      <c r="BB1978" s="243" t="s">
        <v>2389</v>
      </c>
      <c r="BC1978" s="243" t="s">
        <v>2225</v>
      </c>
      <c r="BD1978" s="243" t="s">
        <v>2225</v>
      </c>
      <c r="BE1978" s="243" t="s">
        <v>2543</v>
      </c>
      <c r="BF1978" s="243" t="s">
        <v>2543</v>
      </c>
      <c r="BG1978" s="243" t="s">
        <v>2543</v>
      </c>
      <c r="BH1978" s="243" t="s">
        <v>2543</v>
      </c>
      <c r="BI1978" s="243" t="s">
        <v>2514</v>
      </c>
      <c r="BJ1978" s="243" t="s">
        <v>2514</v>
      </c>
      <c r="BK1978" s="243" t="s">
        <v>2389</v>
      </c>
      <c r="BL1978" s="243" t="s">
        <v>2225</v>
      </c>
      <c r="BM1978" s="243" t="s">
        <v>2225</v>
      </c>
      <c r="BN1978" s="243" t="s">
        <v>2553</v>
      </c>
      <c r="BO1978" s="243" t="s">
        <v>2398</v>
      </c>
      <c r="BP1978" s="243" t="s">
        <v>2346</v>
      </c>
    </row>
    <row r="1979" spans="1:79">
      <c r="A1979" s="239"/>
      <c r="B1979" s="239"/>
      <c r="C1979" s="264"/>
      <c r="D1979" s="264" t="s">
        <v>1055</v>
      </c>
      <c r="E1979" s="264" t="s">
        <v>2597</v>
      </c>
      <c r="F1979" s="239"/>
      <c r="G1979" s="265"/>
      <c r="H1979" s="264"/>
      <c r="I1979" s="308" t="s">
        <v>2389</v>
      </c>
      <c r="J1979" s="245"/>
      <c r="L1979" s="252"/>
      <c r="AN1979" s="243" t="s">
        <v>2389</v>
      </c>
    </row>
    <row r="1980" spans="1:79" ht="90">
      <c r="A1980" s="239"/>
      <c r="B1980" s="239"/>
      <c r="C1980" s="264"/>
      <c r="D1980" s="264" t="s">
        <v>2628</v>
      </c>
      <c r="E1980" s="264" t="s">
        <v>2626</v>
      </c>
      <c r="F1980" s="239">
        <v>1</v>
      </c>
      <c r="G1980" s="265"/>
      <c r="H1980" s="264"/>
      <c r="I1980" s="308" t="s">
        <v>2225</v>
      </c>
      <c r="J1980" s="245"/>
      <c r="L1980" s="252"/>
      <c r="AS1980" s="243" t="s">
        <v>2558</v>
      </c>
      <c r="AT1980" s="243" t="s">
        <v>2389</v>
      </c>
      <c r="AU1980" s="243" t="s">
        <v>2225</v>
      </c>
      <c r="AV1980" s="243" t="s">
        <v>2225</v>
      </c>
      <c r="AW1980" s="243" t="s">
        <v>2225</v>
      </c>
      <c r="AX1980" s="243" t="s">
        <v>2225</v>
      </c>
      <c r="BK1980" s="246" t="s">
        <v>2630</v>
      </c>
      <c r="BL1980" s="246" t="s">
        <v>2630</v>
      </c>
      <c r="BM1980" s="246" t="s">
        <v>2630</v>
      </c>
      <c r="BN1980" s="246" t="s">
        <v>2630</v>
      </c>
      <c r="BO1980" s="246" t="s">
        <v>2630</v>
      </c>
      <c r="BP1980" s="246" t="s">
        <v>2630</v>
      </c>
      <c r="BQ1980" s="246" t="s">
        <v>2630</v>
      </c>
      <c r="BR1980" s="243" t="s">
        <v>2196</v>
      </c>
      <c r="BS1980" s="243" t="s">
        <v>2225</v>
      </c>
      <c r="BT1980" s="243" t="s">
        <v>2225</v>
      </c>
    </row>
    <row r="1981" spans="1:79" ht="90">
      <c r="A1981" s="239"/>
      <c r="B1981" s="239"/>
      <c r="C1981" s="264"/>
      <c r="D1981" s="264" t="s">
        <v>2629</v>
      </c>
      <c r="E1981" s="264" t="s">
        <v>2627</v>
      </c>
      <c r="F1981" s="239">
        <v>1</v>
      </c>
      <c r="G1981" s="265"/>
      <c r="H1981" s="264"/>
      <c r="I1981" s="308" t="s">
        <v>2225</v>
      </c>
      <c r="J1981" s="245"/>
      <c r="L1981" s="252"/>
      <c r="AS1981" s="243" t="s">
        <v>2558</v>
      </c>
      <c r="AT1981" s="243" t="s">
        <v>2389</v>
      </c>
      <c r="AU1981" s="243" t="s">
        <v>2225</v>
      </c>
      <c r="AV1981" s="243" t="s">
        <v>2225</v>
      </c>
      <c r="AW1981" s="243" t="s">
        <v>2225</v>
      </c>
      <c r="AX1981" s="243" t="s">
        <v>2225</v>
      </c>
      <c r="AY1981" s="246" t="s">
        <v>2630</v>
      </c>
      <c r="AZ1981" s="246" t="s">
        <v>2630</v>
      </c>
      <c r="BA1981" s="246" t="s">
        <v>2630</v>
      </c>
      <c r="BB1981" s="246" t="s">
        <v>2630</v>
      </c>
      <c r="BC1981" s="246" t="s">
        <v>2630</v>
      </c>
      <c r="BD1981" s="246" t="s">
        <v>2630</v>
      </c>
      <c r="BE1981" s="246" t="s">
        <v>2630</v>
      </c>
      <c r="BF1981" s="243" t="s">
        <v>2196</v>
      </c>
      <c r="BG1981" s="243" t="s">
        <v>2225</v>
      </c>
      <c r="BH1981" s="243" t="s">
        <v>2225</v>
      </c>
      <c r="BI1981" s="246"/>
      <c r="BJ1981" s="246"/>
      <c r="BK1981" s="246"/>
      <c r="BL1981" s="246"/>
    </row>
    <row r="1982" spans="1:79">
      <c r="A1982" s="239"/>
      <c r="B1982" s="239"/>
      <c r="C1982" s="264"/>
      <c r="D1982" s="264" t="s">
        <v>2695</v>
      </c>
      <c r="E1982" s="264" t="s">
        <v>2694</v>
      </c>
      <c r="F1982" s="239">
        <v>1</v>
      </c>
      <c r="G1982" s="265"/>
      <c r="H1982" s="264"/>
      <c r="I1982" s="308" t="s">
        <v>2389</v>
      </c>
      <c r="J1982" s="245"/>
      <c r="L1982" s="252"/>
      <c r="BB1982" s="243" t="s">
        <v>2389</v>
      </c>
      <c r="BC1982" s="243" t="s">
        <v>2225</v>
      </c>
      <c r="BD1982" s="243" t="s">
        <v>2225</v>
      </c>
      <c r="BE1982" s="243" t="s">
        <v>2553</v>
      </c>
      <c r="BF1982" s="243" t="s">
        <v>2553</v>
      </c>
      <c r="BG1982" s="243" t="s">
        <v>2398</v>
      </c>
      <c r="BH1982" s="243" t="s">
        <v>2398</v>
      </c>
    </row>
    <row r="1983" spans="1:79">
      <c r="A1983" s="239"/>
      <c r="B1983" s="239"/>
      <c r="C1983" s="264"/>
      <c r="D1983" s="264" t="s">
        <v>2706</v>
      </c>
      <c r="E1983" s="264" t="s">
        <v>2707</v>
      </c>
      <c r="F1983" s="239">
        <v>1</v>
      </c>
      <c r="G1983" s="265"/>
      <c r="H1983" s="264"/>
      <c r="I1983" s="308" t="s">
        <v>2721</v>
      </c>
      <c r="J1983" s="245"/>
      <c r="L1983" s="252"/>
      <c r="AW1983" s="243" t="s">
        <v>2528</v>
      </c>
      <c r="BG1983" s="243" t="s">
        <v>2558</v>
      </c>
      <c r="BH1983" s="243" t="s">
        <v>2558</v>
      </c>
    </row>
    <row r="1984" spans="1:79">
      <c r="A1984" s="239"/>
      <c r="B1984" s="239"/>
      <c r="C1984" s="264"/>
      <c r="D1984" s="264" t="s">
        <v>2751</v>
      </c>
      <c r="E1984" s="264" t="s">
        <v>2752</v>
      </c>
      <c r="F1984" s="239">
        <v>2</v>
      </c>
      <c r="G1984" s="265"/>
      <c r="H1984" s="264"/>
      <c r="I1984" s="308" t="s">
        <v>2394</v>
      </c>
      <c r="J1984" s="245"/>
      <c r="L1984" s="252"/>
      <c r="BH1984" s="243" t="s">
        <v>2394</v>
      </c>
      <c r="BI1984" s="243" t="s">
        <v>2331</v>
      </c>
      <c r="BJ1984" s="243" t="s">
        <v>2331</v>
      </c>
      <c r="BK1984" s="243" t="s">
        <v>2417</v>
      </c>
      <c r="BL1984" s="243" t="s">
        <v>2417</v>
      </c>
      <c r="BM1984" s="243" t="s">
        <v>2417</v>
      </c>
      <c r="BN1984" s="243" t="s">
        <v>2417</v>
      </c>
      <c r="BO1984" s="243" t="s">
        <v>2389</v>
      </c>
      <c r="BP1984" s="243" t="s">
        <v>2225</v>
      </c>
      <c r="BQ1984" s="243" t="s">
        <v>2225</v>
      </c>
      <c r="BR1984" s="243" t="s">
        <v>2753</v>
      </c>
      <c r="BS1984" s="243" t="s">
        <v>2753</v>
      </c>
      <c r="BT1984" s="243" t="s">
        <v>2753</v>
      </c>
      <c r="BU1984" s="243" t="s">
        <v>2753</v>
      </c>
      <c r="BV1984" s="243" t="s">
        <v>2753</v>
      </c>
      <c r="BW1984" s="243" t="s">
        <v>2753</v>
      </c>
      <c r="BX1984" s="243" t="s">
        <v>2753</v>
      </c>
      <c r="BY1984" s="243" t="s">
        <v>2196</v>
      </c>
      <c r="BZ1984" s="243" t="s">
        <v>2225</v>
      </c>
      <c r="CA1984" s="243" t="s">
        <v>2225</v>
      </c>
    </row>
    <row r="1985" spans="1:83">
      <c r="A1985" s="239"/>
      <c r="B1985" s="239"/>
      <c r="C1985" s="264"/>
      <c r="D1985" s="264" t="s">
        <v>2754</v>
      </c>
      <c r="E1985" s="264" t="s">
        <v>2755</v>
      </c>
      <c r="F1985" s="239">
        <v>2</v>
      </c>
      <c r="G1985" s="265"/>
      <c r="H1985" s="264"/>
      <c r="I1985" s="308" t="s">
        <v>2386</v>
      </c>
      <c r="J1985" s="245"/>
      <c r="L1985" s="252"/>
      <c r="BH1985" s="243" t="s">
        <v>2394</v>
      </c>
      <c r="BI1985" s="243" t="s">
        <v>2340</v>
      </c>
      <c r="BJ1985" s="243" t="s">
        <v>2340</v>
      </c>
      <c r="BK1985" s="243" t="s">
        <v>2417</v>
      </c>
      <c r="BL1985" s="243" t="s">
        <v>2386</v>
      </c>
      <c r="BM1985" s="243" t="s">
        <v>2389</v>
      </c>
      <c r="BN1985" s="243" t="s">
        <v>2225</v>
      </c>
      <c r="BO1985" s="243" t="s">
        <v>2225</v>
      </c>
      <c r="BP1985" s="243" t="s">
        <v>2205</v>
      </c>
      <c r="BQ1985" s="243" t="s">
        <v>2558</v>
      </c>
      <c r="BR1985" s="243" t="s">
        <v>2558</v>
      </c>
      <c r="BS1985" s="243" t="s">
        <v>2389</v>
      </c>
      <c r="BT1985" s="243" t="s">
        <v>2225</v>
      </c>
      <c r="BU1985" s="243" t="s">
        <v>2225</v>
      </c>
      <c r="BV1985" s="243" t="s">
        <v>2753</v>
      </c>
      <c r="BW1985" s="243" t="s">
        <v>2753</v>
      </c>
      <c r="BX1985" s="243" t="s">
        <v>2753</v>
      </c>
      <c r="BY1985" s="243" t="s">
        <v>2753</v>
      </c>
      <c r="BZ1985" s="243" t="s">
        <v>2753</v>
      </c>
      <c r="CA1985" s="243" t="s">
        <v>2753</v>
      </c>
      <c r="CB1985" s="243" t="s">
        <v>2753</v>
      </c>
      <c r="CC1985" s="243" t="s">
        <v>2196</v>
      </c>
      <c r="CD1985" s="243" t="s">
        <v>2225</v>
      </c>
      <c r="CE1985" s="243" t="s">
        <v>2225</v>
      </c>
    </row>
    <row r="1986" spans="1:83">
      <c r="A1986" s="239"/>
      <c r="B1986" s="239"/>
      <c r="C1986" s="264"/>
      <c r="D1986" s="264" t="s">
        <v>2756</v>
      </c>
      <c r="E1986" s="264" t="s">
        <v>2757</v>
      </c>
      <c r="F1986" s="239">
        <v>1</v>
      </c>
      <c r="G1986" s="265"/>
      <c r="H1986" s="264"/>
      <c r="I1986" s="308" t="s">
        <v>2394</v>
      </c>
      <c r="J1986" s="245"/>
      <c r="L1986" s="252"/>
      <c r="BH1986" s="243" t="s">
        <v>2394</v>
      </c>
      <c r="BI1986" s="243" t="s">
        <v>2331</v>
      </c>
      <c r="BJ1986" s="243" t="s">
        <v>2417</v>
      </c>
      <c r="BK1986" s="243" t="s">
        <v>2417</v>
      </c>
      <c r="BL1986" s="243" t="s">
        <v>2389</v>
      </c>
      <c r="BM1986" s="243" t="s">
        <v>2225</v>
      </c>
      <c r="BN1986" s="243" t="s">
        <v>2225</v>
      </c>
    </row>
    <row r="1987" spans="1:83">
      <c r="A1987" s="239"/>
      <c r="B1987" s="239"/>
      <c r="C1987" s="264"/>
      <c r="D1987" s="264" t="s">
        <v>2821</v>
      </c>
      <c r="E1987" s="264" t="s">
        <v>2822</v>
      </c>
      <c r="F1987" s="239">
        <v>1</v>
      </c>
      <c r="G1987" s="265"/>
      <c r="H1987" s="264"/>
      <c r="I1987" s="308" t="s">
        <v>2331</v>
      </c>
      <c r="J1987" s="245"/>
      <c r="L1987" s="252"/>
      <c r="BJ1987" s="243" t="s">
        <v>2331</v>
      </c>
      <c r="BK1987" s="243" t="s">
        <v>2417</v>
      </c>
      <c r="BL1987" s="243" t="s">
        <v>2417</v>
      </c>
      <c r="BM1987" s="243" t="s">
        <v>2417</v>
      </c>
      <c r="BN1987" s="243" t="s">
        <v>2417</v>
      </c>
      <c r="BO1987" s="243" t="s">
        <v>2389</v>
      </c>
      <c r="BP1987" s="243" t="s">
        <v>2225</v>
      </c>
      <c r="BQ1987" s="243" t="s">
        <v>2225</v>
      </c>
    </row>
    <row r="1988" spans="1:83">
      <c r="A1988" s="239"/>
      <c r="B1988" s="239"/>
      <c r="C1988" s="264"/>
      <c r="D1988" s="264"/>
      <c r="E1988" s="264"/>
      <c r="F1988" s="239"/>
      <c r="G1988" s="265"/>
      <c r="H1988" s="264"/>
      <c r="I1988" s="308"/>
      <c r="J1988" s="245"/>
      <c r="L1988" s="252"/>
    </row>
    <row r="1989" spans="1:83">
      <c r="A1989" s="239">
        <v>72547</v>
      </c>
      <c r="B1989" s="261">
        <v>19603</v>
      </c>
      <c r="C1989" s="262" t="s">
        <v>179</v>
      </c>
      <c r="D1989" s="262" t="s">
        <v>1084</v>
      </c>
      <c r="E1989" s="262" t="s">
        <v>1057</v>
      </c>
      <c r="F1989" s="261"/>
      <c r="G1989" s="263">
        <v>45868</v>
      </c>
      <c r="H1989" s="262"/>
      <c r="I1989" s="308" t="s">
        <v>2151</v>
      </c>
      <c r="J1989" s="245"/>
      <c r="L1989" s="252"/>
    </row>
    <row r="1990" spans="1:83">
      <c r="A1990" s="239">
        <v>72548</v>
      </c>
      <c r="B1990" s="239">
        <v>19603</v>
      </c>
      <c r="C1990" s="264" t="s">
        <v>179</v>
      </c>
      <c r="D1990" s="264" t="s">
        <v>1085</v>
      </c>
      <c r="E1990" s="264" t="s">
        <v>1060</v>
      </c>
      <c r="F1990" s="239"/>
      <c r="G1990" s="265">
        <v>45868</v>
      </c>
      <c r="H1990" s="264"/>
      <c r="I1990" s="308"/>
      <c r="J1990" s="245"/>
      <c r="L1990" s="252"/>
    </row>
    <row r="1991" spans="1:83">
      <c r="A1991" s="239">
        <v>72549</v>
      </c>
      <c r="B1991" s="239">
        <v>19603</v>
      </c>
      <c r="C1991" s="264" t="s">
        <v>179</v>
      </c>
      <c r="D1991" s="264" t="s">
        <v>1086</v>
      </c>
      <c r="E1991" s="264" t="s">
        <v>1062</v>
      </c>
      <c r="F1991" s="239"/>
      <c r="G1991" s="265">
        <v>45868</v>
      </c>
      <c r="H1991" s="264"/>
      <c r="I1991" s="308"/>
      <c r="J1991" s="245"/>
      <c r="L1991" s="252"/>
    </row>
    <row r="1992" spans="1:83">
      <c r="A1992" s="239"/>
      <c r="B1992" s="239"/>
      <c r="C1992" s="264"/>
      <c r="D1992" s="264"/>
      <c r="E1992" s="264"/>
      <c r="F1992" s="239"/>
      <c r="G1992" s="265"/>
      <c r="H1992" s="264"/>
      <c r="I1992" s="308"/>
      <c r="J1992" s="245"/>
      <c r="L1992" s="252"/>
    </row>
    <row r="1993" spans="1:83">
      <c r="A1993" s="239">
        <v>72550</v>
      </c>
      <c r="B1993" s="261">
        <v>19603</v>
      </c>
      <c r="C1993" s="262" t="s">
        <v>179</v>
      </c>
      <c r="D1993" s="262" t="s">
        <v>1087</v>
      </c>
      <c r="E1993" s="262" t="s">
        <v>1057</v>
      </c>
      <c r="F1993" s="261">
        <v>1</v>
      </c>
      <c r="G1993" s="263"/>
      <c r="H1993" s="262"/>
      <c r="I1993" s="308" t="s">
        <v>2151</v>
      </c>
      <c r="J1993" s="245"/>
      <c r="L1993" s="252"/>
    </row>
    <row r="1994" spans="1:83">
      <c r="A1994" s="239">
        <v>72551</v>
      </c>
      <c r="B1994" s="239">
        <v>19603</v>
      </c>
      <c r="C1994" s="264" t="s">
        <v>179</v>
      </c>
      <c r="D1994" s="264" t="s">
        <v>1088</v>
      </c>
      <c r="E1994" s="264" t="s">
        <v>1060</v>
      </c>
      <c r="F1994" s="239"/>
      <c r="G1994" s="265"/>
      <c r="H1994" s="264"/>
      <c r="I1994" s="308"/>
      <c r="J1994" s="245"/>
      <c r="L1994" s="252"/>
    </row>
    <row r="1995" spans="1:83">
      <c r="A1995" s="239">
        <v>72552</v>
      </c>
      <c r="B1995" s="239">
        <v>19603</v>
      </c>
      <c r="C1995" s="264" t="s">
        <v>179</v>
      </c>
      <c r="D1995" s="264" t="s">
        <v>1089</v>
      </c>
      <c r="E1995" s="264" t="s">
        <v>1060</v>
      </c>
      <c r="F1995" s="239"/>
      <c r="G1995" s="265">
        <v>45868</v>
      </c>
      <c r="H1995" s="264"/>
      <c r="I1995" s="308"/>
      <c r="J1995" s="245"/>
      <c r="L1995" s="252"/>
    </row>
    <row r="1996" spans="1:83">
      <c r="A1996" s="239"/>
      <c r="B1996" s="239"/>
      <c r="C1996" s="264"/>
      <c r="D1996" s="264"/>
      <c r="E1996" s="264"/>
      <c r="F1996" s="239"/>
      <c r="G1996" s="265"/>
      <c r="H1996" s="264"/>
      <c r="I1996" s="308"/>
      <c r="J1996" s="245"/>
      <c r="L1996" s="252"/>
    </row>
    <row r="1997" spans="1:83">
      <c r="A1997" s="239">
        <v>72553</v>
      </c>
      <c r="B1997" s="239">
        <v>19603</v>
      </c>
      <c r="C1997" s="264" t="s">
        <v>179</v>
      </c>
      <c r="D1997" s="264" t="s">
        <v>1090</v>
      </c>
      <c r="E1997" s="264" t="s">
        <v>1060</v>
      </c>
      <c r="F1997" s="239"/>
      <c r="G1997" s="265"/>
      <c r="H1997" s="264"/>
      <c r="I1997" s="308"/>
      <c r="J1997" s="245"/>
      <c r="L1997" s="252"/>
    </row>
    <row r="1998" spans="1:83">
      <c r="A1998" s="239">
        <v>72554</v>
      </c>
      <c r="B1998" s="261">
        <v>19603</v>
      </c>
      <c r="C1998" s="262" t="s">
        <v>179</v>
      </c>
      <c r="D1998" s="262" t="s">
        <v>1091</v>
      </c>
      <c r="E1998" s="262" t="s">
        <v>1057</v>
      </c>
      <c r="F1998" s="261">
        <v>1</v>
      </c>
      <c r="G1998" s="263"/>
      <c r="H1998" s="262"/>
      <c r="I1998" s="308" t="s">
        <v>2151</v>
      </c>
      <c r="J1998" s="245"/>
      <c r="L1998" s="252"/>
    </row>
    <row r="1999" spans="1:83">
      <c r="A1999" s="239">
        <v>72555</v>
      </c>
      <c r="B1999" s="239">
        <v>19603</v>
      </c>
      <c r="C1999" s="264" t="s">
        <v>179</v>
      </c>
      <c r="D1999" s="264" t="s">
        <v>1092</v>
      </c>
      <c r="E1999" s="264" t="s">
        <v>1060</v>
      </c>
      <c r="F1999" s="239"/>
      <c r="G1999" s="265">
        <v>45868</v>
      </c>
      <c r="H1999" s="264"/>
      <c r="I1999" s="308"/>
      <c r="J1999" s="245"/>
      <c r="L1999" s="252"/>
    </row>
    <row r="2000" spans="1:83">
      <c r="A2000" s="239"/>
      <c r="B2000" s="239"/>
      <c r="C2000" s="264"/>
      <c r="D2000" s="264"/>
      <c r="E2000" s="264"/>
      <c r="F2000" s="239"/>
      <c r="G2000" s="265"/>
      <c r="H2000" s="264"/>
      <c r="I2000" s="308"/>
      <c r="J2000" s="245"/>
      <c r="L2000" s="252"/>
    </row>
    <row r="2001" spans="1:78">
      <c r="A2001" s="239">
        <v>72556</v>
      </c>
      <c r="B2001" s="261" t="s">
        <v>1073</v>
      </c>
      <c r="C2001" s="262" t="s">
        <v>1070</v>
      </c>
      <c r="D2001" s="262" t="s">
        <v>1072</v>
      </c>
      <c r="E2001" s="314">
        <v>4038371</v>
      </c>
      <c r="F2001" s="261"/>
      <c r="G2001" s="263">
        <v>45895</v>
      </c>
      <c r="H2001" s="262"/>
      <c r="I2001" s="313" t="s">
        <v>2151</v>
      </c>
      <c r="J2001" s="245"/>
      <c r="L2001" s="252"/>
    </row>
    <row r="2002" spans="1:78">
      <c r="A2002" s="239"/>
      <c r="B2002" s="239"/>
      <c r="C2002" s="264"/>
      <c r="D2002" s="264"/>
      <c r="E2002" s="264"/>
      <c r="F2002" s="239"/>
      <c r="G2002" s="265"/>
      <c r="H2002" s="264"/>
      <c r="I2002" s="308"/>
      <c r="J2002" s="245"/>
      <c r="L2002" s="252"/>
    </row>
    <row r="2003" spans="1:78">
      <c r="A2003" s="239">
        <v>72590</v>
      </c>
      <c r="B2003" s="239" t="s">
        <v>2655</v>
      </c>
      <c r="C2003" s="264" t="s">
        <v>20</v>
      </c>
      <c r="D2003" s="264" t="s">
        <v>2901</v>
      </c>
      <c r="E2003" s="264"/>
      <c r="F2003" s="239"/>
      <c r="G2003" s="265">
        <v>45930</v>
      </c>
      <c r="H2003" s="264"/>
      <c r="I2003" s="308"/>
      <c r="J2003" s="245"/>
      <c r="L2003" s="252"/>
    </row>
    <row r="2004" spans="1:78">
      <c r="A2004" s="264"/>
      <c r="B2004" s="264"/>
      <c r="C2004" s="264" t="s">
        <v>20</v>
      </c>
      <c r="D2004" s="264"/>
      <c r="E2004" s="316" t="s">
        <v>694</v>
      </c>
      <c r="F2004" s="264"/>
      <c r="G2004" s="265">
        <v>45915</v>
      </c>
      <c r="H2004" s="264"/>
      <c r="I2004" s="308"/>
      <c r="J2004" s="245"/>
      <c r="L2004" s="252"/>
    </row>
    <row r="2005" spans="1:78">
      <c r="A2005" s="264"/>
      <c r="B2005" s="264"/>
      <c r="C2005" s="264" t="s">
        <v>20</v>
      </c>
      <c r="D2005" s="264"/>
      <c r="E2005" s="316" t="s">
        <v>695</v>
      </c>
      <c r="F2005" s="264"/>
      <c r="G2005" s="265">
        <v>45915</v>
      </c>
      <c r="H2005" s="264"/>
      <c r="I2005" s="308" t="s">
        <v>2389</v>
      </c>
      <c r="J2005" s="245"/>
      <c r="L2005" s="252"/>
      <c r="BG2005" s="243" t="s">
        <v>2389</v>
      </c>
      <c r="BK2005" s="243" t="s">
        <v>2427</v>
      </c>
      <c r="BL2005" s="243" t="s">
        <v>2427</v>
      </c>
    </row>
    <row r="2006" spans="1:78">
      <c r="A2006" s="264"/>
      <c r="B2006" s="264"/>
      <c r="C2006" s="264" t="s">
        <v>20</v>
      </c>
      <c r="D2006" s="264" t="s">
        <v>733</v>
      </c>
      <c r="E2006" s="316" t="s">
        <v>696</v>
      </c>
      <c r="F2006" s="264"/>
      <c r="G2006" s="265">
        <v>45915</v>
      </c>
      <c r="H2006" s="264"/>
      <c r="I2006" s="308"/>
      <c r="J2006" s="245"/>
    </row>
    <row r="2007" spans="1:78">
      <c r="A2007" s="264"/>
      <c r="B2007" s="264"/>
      <c r="C2007" s="264" t="s">
        <v>20</v>
      </c>
      <c r="D2007" s="264" t="s">
        <v>732</v>
      </c>
      <c r="E2007" s="316" t="s">
        <v>726</v>
      </c>
      <c r="F2007" s="264"/>
      <c r="G2007" s="265">
        <v>45915</v>
      </c>
      <c r="H2007" s="264"/>
      <c r="I2007" s="308"/>
      <c r="J2007" s="245"/>
    </row>
    <row r="2008" spans="1:78">
      <c r="A2008" s="264"/>
      <c r="B2008" s="264"/>
      <c r="C2008" s="264" t="s">
        <v>20</v>
      </c>
      <c r="D2008" s="264" t="s">
        <v>734</v>
      </c>
      <c r="E2008" s="316" t="s">
        <v>727</v>
      </c>
      <c r="F2008" s="264"/>
      <c r="G2008" s="265">
        <v>45915</v>
      </c>
      <c r="H2008" s="264"/>
      <c r="I2008" s="308"/>
      <c r="J2008" s="245"/>
    </row>
    <row r="2009" spans="1:78">
      <c r="A2009" s="264"/>
      <c r="B2009" s="264"/>
      <c r="C2009" s="264" t="s">
        <v>20</v>
      </c>
      <c r="D2009" s="264" t="s">
        <v>735</v>
      </c>
      <c r="E2009" s="316" t="s">
        <v>729</v>
      </c>
      <c r="F2009" s="264"/>
      <c r="G2009" s="265">
        <v>45915</v>
      </c>
      <c r="H2009" s="264"/>
      <c r="I2009" s="308"/>
      <c r="J2009" s="245"/>
    </row>
    <row r="2010" spans="1:78">
      <c r="A2010" s="264"/>
      <c r="B2010" s="264"/>
      <c r="C2010" s="264" t="s">
        <v>20</v>
      </c>
      <c r="D2010" s="264" t="s">
        <v>734</v>
      </c>
      <c r="E2010" s="316" t="s">
        <v>719</v>
      </c>
      <c r="F2010" s="264"/>
      <c r="G2010" s="265">
        <v>45915</v>
      </c>
      <c r="H2010" s="264" t="s">
        <v>2782</v>
      </c>
      <c r="I2010" s="308" t="s">
        <v>2394</v>
      </c>
      <c r="J2010" s="245"/>
      <c r="BI2010" s="243" t="s">
        <v>2394</v>
      </c>
      <c r="BJ2010" s="243" t="s">
        <v>2331</v>
      </c>
      <c r="BK2010" s="243" t="s">
        <v>2331</v>
      </c>
      <c r="BL2010" s="243" t="s">
        <v>2389</v>
      </c>
      <c r="BM2010" s="243" t="s">
        <v>2225</v>
      </c>
      <c r="BN2010" s="243" t="s">
        <v>2205</v>
      </c>
      <c r="BO2010" s="243" t="s">
        <v>2558</v>
      </c>
      <c r="BP2010" s="243" t="s">
        <v>2558</v>
      </c>
      <c r="BQ2010" s="243" t="s">
        <v>2389</v>
      </c>
      <c r="BR2010" s="243" t="s">
        <v>2427</v>
      </c>
      <c r="BS2010" s="243" t="s">
        <v>2427</v>
      </c>
      <c r="BT2010" s="243" t="s">
        <v>2799</v>
      </c>
      <c r="BU2010" s="243" t="s">
        <v>2799</v>
      </c>
      <c r="BV2010" s="243" t="s">
        <v>2799</v>
      </c>
      <c r="BW2010" s="243" t="s">
        <v>2799</v>
      </c>
      <c r="BX2010" s="243" t="s">
        <v>2799</v>
      </c>
      <c r="BY2010" s="243" t="s">
        <v>2799</v>
      </c>
      <c r="BZ2010" s="243" t="s">
        <v>2799</v>
      </c>
    </row>
    <row r="2011" spans="1:78">
      <c r="A2011" s="264"/>
      <c r="B2011" s="264"/>
      <c r="C2011" s="264" t="s">
        <v>20</v>
      </c>
      <c r="D2011" s="264" t="s">
        <v>732</v>
      </c>
      <c r="E2011" s="316" t="s">
        <v>720</v>
      </c>
      <c r="F2011" s="264"/>
      <c r="G2011" s="265">
        <v>45915</v>
      </c>
      <c r="H2011" s="264"/>
      <c r="I2011" s="308"/>
      <c r="J2011" s="245"/>
    </row>
    <row r="2012" spans="1:78">
      <c r="A2012" s="264"/>
      <c r="B2012" s="264"/>
      <c r="C2012" s="264" t="s">
        <v>20</v>
      </c>
      <c r="D2012" s="264" t="s">
        <v>735</v>
      </c>
      <c r="E2012" s="316" t="s">
        <v>728</v>
      </c>
      <c r="F2012" s="264"/>
      <c r="G2012" s="265">
        <v>45915</v>
      </c>
      <c r="H2012" s="264"/>
      <c r="I2012" s="308"/>
      <c r="J2012" s="245"/>
    </row>
    <row r="2013" spans="1:78">
      <c r="A2013" s="264"/>
      <c r="B2013" s="264"/>
      <c r="C2013" s="264" t="s">
        <v>20</v>
      </c>
      <c r="D2013" s="264" t="s">
        <v>737</v>
      </c>
      <c r="E2013" s="316" t="s">
        <v>721</v>
      </c>
      <c r="F2013" s="264"/>
      <c r="G2013" s="265">
        <v>45915</v>
      </c>
      <c r="H2013" s="264"/>
      <c r="I2013" s="308"/>
      <c r="J2013" s="245"/>
    </row>
    <row r="2014" spans="1:78">
      <c r="A2014" s="264"/>
      <c r="B2014" s="264"/>
      <c r="C2014" s="264" t="s">
        <v>20</v>
      </c>
      <c r="D2014" s="264" t="s">
        <v>736</v>
      </c>
      <c r="E2014" s="316" t="s">
        <v>722</v>
      </c>
      <c r="F2014" s="264"/>
      <c r="G2014" s="265">
        <v>45915</v>
      </c>
      <c r="H2014" s="264"/>
      <c r="I2014" s="308"/>
      <c r="J2014" s="245"/>
    </row>
    <row r="2015" spans="1:78">
      <c r="A2015" s="264"/>
      <c r="B2015" s="264"/>
      <c r="C2015" s="264" t="s">
        <v>20</v>
      </c>
      <c r="D2015" s="264" t="s">
        <v>737</v>
      </c>
      <c r="E2015" s="316" t="s">
        <v>723</v>
      </c>
      <c r="F2015" s="264"/>
      <c r="G2015" s="265">
        <v>45915</v>
      </c>
      <c r="H2015" s="264"/>
      <c r="I2015" s="308"/>
      <c r="J2015" s="245"/>
    </row>
    <row r="2016" spans="1:78">
      <c r="A2016" s="264"/>
      <c r="B2016" s="264"/>
      <c r="C2016" s="264" t="s">
        <v>20</v>
      </c>
      <c r="D2016" s="264" t="s">
        <v>738</v>
      </c>
      <c r="E2016" s="316" t="s">
        <v>724</v>
      </c>
      <c r="F2016" s="264"/>
      <c r="G2016" s="265">
        <v>45915</v>
      </c>
      <c r="H2016" s="264"/>
      <c r="I2016" s="308" t="s">
        <v>2196</v>
      </c>
      <c r="J2016" s="245"/>
      <c r="AE2016" s="243" t="s">
        <v>2196</v>
      </c>
    </row>
    <row r="2017" spans="1:70">
      <c r="A2017" s="264"/>
      <c r="B2017" s="264"/>
      <c r="C2017" s="264" t="s">
        <v>20</v>
      </c>
      <c r="D2017" s="264" t="s">
        <v>739</v>
      </c>
      <c r="E2017" s="316" t="s">
        <v>725</v>
      </c>
      <c r="F2017" s="264"/>
      <c r="G2017" s="265">
        <v>45915</v>
      </c>
      <c r="H2017" s="264"/>
      <c r="I2017" s="308"/>
      <c r="J2017" s="245"/>
    </row>
    <row r="2018" spans="1:70">
      <c r="A2018" s="264"/>
      <c r="B2018" s="264"/>
      <c r="C2018" s="264" t="s">
        <v>20</v>
      </c>
      <c r="D2018" s="264" t="s">
        <v>740</v>
      </c>
      <c r="E2018" s="316" t="s">
        <v>697</v>
      </c>
      <c r="F2018" s="264"/>
      <c r="G2018" s="265">
        <v>45915</v>
      </c>
      <c r="H2018" s="264"/>
      <c r="I2018" s="308"/>
      <c r="J2018" s="245"/>
    </row>
    <row r="2019" spans="1:70">
      <c r="A2019" s="264"/>
      <c r="B2019" s="264"/>
      <c r="C2019" s="264" t="s">
        <v>20</v>
      </c>
      <c r="D2019" s="264" t="s">
        <v>741</v>
      </c>
      <c r="E2019" s="316" t="s">
        <v>698</v>
      </c>
      <c r="F2019" s="264"/>
      <c r="G2019" s="265">
        <v>45915</v>
      </c>
      <c r="H2019" s="264"/>
      <c r="I2019" s="308"/>
      <c r="J2019" s="245"/>
    </row>
    <row r="2020" spans="1:70">
      <c r="A2020" s="264"/>
      <c r="B2020" s="264"/>
      <c r="C2020" s="264" t="s">
        <v>20</v>
      </c>
      <c r="D2020" s="264" t="s">
        <v>742</v>
      </c>
      <c r="E2020" s="316" t="s">
        <v>699</v>
      </c>
      <c r="F2020" s="264"/>
      <c r="G2020" s="265">
        <v>45915</v>
      </c>
      <c r="H2020" s="264"/>
      <c r="I2020" s="308"/>
      <c r="J2020" s="245"/>
    </row>
    <row r="2021" spans="1:70">
      <c r="A2021" s="264"/>
      <c r="B2021" s="264"/>
      <c r="C2021" s="264" t="s">
        <v>20</v>
      </c>
      <c r="D2021" s="264" t="s">
        <v>743</v>
      </c>
      <c r="E2021" s="316" t="s">
        <v>700</v>
      </c>
      <c r="F2021" s="264"/>
      <c r="G2021" s="265">
        <v>45915</v>
      </c>
      <c r="H2021" s="264"/>
      <c r="I2021" s="308" t="s">
        <v>2394</v>
      </c>
      <c r="J2021" s="245"/>
      <c r="BK2021" s="243" t="s">
        <v>2394</v>
      </c>
    </row>
    <row r="2022" spans="1:70">
      <c r="A2022" s="264"/>
      <c r="B2022" s="264"/>
      <c r="C2022" s="264" t="s">
        <v>20</v>
      </c>
      <c r="D2022" s="264" t="s">
        <v>744</v>
      </c>
      <c r="E2022" s="316" t="s">
        <v>701</v>
      </c>
      <c r="F2022" s="264"/>
      <c r="G2022" s="265">
        <v>45915</v>
      </c>
      <c r="H2022" s="264"/>
      <c r="I2022" s="308"/>
      <c r="J2022" s="245"/>
    </row>
    <row r="2023" spans="1:70">
      <c r="A2023" s="264"/>
      <c r="B2023" s="264"/>
      <c r="C2023" s="264" t="s">
        <v>20</v>
      </c>
      <c r="D2023" s="264" t="s">
        <v>745</v>
      </c>
      <c r="E2023" s="316" t="s">
        <v>702</v>
      </c>
      <c r="F2023" s="264"/>
      <c r="G2023" s="265">
        <v>45915</v>
      </c>
      <c r="H2023" s="264"/>
      <c r="I2023" s="308"/>
      <c r="J2023" s="245"/>
    </row>
    <row r="2024" spans="1:70">
      <c r="A2024" s="264"/>
      <c r="B2024" s="264"/>
      <c r="C2024" s="264" t="s">
        <v>20</v>
      </c>
      <c r="D2024" s="264" t="s">
        <v>395</v>
      </c>
      <c r="E2024" s="316" t="s">
        <v>703</v>
      </c>
      <c r="F2024" s="264"/>
      <c r="G2024" s="265">
        <v>45915</v>
      </c>
      <c r="H2024" s="264"/>
      <c r="I2024" s="308"/>
      <c r="J2024" s="245"/>
    </row>
    <row r="2025" spans="1:70">
      <c r="A2025" s="264"/>
      <c r="B2025" s="264"/>
      <c r="C2025" s="264" t="s">
        <v>20</v>
      </c>
      <c r="D2025" s="264" t="s">
        <v>746</v>
      </c>
      <c r="E2025" s="316" t="s">
        <v>704</v>
      </c>
      <c r="F2025" s="264"/>
      <c r="G2025" s="265">
        <v>45915</v>
      </c>
      <c r="H2025" s="264"/>
      <c r="I2025" s="308" t="s">
        <v>2394</v>
      </c>
      <c r="J2025" s="245"/>
      <c r="BK2025" s="243" t="s">
        <v>2394</v>
      </c>
      <c r="BN2025" s="243" t="s">
        <v>2340</v>
      </c>
      <c r="BO2025" s="243" t="s">
        <v>2340</v>
      </c>
      <c r="BP2025" s="243" t="s">
        <v>2389</v>
      </c>
      <c r="BQ2025" s="243" t="s">
        <v>2427</v>
      </c>
      <c r="BR2025" s="243" t="s">
        <v>2427</v>
      </c>
    </row>
    <row r="2026" spans="1:70">
      <c r="A2026" s="264"/>
      <c r="B2026" s="264"/>
      <c r="C2026" s="264" t="s">
        <v>20</v>
      </c>
      <c r="D2026" s="264" t="s">
        <v>747</v>
      </c>
      <c r="E2026" s="316" t="s">
        <v>705</v>
      </c>
      <c r="F2026" s="264"/>
      <c r="G2026" s="265">
        <v>45915</v>
      </c>
      <c r="H2026" s="264"/>
      <c r="I2026" s="308"/>
      <c r="J2026" s="245"/>
    </row>
    <row r="2027" spans="1:70">
      <c r="A2027" s="264"/>
      <c r="B2027" s="264"/>
      <c r="C2027" s="264" t="s">
        <v>20</v>
      </c>
      <c r="D2027" s="264" t="s">
        <v>395</v>
      </c>
      <c r="E2027" s="316" t="s">
        <v>706</v>
      </c>
      <c r="F2027" s="264"/>
      <c r="G2027" s="265">
        <v>45915</v>
      </c>
      <c r="H2027" s="264"/>
      <c r="I2027" s="308"/>
      <c r="J2027" s="245"/>
    </row>
    <row r="2028" spans="1:70">
      <c r="A2028" s="264"/>
      <c r="B2028" s="264"/>
      <c r="C2028" s="264" t="s">
        <v>20</v>
      </c>
      <c r="D2028" s="264" t="s">
        <v>748</v>
      </c>
      <c r="E2028" s="316" t="s">
        <v>707</v>
      </c>
      <c r="F2028" s="264"/>
      <c r="G2028" s="265">
        <v>45915</v>
      </c>
      <c r="H2028" s="264"/>
      <c r="I2028" s="308" t="s">
        <v>2366</v>
      </c>
      <c r="J2028" s="245"/>
      <c r="BI2028" s="243" t="s">
        <v>2366</v>
      </c>
      <c r="BN2028" s="243" t="s">
        <v>2389</v>
      </c>
      <c r="BO2028" s="243" t="s">
        <v>2427</v>
      </c>
      <c r="BP2028" s="243" t="s">
        <v>2427</v>
      </c>
    </row>
    <row r="2029" spans="1:70">
      <c r="A2029" s="264"/>
      <c r="B2029" s="264"/>
      <c r="C2029" s="264" t="s">
        <v>20</v>
      </c>
      <c r="D2029" s="264" t="s">
        <v>750</v>
      </c>
      <c r="E2029" s="316" t="s">
        <v>708</v>
      </c>
      <c r="F2029" s="264"/>
      <c r="G2029" s="265">
        <v>45915</v>
      </c>
      <c r="H2029" s="264"/>
      <c r="I2029" s="308"/>
      <c r="J2029" s="245"/>
    </row>
    <row r="2030" spans="1:70">
      <c r="A2030" s="264"/>
      <c r="B2030" s="264"/>
      <c r="C2030" s="264" t="s">
        <v>20</v>
      </c>
      <c r="D2030" s="264" t="s">
        <v>749</v>
      </c>
      <c r="E2030" s="316" t="s">
        <v>709</v>
      </c>
      <c r="F2030" s="264"/>
      <c r="G2030" s="265">
        <v>45915</v>
      </c>
      <c r="H2030" s="264"/>
      <c r="I2030" s="308" t="s">
        <v>2366</v>
      </c>
      <c r="J2030" s="245"/>
      <c r="BI2030" s="243" t="s">
        <v>2366</v>
      </c>
      <c r="BK2030" s="243" t="s">
        <v>2389</v>
      </c>
      <c r="BL2030" s="243" t="s">
        <v>2427</v>
      </c>
      <c r="BM2030" s="243" t="s">
        <v>2427</v>
      </c>
    </row>
    <row r="2031" spans="1:70">
      <c r="A2031" s="264"/>
      <c r="B2031" s="264"/>
      <c r="C2031" s="264" t="s">
        <v>20</v>
      </c>
      <c r="D2031" s="264" t="s">
        <v>751</v>
      </c>
      <c r="E2031" s="316" t="s">
        <v>710</v>
      </c>
      <c r="F2031" s="264"/>
      <c r="G2031" s="265">
        <v>45915</v>
      </c>
      <c r="H2031" s="264"/>
      <c r="I2031" s="308" t="s">
        <v>2394</v>
      </c>
      <c r="J2031" s="245"/>
      <c r="BK2031" s="243" t="s">
        <v>2394</v>
      </c>
      <c r="BL2031" s="243" t="s">
        <v>2340</v>
      </c>
      <c r="BM2031" s="243" t="s">
        <v>2340</v>
      </c>
      <c r="BN2031" s="243" t="s">
        <v>2389</v>
      </c>
      <c r="BO2031" s="243" t="s">
        <v>2427</v>
      </c>
      <c r="BP2031" s="243" t="s">
        <v>2427</v>
      </c>
    </row>
    <row r="2032" spans="1:70">
      <c r="A2032" s="264"/>
      <c r="B2032" s="264"/>
      <c r="C2032" s="264" t="s">
        <v>20</v>
      </c>
      <c r="D2032" s="264" t="s">
        <v>752</v>
      </c>
      <c r="E2032" s="316" t="s">
        <v>711</v>
      </c>
      <c r="F2032" s="264"/>
      <c r="G2032" s="265">
        <v>45915</v>
      </c>
      <c r="H2032" s="264"/>
      <c r="I2032" s="308"/>
      <c r="J2032" s="245"/>
    </row>
    <row r="2033" spans="1:80">
      <c r="A2033" s="264"/>
      <c r="B2033" s="264"/>
      <c r="C2033" s="264" t="s">
        <v>20</v>
      </c>
      <c r="D2033" s="264" t="s">
        <v>753</v>
      </c>
      <c r="E2033" s="316" t="s">
        <v>712</v>
      </c>
      <c r="F2033" s="264"/>
      <c r="G2033" s="265">
        <v>45915</v>
      </c>
      <c r="H2033" s="264"/>
      <c r="I2033" s="308"/>
      <c r="J2033" s="245"/>
    </row>
    <row r="2034" spans="1:80">
      <c r="A2034" s="264"/>
      <c r="B2034" s="264"/>
      <c r="C2034" s="264" t="s">
        <v>20</v>
      </c>
      <c r="D2034" s="264" t="s">
        <v>754</v>
      </c>
      <c r="E2034" s="316" t="s">
        <v>713</v>
      </c>
      <c r="F2034" s="264"/>
      <c r="G2034" s="265">
        <v>45915</v>
      </c>
      <c r="H2034" s="264"/>
      <c r="I2034" s="308"/>
      <c r="J2034" s="245"/>
    </row>
    <row r="2035" spans="1:80">
      <c r="A2035" s="264"/>
      <c r="B2035" s="264"/>
      <c r="C2035" s="264" t="s">
        <v>20</v>
      </c>
      <c r="D2035" s="264" t="s">
        <v>755</v>
      </c>
      <c r="E2035" s="316" t="s">
        <v>714</v>
      </c>
      <c r="F2035" s="264"/>
      <c r="G2035" s="265">
        <v>45915</v>
      </c>
      <c r="H2035" s="264"/>
      <c r="I2035" s="308" t="s">
        <v>2394</v>
      </c>
      <c r="J2035" s="245"/>
      <c r="BK2035" s="243" t="s">
        <v>2394</v>
      </c>
      <c r="BL2035" s="243" t="s">
        <v>2340</v>
      </c>
      <c r="BM2035" s="243" t="s">
        <v>2340</v>
      </c>
      <c r="BN2035" s="243" t="s">
        <v>2389</v>
      </c>
      <c r="BO2035" s="243" t="s">
        <v>2427</v>
      </c>
      <c r="BP2035" s="243" t="s">
        <v>2427</v>
      </c>
    </row>
    <row r="2036" spans="1:80">
      <c r="A2036" s="264"/>
      <c r="B2036" s="264"/>
      <c r="C2036" s="264" t="s">
        <v>20</v>
      </c>
      <c r="D2036" s="264" t="s">
        <v>735</v>
      </c>
      <c r="E2036" s="316" t="s">
        <v>730</v>
      </c>
      <c r="F2036" s="264"/>
      <c r="G2036" s="265">
        <v>45915</v>
      </c>
      <c r="H2036" s="264"/>
      <c r="I2036" s="308"/>
      <c r="J2036" s="245"/>
    </row>
    <row r="2037" spans="1:80">
      <c r="A2037" s="264"/>
      <c r="B2037" s="264"/>
      <c r="C2037" s="264" t="s">
        <v>20</v>
      </c>
      <c r="D2037" s="264" t="s">
        <v>756</v>
      </c>
      <c r="E2037" s="316" t="s">
        <v>715</v>
      </c>
      <c r="F2037" s="264"/>
      <c r="G2037" s="265">
        <v>45915</v>
      </c>
      <c r="H2037" s="264"/>
      <c r="I2037" s="308"/>
      <c r="J2037" s="245"/>
    </row>
    <row r="2038" spans="1:80">
      <c r="A2038" s="264"/>
      <c r="B2038" s="264"/>
      <c r="C2038" s="264" t="s">
        <v>20</v>
      </c>
      <c r="D2038" s="264" t="s">
        <v>757</v>
      </c>
      <c r="E2038" s="316" t="s">
        <v>716</v>
      </c>
      <c r="F2038" s="264"/>
      <c r="G2038" s="265">
        <v>45915</v>
      </c>
      <c r="H2038" s="264"/>
      <c r="I2038" s="308"/>
      <c r="J2038" s="245"/>
    </row>
    <row r="2039" spans="1:80">
      <c r="A2039" s="264"/>
      <c r="B2039" s="264"/>
      <c r="C2039" s="264" t="s">
        <v>20</v>
      </c>
      <c r="D2039" s="264" t="s">
        <v>758</v>
      </c>
      <c r="E2039" s="316" t="s">
        <v>717</v>
      </c>
      <c r="F2039" s="264"/>
      <c r="G2039" s="265">
        <v>45915</v>
      </c>
      <c r="H2039" s="264"/>
      <c r="I2039" s="308"/>
      <c r="J2039" s="245"/>
    </row>
    <row r="2040" spans="1:80">
      <c r="A2040" s="264"/>
      <c r="B2040" s="264"/>
      <c r="C2040" s="264" t="s">
        <v>20</v>
      </c>
      <c r="D2040" s="264" t="s">
        <v>759</v>
      </c>
      <c r="E2040" s="316" t="s">
        <v>718</v>
      </c>
      <c r="F2040" s="264"/>
      <c r="G2040" s="265">
        <v>45915</v>
      </c>
      <c r="H2040" s="264"/>
      <c r="I2040" s="308"/>
      <c r="J2040" s="245"/>
    </row>
    <row r="2041" spans="1:80">
      <c r="A2041" s="264"/>
      <c r="B2041" s="264"/>
      <c r="C2041" s="264" t="s">
        <v>20</v>
      </c>
      <c r="D2041" s="264" t="s">
        <v>760</v>
      </c>
      <c r="E2041" s="316" t="s">
        <v>731</v>
      </c>
      <c r="F2041" s="264"/>
      <c r="G2041" s="265">
        <v>45915</v>
      </c>
      <c r="H2041" s="264"/>
      <c r="I2041" s="308"/>
      <c r="J2041" s="245"/>
    </row>
    <row r="2042" spans="1:80">
      <c r="A2042" s="264"/>
      <c r="B2042" s="264"/>
      <c r="C2042" s="264" t="s">
        <v>20</v>
      </c>
      <c r="D2042" s="264" t="s">
        <v>762</v>
      </c>
      <c r="E2042" s="264" t="s">
        <v>761</v>
      </c>
      <c r="F2042" s="264"/>
      <c r="G2042" s="265">
        <v>45915</v>
      </c>
      <c r="H2042" s="264"/>
      <c r="I2042" s="308"/>
      <c r="J2042" s="245"/>
    </row>
    <row r="2043" spans="1:80">
      <c r="A2043" s="264"/>
      <c r="B2043" s="264"/>
      <c r="C2043" s="264" t="s">
        <v>20</v>
      </c>
      <c r="D2043" s="264" t="s">
        <v>763</v>
      </c>
      <c r="E2043" s="264" t="s">
        <v>694</v>
      </c>
      <c r="F2043" s="264"/>
      <c r="G2043" s="265">
        <v>45915</v>
      </c>
      <c r="H2043" s="264"/>
      <c r="I2043" s="308"/>
      <c r="J2043" s="245"/>
    </row>
    <row r="2044" spans="1:80">
      <c r="A2044" s="264"/>
      <c r="B2044" s="264"/>
      <c r="C2044" s="264" t="s">
        <v>20</v>
      </c>
      <c r="D2044" s="264" t="s">
        <v>764</v>
      </c>
      <c r="E2044" s="264" t="s">
        <v>695</v>
      </c>
      <c r="F2044" s="264"/>
      <c r="G2044" s="265">
        <v>45915</v>
      </c>
      <c r="H2044" s="264"/>
      <c r="I2044" s="308"/>
      <c r="J2044" s="245"/>
    </row>
    <row r="2045" spans="1:80">
      <c r="A2045" s="239">
        <v>72557</v>
      </c>
      <c r="B2045" s="239">
        <v>1114137</v>
      </c>
      <c r="C2045" s="264" t="s">
        <v>453</v>
      </c>
      <c r="D2045" s="264" t="s">
        <v>452</v>
      </c>
      <c r="E2045" s="264" t="s">
        <v>451</v>
      </c>
      <c r="F2045" s="239">
        <v>1</v>
      </c>
      <c r="G2045" s="265">
        <v>45884</v>
      </c>
      <c r="H2045" s="239" t="s">
        <v>2536</v>
      </c>
      <c r="I2045" s="308" t="s">
        <v>2340</v>
      </c>
      <c r="J2045" s="245"/>
      <c r="AE2045" s="243" t="s">
        <v>2413</v>
      </c>
      <c r="AO2045" s="243" t="s">
        <v>2340</v>
      </c>
    </row>
    <row r="2046" spans="1:80">
      <c r="A2046" s="239">
        <v>72558</v>
      </c>
      <c r="B2046" s="239" t="s">
        <v>2216</v>
      </c>
      <c r="C2046" s="264" t="s">
        <v>20</v>
      </c>
      <c r="D2046" s="264" t="s">
        <v>2219</v>
      </c>
      <c r="E2046" s="264" t="s">
        <v>2220</v>
      </c>
      <c r="F2046" s="264"/>
      <c r="G2046" s="265">
        <v>45917</v>
      </c>
      <c r="H2046" s="264" t="s">
        <v>2715</v>
      </c>
      <c r="I2046" s="313" t="s">
        <v>2787</v>
      </c>
      <c r="J2046" s="245"/>
      <c r="BA2046" s="243" t="s">
        <v>2340</v>
      </c>
      <c r="BB2046" s="243" t="s">
        <v>2331</v>
      </c>
      <c r="BC2046" s="243" t="s">
        <v>2331</v>
      </c>
      <c r="BD2046" s="243" t="s">
        <v>2331</v>
      </c>
      <c r="BE2046" s="243" t="s">
        <v>2331</v>
      </c>
      <c r="BF2046" s="243" t="s">
        <v>2331</v>
      </c>
      <c r="BG2046" s="243" t="s">
        <v>2331</v>
      </c>
      <c r="BH2046" s="243" t="s">
        <v>2389</v>
      </c>
      <c r="BI2046" s="243" t="s">
        <v>2225</v>
      </c>
      <c r="BJ2046" s="243" t="s">
        <v>2412</v>
      </c>
      <c r="BK2046" s="243" t="s">
        <v>2412</v>
      </c>
      <c r="BL2046" s="243" t="s">
        <v>2412</v>
      </c>
      <c r="BM2046" s="243" t="s">
        <v>2412</v>
      </c>
      <c r="BN2046" s="243" t="s">
        <v>2412</v>
      </c>
      <c r="BO2046" s="243" t="s">
        <v>2538</v>
      </c>
      <c r="BP2046" s="243" t="s">
        <v>2538</v>
      </c>
      <c r="BQ2046" s="243" t="s">
        <v>2538</v>
      </c>
      <c r="BR2046" s="243" t="s">
        <v>2538</v>
      </c>
      <c r="BS2046" s="243" t="s">
        <v>2538</v>
      </c>
      <c r="BT2046" s="243" t="s">
        <v>2538</v>
      </c>
      <c r="BU2046" s="243" t="s">
        <v>2538</v>
      </c>
      <c r="BV2046" s="243" t="s">
        <v>2196</v>
      </c>
      <c r="BW2046" s="243" t="s">
        <v>2437</v>
      </c>
      <c r="BX2046" s="243" t="s">
        <v>2437</v>
      </c>
      <c r="BY2046" s="243" t="s">
        <v>2427</v>
      </c>
      <c r="BZ2046" s="243" t="s">
        <v>2427</v>
      </c>
      <c r="CA2046" s="243" t="s">
        <v>2426</v>
      </c>
      <c r="CB2046" s="243" t="s">
        <v>2208</v>
      </c>
    </row>
    <row r="2047" spans="1:80">
      <c r="A2047" s="239">
        <v>72559</v>
      </c>
      <c r="B2047" s="239" t="s">
        <v>2216</v>
      </c>
      <c r="C2047" s="264" t="s">
        <v>20</v>
      </c>
      <c r="D2047" s="264" t="s">
        <v>2217</v>
      </c>
      <c r="E2047" s="264" t="s">
        <v>2218</v>
      </c>
      <c r="F2047" s="264"/>
      <c r="G2047" s="265">
        <v>45911</v>
      </c>
      <c r="H2047" s="264" t="s">
        <v>2715</v>
      </c>
      <c r="I2047" s="308" t="s">
        <v>2412</v>
      </c>
      <c r="J2047" s="245"/>
      <c r="AO2047" s="243" t="s">
        <v>2340</v>
      </c>
      <c r="AP2047" s="243" t="s">
        <v>2331</v>
      </c>
      <c r="AQ2047" s="243" t="s">
        <v>2331</v>
      </c>
      <c r="AR2047" s="243" t="s">
        <v>2182</v>
      </c>
      <c r="AS2047" s="243" t="s">
        <v>2225</v>
      </c>
      <c r="AT2047" s="243" t="s">
        <v>2225</v>
      </c>
      <c r="AU2047" s="243" t="s">
        <v>2225</v>
      </c>
      <c r="AV2047" s="243" t="s">
        <v>2225</v>
      </c>
      <c r="AW2047" s="243" t="s">
        <v>2225</v>
      </c>
      <c r="AX2047" s="243" t="s">
        <v>2412</v>
      </c>
      <c r="AY2047" s="243" t="s">
        <v>2412</v>
      </c>
      <c r="AZ2047" s="243" t="s">
        <v>2412</v>
      </c>
      <c r="BA2047" s="243" t="s">
        <v>2412</v>
      </c>
      <c r="BB2047" s="243" t="s">
        <v>2412</v>
      </c>
      <c r="BC2047" s="243" t="s">
        <v>2412</v>
      </c>
      <c r="BD2047" s="243" t="s">
        <v>2412</v>
      </c>
      <c r="BE2047" s="243" t="s">
        <v>2412</v>
      </c>
      <c r="BF2047" s="243" t="s">
        <v>2412</v>
      </c>
      <c r="BG2047" s="243" t="s">
        <v>2412</v>
      </c>
      <c r="BH2047" s="243" t="s">
        <v>2196</v>
      </c>
      <c r="BI2047" s="243" t="s">
        <v>2538</v>
      </c>
      <c r="BJ2047" s="243" t="s">
        <v>2538</v>
      </c>
      <c r="BK2047" s="243" t="s">
        <v>2538</v>
      </c>
      <c r="BL2047" s="243" t="s">
        <v>2538</v>
      </c>
      <c r="BM2047" s="243" t="s">
        <v>2538</v>
      </c>
      <c r="BN2047" s="243" t="s">
        <v>2538</v>
      </c>
      <c r="BO2047" s="243" t="s">
        <v>2538</v>
      </c>
      <c r="BP2047" s="243" t="s">
        <v>2539</v>
      </c>
      <c r="BQ2047" s="243" t="s">
        <v>2437</v>
      </c>
      <c r="BR2047" s="243" t="s">
        <v>2437</v>
      </c>
      <c r="BS2047" s="243" t="s">
        <v>2427</v>
      </c>
      <c r="BT2047" s="243" t="s">
        <v>2427</v>
      </c>
      <c r="BU2047" s="243" t="s">
        <v>2426</v>
      </c>
      <c r="BV2047" s="243" t="s">
        <v>2426</v>
      </c>
      <c r="BW2047" s="243" t="s">
        <v>2208</v>
      </c>
    </row>
    <row r="2048" spans="1:80" ht="120">
      <c r="A2048" s="239">
        <v>72560</v>
      </c>
      <c r="B2048" s="239" t="s">
        <v>2216</v>
      </c>
      <c r="C2048" s="264" t="s">
        <v>20</v>
      </c>
      <c r="D2048" s="264" t="s">
        <v>2214</v>
      </c>
      <c r="E2048" s="264" t="s">
        <v>2215</v>
      </c>
      <c r="F2048" s="264"/>
      <c r="G2048" s="265">
        <v>45916</v>
      </c>
      <c r="H2048" s="264" t="s">
        <v>2715</v>
      </c>
      <c r="I2048" s="313" t="s">
        <v>2196</v>
      </c>
      <c r="J2048" s="245"/>
      <c r="AO2048" s="243" t="s">
        <v>2394</v>
      </c>
      <c r="AP2048" s="243" t="s">
        <v>2340</v>
      </c>
      <c r="AQ2048" s="243" t="s">
        <v>2340</v>
      </c>
      <c r="AR2048" s="243" t="s">
        <v>2331</v>
      </c>
      <c r="AS2048" s="243" t="s">
        <v>2331</v>
      </c>
      <c r="AT2048" s="243" t="s">
        <v>2389</v>
      </c>
      <c r="AU2048" s="243" t="s">
        <v>2225</v>
      </c>
      <c r="AV2048" s="243" t="s">
        <v>2225</v>
      </c>
      <c r="AW2048" s="243" t="s">
        <v>2225</v>
      </c>
      <c r="AX2048" s="243" t="s">
        <v>2225</v>
      </c>
      <c r="AY2048" s="243" t="s">
        <v>2225</v>
      </c>
      <c r="AZ2048" s="243" t="s">
        <v>2225</v>
      </c>
      <c r="BA2048" s="243" t="s">
        <v>2225</v>
      </c>
      <c r="BB2048" s="243" t="s">
        <v>2225</v>
      </c>
      <c r="BC2048" s="243" t="s">
        <v>2225</v>
      </c>
      <c r="BD2048" s="243" t="s">
        <v>2225</v>
      </c>
      <c r="BE2048" s="243" t="s">
        <v>2225</v>
      </c>
      <c r="BF2048" s="243" t="s">
        <v>2225</v>
      </c>
      <c r="BG2048" s="246" t="s">
        <v>2585</v>
      </c>
      <c r="BH2048" s="246" t="s">
        <v>2585</v>
      </c>
      <c r="BI2048" s="246" t="s">
        <v>2585</v>
      </c>
      <c r="BJ2048" s="246" t="s">
        <v>2585</v>
      </c>
      <c r="BK2048" s="243" t="s">
        <v>2196</v>
      </c>
      <c r="BL2048" s="243" t="s">
        <v>2225</v>
      </c>
      <c r="BM2048" s="243" t="s">
        <v>2225</v>
      </c>
      <c r="BN2048" s="243" t="s">
        <v>2586</v>
      </c>
      <c r="BO2048" s="243" t="s">
        <v>2586</v>
      </c>
      <c r="BP2048" s="243" t="s">
        <v>2389</v>
      </c>
      <c r="BQ2048" s="243" t="s">
        <v>2437</v>
      </c>
      <c r="BR2048" s="243" t="s">
        <v>2437</v>
      </c>
      <c r="BS2048" s="243" t="s">
        <v>2427</v>
      </c>
      <c r="BT2048" s="243" t="s">
        <v>2427</v>
      </c>
      <c r="BU2048" s="243" t="s">
        <v>2426</v>
      </c>
      <c r="BV2048" s="243" t="s">
        <v>2426</v>
      </c>
      <c r="BW2048" s="243" t="s">
        <v>2208</v>
      </c>
    </row>
    <row r="2049" spans="1:93">
      <c r="A2049" s="239">
        <v>72561</v>
      </c>
      <c r="B2049" s="239" t="s">
        <v>2158</v>
      </c>
      <c r="C2049" s="264" t="s">
        <v>526</v>
      </c>
      <c r="D2049" s="264" t="s">
        <v>2159</v>
      </c>
      <c r="E2049" s="240" t="s">
        <v>253</v>
      </c>
      <c r="F2049" s="239"/>
      <c r="G2049" s="265">
        <v>45869</v>
      </c>
      <c r="H2049" s="264"/>
      <c r="I2049" s="308" t="s">
        <v>2405</v>
      </c>
      <c r="J2049" s="245"/>
    </row>
    <row r="2050" spans="1:93" ht="90">
      <c r="A2050" s="239">
        <v>72568</v>
      </c>
      <c r="B2050" s="239">
        <v>4890038686</v>
      </c>
      <c r="C2050" s="264" t="s">
        <v>338</v>
      </c>
      <c r="D2050" s="264" t="s">
        <v>2160</v>
      </c>
      <c r="E2050" s="264" t="s">
        <v>3151</v>
      </c>
      <c r="F2050" s="239">
        <v>4</v>
      </c>
      <c r="G2050" s="265">
        <v>45898</v>
      </c>
      <c r="H2050" s="264" t="s">
        <v>2812</v>
      </c>
      <c r="I2050" s="308" t="s">
        <v>2769</v>
      </c>
      <c r="J2050" s="245"/>
      <c r="AP2050" s="243" t="s">
        <v>2340</v>
      </c>
      <c r="AQ2050" s="243" t="s">
        <v>2331</v>
      </c>
      <c r="AR2050" s="243" t="s">
        <v>2331</v>
      </c>
      <c r="AS2050" s="243" t="s">
        <v>2182</v>
      </c>
      <c r="AT2050" s="243" t="s">
        <v>2182</v>
      </c>
      <c r="AU2050" s="243" t="s">
        <v>2182</v>
      </c>
      <c r="AV2050" s="243" t="s">
        <v>2182</v>
      </c>
      <c r="AW2050" s="243" t="s">
        <v>2182</v>
      </c>
      <c r="AX2050" s="243" t="s">
        <v>2389</v>
      </c>
      <c r="AY2050" s="243" t="s">
        <v>2437</v>
      </c>
      <c r="AZ2050" s="243" t="s">
        <v>2437</v>
      </c>
      <c r="BA2050" s="243" t="s">
        <v>2225</v>
      </c>
      <c r="BB2050" s="243" t="s">
        <v>2225</v>
      </c>
      <c r="BC2050" s="246" t="s">
        <v>2544</v>
      </c>
      <c r="BD2050" s="246" t="s">
        <v>2544</v>
      </c>
      <c r="BE2050" s="246" t="s">
        <v>2544</v>
      </c>
      <c r="BF2050" s="246" t="s">
        <v>2544</v>
      </c>
      <c r="BG2050" s="246" t="s">
        <v>2544</v>
      </c>
      <c r="BH2050" s="246" t="s">
        <v>2544</v>
      </c>
      <c r="BI2050" s="246" t="s">
        <v>2544</v>
      </c>
      <c r="BJ2050" s="243" t="s">
        <v>2196</v>
      </c>
      <c r="BK2050" s="243" t="s">
        <v>2225</v>
      </c>
      <c r="BL2050" s="243" t="s">
        <v>2225</v>
      </c>
      <c r="BM2050" s="243" t="s">
        <v>2426</v>
      </c>
      <c r="BN2050" s="243" t="s">
        <v>2426</v>
      </c>
      <c r="BO2050" s="243" t="s">
        <v>2208</v>
      </c>
      <c r="BZ2050" s="243" t="s">
        <v>2769</v>
      </c>
      <c r="CA2050" s="243" t="s">
        <v>2769</v>
      </c>
      <c r="CB2050" s="243" t="s">
        <v>2769</v>
      </c>
      <c r="CC2050" s="243" t="s">
        <v>2769</v>
      </c>
      <c r="CD2050" s="243" t="s">
        <v>2196</v>
      </c>
      <c r="CE2050" s="243" t="s">
        <v>2225</v>
      </c>
      <c r="CF2050" s="243" t="s">
        <v>2426</v>
      </c>
      <c r="CG2050" s="243" t="s">
        <v>2208</v>
      </c>
    </row>
    <row r="2051" spans="1:93" ht="90">
      <c r="A2051" s="239">
        <v>72569</v>
      </c>
      <c r="B2051" s="239">
        <v>4890038686</v>
      </c>
      <c r="C2051" s="264" t="s">
        <v>338</v>
      </c>
      <c r="D2051" s="359" t="s">
        <v>3150</v>
      </c>
      <c r="E2051" s="264" t="s">
        <v>2161</v>
      </c>
      <c r="F2051" s="239">
        <v>1</v>
      </c>
      <c r="G2051" s="265">
        <v>45898</v>
      </c>
      <c r="H2051" s="283" t="s">
        <v>3102</v>
      </c>
      <c r="I2051" s="308" t="s">
        <v>2769</v>
      </c>
      <c r="J2051" s="245"/>
      <c r="AN2051" s="246" t="s">
        <v>2500</v>
      </c>
      <c r="AO2051" s="246" t="s">
        <v>2500</v>
      </c>
      <c r="AP2051" s="246" t="s">
        <v>2500</v>
      </c>
      <c r="AQ2051" s="246" t="s">
        <v>2500</v>
      </c>
      <c r="AR2051" s="246" t="s">
        <v>2500</v>
      </c>
      <c r="AS2051" s="246" t="s">
        <v>2500</v>
      </c>
      <c r="AT2051" s="246" t="s">
        <v>2500</v>
      </c>
      <c r="AU2051" s="246" t="s">
        <v>2500</v>
      </c>
      <c r="AV2051" s="246" t="s">
        <v>2500</v>
      </c>
      <c r="AW2051" s="246" t="s">
        <v>2500</v>
      </c>
      <c r="AX2051" s="246" t="s">
        <v>2500</v>
      </c>
      <c r="AY2051" s="246" t="s">
        <v>2500</v>
      </c>
      <c r="AZ2051" s="246" t="s">
        <v>2500</v>
      </c>
      <c r="BA2051" s="246" t="s">
        <v>2500</v>
      </c>
      <c r="BB2051" s="246" t="s">
        <v>2500</v>
      </c>
      <c r="BC2051" s="246" t="s">
        <v>2500</v>
      </c>
      <c r="BD2051" s="246" t="s">
        <v>2500</v>
      </c>
      <c r="BE2051" s="246" t="s">
        <v>2500</v>
      </c>
      <c r="BF2051" s="246" t="s">
        <v>2500</v>
      </c>
      <c r="BG2051" s="246" t="s">
        <v>2500</v>
      </c>
      <c r="BH2051" s="243" t="s">
        <v>2196</v>
      </c>
      <c r="BI2051" s="243" t="s">
        <v>2394</v>
      </c>
      <c r="BJ2051" s="243" t="s">
        <v>2394</v>
      </c>
      <c r="BK2051" s="243" t="s">
        <v>2331</v>
      </c>
      <c r="BL2051" s="243" t="s">
        <v>2331</v>
      </c>
      <c r="BM2051" s="243" t="s">
        <v>2417</v>
      </c>
      <c r="BN2051" s="243" t="s">
        <v>2417</v>
      </c>
      <c r="BO2051" s="243" t="s">
        <v>2225</v>
      </c>
      <c r="BP2051" s="243" t="s">
        <v>2225</v>
      </c>
      <c r="BQ2051" s="243" t="s">
        <v>2437</v>
      </c>
      <c r="BR2051" s="243" t="s">
        <v>2437</v>
      </c>
      <c r="BS2051" s="246" t="s">
        <v>2501</v>
      </c>
      <c r="BT2051" s="246" t="s">
        <v>2501</v>
      </c>
      <c r="BU2051" s="246" t="s">
        <v>2501</v>
      </c>
      <c r="BV2051" s="246" t="s">
        <v>2501</v>
      </c>
      <c r="BW2051" s="246" t="s">
        <v>2501</v>
      </c>
      <c r="BX2051" s="246" t="s">
        <v>2501</v>
      </c>
      <c r="BY2051" s="246" t="s">
        <v>2501</v>
      </c>
      <c r="BZ2051" s="243" t="s">
        <v>2769</v>
      </c>
      <c r="CA2051" s="243" t="s">
        <v>2769</v>
      </c>
      <c r="CB2051" s="243" t="s">
        <v>2769</v>
      </c>
      <c r="CC2051" s="243" t="s">
        <v>2769</v>
      </c>
      <c r="CD2051" s="243" t="s">
        <v>2196</v>
      </c>
      <c r="CE2051" s="243" t="s">
        <v>2225</v>
      </c>
      <c r="CF2051" s="243" t="s">
        <v>2426</v>
      </c>
      <c r="CG2051" s="243" t="s">
        <v>2208</v>
      </c>
      <c r="CK2051" s="246"/>
      <c r="CL2051" s="246"/>
      <c r="CM2051" s="246"/>
    </row>
    <row r="2052" spans="1:93" ht="62.25">
      <c r="A2052" s="239">
        <v>72569</v>
      </c>
      <c r="B2052" s="239">
        <v>4890038686</v>
      </c>
      <c r="C2052" s="264" t="s">
        <v>338</v>
      </c>
      <c r="D2052" s="359" t="s">
        <v>3150</v>
      </c>
      <c r="E2052" s="264" t="s">
        <v>2162</v>
      </c>
      <c r="F2052" s="239">
        <v>1</v>
      </c>
      <c r="G2052" s="265">
        <v>45898</v>
      </c>
      <c r="H2052" s="283" t="s">
        <v>3102</v>
      </c>
      <c r="I2052" s="308" t="s">
        <v>2769</v>
      </c>
      <c r="J2052" s="245"/>
      <c r="AN2052" s="246"/>
      <c r="AO2052" s="246"/>
      <c r="AP2052" s="246"/>
      <c r="AQ2052" s="246"/>
      <c r="AR2052" s="246"/>
      <c r="AS2052" s="246"/>
      <c r="AT2052" s="246"/>
      <c r="AU2052" s="246"/>
      <c r="AV2052" s="246"/>
      <c r="AW2052" s="246"/>
      <c r="AX2052" s="246"/>
      <c r="AY2052" s="246"/>
      <c r="AZ2052" s="246"/>
      <c r="BA2052" s="246"/>
      <c r="BB2052" s="246"/>
      <c r="BC2052" s="246"/>
      <c r="BD2052" s="246"/>
      <c r="BE2052" s="246"/>
      <c r="BF2052" s="246"/>
      <c r="BG2052" s="246"/>
      <c r="BS2052" s="246"/>
      <c r="BT2052" s="246"/>
      <c r="BU2052" s="246"/>
      <c r="BV2052" s="246"/>
      <c r="BW2052" s="246"/>
      <c r="BX2052" s="246"/>
      <c r="BY2052" s="246"/>
      <c r="CB2052" s="246" t="s">
        <v>2502</v>
      </c>
      <c r="CC2052" s="246" t="s">
        <v>2502</v>
      </c>
      <c r="CD2052" s="246" t="s">
        <v>2502</v>
      </c>
      <c r="CE2052" s="246" t="s">
        <v>2502</v>
      </c>
      <c r="CF2052" s="246" t="s">
        <v>2502</v>
      </c>
      <c r="CG2052" s="246" t="s">
        <v>2502</v>
      </c>
      <c r="CH2052" s="246" t="s">
        <v>2502</v>
      </c>
      <c r="CI2052" s="243" t="s">
        <v>2196</v>
      </c>
      <c r="CJ2052" s="243" t="s">
        <v>2225</v>
      </c>
      <c r="CK2052" s="246" t="s">
        <v>3143</v>
      </c>
      <c r="CL2052" s="243" t="s">
        <v>2426</v>
      </c>
      <c r="CM2052" s="243" t="s">
        <v>2208</v>
      </c>
    </row>
    <row r="2053" spans="1:93">
      <c r="A2053" s="239">
        <v>72566</v>
      </c>
      <c r="B2053" s="239" t="s">
        <v>2213</v>
      </c>
      <c r="C2053" s="264" t="s">
        <v>49</v>
      </c>
      <c r="D2053" s="264" t="s">
        <v>2210</v>
      </c>
      <c r="E2053" s="307">
        <v>31221</v>
      </c>
      <c r="F2053" s="239" t="s">
        <v>2211</v>
      </c>
      <c r="G2053" s="265">
        <v>45883</v>
      </c>
      <c r="H2053" s="264"/>
      <c r="I2053" s="308" t="s">
        <v>2394</v>
      </c>
      <c r="J2053" s="245"/>
      <c r="AK2053" s="243" t="s">
        <v>2393</v>
      </c>
      <c r="BK2053" s="243" t="s">
        <v>2394</v>
      </c>
      <c r="BL2053" s="243" t="s">
        <v>2394</v>
      </c>
      <c r="BM2053" s="243" t="s">
        <v>2340</v>
      </c>
      <c r="BN2053" s="243" t="s">
        <v>2340</v>
      </c>
      <c r="BO2053" s="243" t="s">
        <v>2389</v>
      </c>
      <c r="BP2053" s="243" t="s">
        <v>2225</v>
      </c>
      <c r="BQ2053" s="243" t="s">
        <v>2225</v>
      </c>
      <c r="BR2053" s="243" t="s">
        <v>2426</v>
      </c>
      <c r="BS2053" s="243" t="s">
        <v>2426</v>
      </c>
      <c r="BT2053" s="243" t="s">
        <v>2208</v>
      </c>
    </row>
    <row r="2054" spans="1:93">
      <c r="A2054" s="239">
        <v>72567</v>
      </c>
      <c r="B2054" s="239" t="s">
        <v>2212</v>
      </c>
      <c r="C2054" s="264" t="s">
        <v>49</v>
      </c>
      <c r="D2054" s="264" t="s">
        <v>2210</v>
      </c>
      <c r="E2054" s="307">
        <v>31221</v>
      </c>
      <c r="F2054" s="239" t="s">
        <v>2211</v>
      </c>
      <c r="G2054" s="265">
        <v>45883</v>
      </c>
      <c r="H2054" s="264"/>
      <c r="I2054" s="308" t="s">
        <v>2343</v>
      </c>
      <c r="J2054" s="245"/>
      <c r="AK2054" s="243" t="s">
        <v>2343</v>
      </c>
    </row>
    <row r="2055" spans="1:93">
      <c r="A2055" s="239">
        <v>72563</v>
      </c>
      <c r="B2055" s="262"/>
      <c r="C2055" s="262" t="s">
        <v>167</v>
      </c>
      <c r="D2055" s="262" t="s">
        <v>2341</v>
      </c>
      <c r="E2055" s="320" t="s">
        <v>2342</v>
      </c>
      <c r="F2055" s="261">
        <v>1</v>
      </c>
      <c r="G2055" s="263">
        <v>45868</v>
      </c>
      <c r="H2055" s="262"/>
      <c r="I2055" s="308" t="s">
        <v>2151</v>
      </c>
      <c r="J2055" s="245"/>
      <c r="AK2055" s="243" t="s">
        <v>2346</v>
      </c>
    </row>
    <row r="2056" spans="1:93">
      <c r="A2056" s="264"/>
      <c r="B2056" s="262"/>
      <c r="C2056" s="262"/>
      <c r="D2056" s="262" t="s">
        <v>2344</v>
      </c>
      <c r="E2056" s="320" t="s">
        <v>2345</v>
      </c>
      <c r="F2056" s="261">
        <v>8</v>
      </c>
      <c r="G2056" s="263"/>
      <c r="H2056" s="262"/>
      <c r="I2056" s="308" t="s">
        <v>2151</v>
      </c>
      <c r="J2056" s="245"/>
      <c r="AH2056" s="243" t="s">
        <v>2340</v>
      </c>
    </row>
    <row r="2057" spans="1:93">
      <c r="A2057" s="264"/>
      <c r="B2057" s="262"/>
      <c r="C2057" s="262"/>
      <c r="D2057" s="262" t="s">
        <v>2347</v>
      </c>
      <c r="E2057" s="320" t="s">
        <v>2348</v>
      </c>
      <c r="F2057" s="261">
        <v>1</v>
      </c>
      <c r="G2057" s="263"/>
      <c r="H2057" s="262"/>
      <c r="I2057" s="308" t="s">
        <v>2151</v>
      </c>
      <c r="J2057" s="245"/>
    </row>
    <row r="2058" spans="1:93">
      <c r="A2058" s="264"/>
      <c r="B2058" s="262"/>
      <c r="C2058" s="262"/>
      <c r="D2058" s="262" t="s">
        <v>2375</v>
      </c>
      <c r="E2058" s="320" t="s">
        <v>2376</v>
      </c>
      <c r="F2058" s="261">
        <v>4</v>
      </c>
      <c r="G2058" s="263"/>
      <c r="H2058" s="262"/>
      <c r="I2058" s="308" t="s">
        <v>2151</v>
      </c>
      <c r="J2058" s="245"/>
    </row>
    <row r="2059" spans="1:93">
      <c r="A2059" s="239">
        <v>72564</v>
      </c>
      <c r="B2059" s="239" t="s">
        <v>2221</v>
      </c>
      <c r="C2059" s="264" t="s">
        <v>2222</v>
      </c>
      <c r="D2059" s="264" t="s">
        <v>2575</v>
      </c>
      <c r="E2059" s="316" t="s">
        <v>3132</v>
      </c>
      <c r="F2059" s="239">
        <v>2</v>
      </c>
      <c r="G2059" s="265">
        <v>45910</v>
      </c>
      <c r="H2059" s="264"/>
      <c r="I2059" s="308" t="s">
        <v>3095</v>
      </c>
      <c r="J2059" s="245"/>
      <c r="AP2059" s="243" t="s">
        <v>2384</v>
      </c>
      <c r="BK2059" s="243" t="s">
        <v>2389</v>
      </c>
      <c r="BL2059" s="243" t="s">
        <v>2225</v>
      </c>
      <c r="BM2059" s="243" t="s">
        <v>2225</v>
      </c>
      <c r="BN2059" s="243" t="s">
        <v>2764</v>
      </c>
      <c r="BO2059" s="243" t="s">
        <v>2764</v>
      </c>
      <c r="BP2059" s="243" t="s">
        <v>2764</v>
      </c>
      <c r="BQ2059" s="243" t="s">
        <v>2764</v>
      </c>
      <c r="BR2059" s="243" t="s">
        <v>2764</v>
      </c>
      <c r="BS2059" s="243" t="s">
        <v>2764</v>
      </c>
      <c r="BT2059" s="243" t="s">
        <v>2196</v>
      </c>
      <c r="BU2059" s="243" t="s">
        <v>2884</v>
      </c>
      <c r="BV2059" s="243" t="s">
        <v>2437</v>
      </c>
      <c r="BW2059" s="243" t="s">
        <v>2437</v>
      </c>
      <c r="BX2059" s="243" t="s">
        <v>2225</v>
      </c>
      <c r="BY2059" s="243" t="s">
        <v>2225</v>
      </c>
    </row>
    <row r="2060" spans="1:93" ht="90">
      <c r="A2060" s="239"/>
      <c r="B2060" s="239"/>
      <c r="C2060" s="264"/>
      <c r="D2060" s="264" t="s">
        <v>2576</v>
      </c>
      <c r="E2060" s="316" t="s">
        <v>2224</v>
      </c>
      <c r="F2060" s="239">
        <v>2</v>
      </c>
      <c r="G2060" s="265">
        <v>45910</v>
      </c>
      <c r="H2060" s="264" t="s">
        <v>2498</v>
      </c>
      <c r="I2060" s="308" t="s">
        <v>3095</v>
      </c>
      <c r="J2060" s="245"/>
      <c r="AQ2060" s="243" t="s">
        <v>2384</v>
      </c>
      <c r="BF2060" s="243" t="s">
        <v>2763</v>
      </c>
      <c r="BG2060" s="243" t="s">
        <v>2331</v>
      </c>
      <c r="BH2060" s="243" t="s">
        <v>2331</v>
      </c>
      <c r="BI2060" s="243" t="s">
        <v>2331</v>
      </c>
      <c r="BJ2060" s="243" t="s">
        <v>2331</v>
      </c>
      <c r="BK2060" s="243" t="s">
        <v>2389</v>
      </c>
      <c r="BL2060" s="243" t="s">
        <v>2225</v>
      </c>
      <c r="BM2060" s="243" t="s">
        <v>2764</v>
      </c>
      <c r="BN2060" s="243" t="s">
        <v>2764</v>
      </c>
      <c r="BO2060" s="243" t="s">
        <v>2764</v>
      </c>
      <c r="BP2060" s="243" t="s">
        <v>2764</v>
      </c>
      <c r="BQ2060" s="243" t="s">
        <v>2764</v>
      </c>
      <c r="BR2060" s="243" t="s">
        <v>2764</v>
      </c>
      <c r="BS2060" s="243" t="s">
        <v>2764</v>
      </c>
      <c r="BT2060" s="243" t="s">
        <v>2196</v>
      </c>
      <c r="BU2060" s="243" t="s">
        <v>2196</v>
      </c>
      <c r="BV2060" s="243" t="s">
        <v>2437</v>
      </c>
      <c r="BW2060" s="243" t="s">
        <v>2437</v>
      </c>
      <c r="BX2060" s="243" t="s">
        <v>2225</v>
      </c>
      <c r="BY2060" s="243" t="s">
        <v>2225</v>
      </c>
      <c r="CC2060" s="243" t="s">
        <v>2196</v>
      </c>
      <c r="CD2060" s="243" t="s">
        <v>3133</v>
      </c>
      <c r="CE2060" s="243" t="s">
        <v>2340</v>
      </c>
      <c r="CF2060" s="246" t="s">
        <v>3145</v>
      </c>
      <c r="CG2060" s="246" t="s">
        <v>3144</v>
      </c>
      <c r="CH2060" s="246" t="s">
        <v>3146</v>
      </c>
      <c r="CI2060" s="243" t="s">
        <v>2764</v>
      </c>
      <c r="CJ2060" s="243" t="s">
        <v>2764</v>
      </c>
      <c r="CK2060" s="243" t="s">
        <v>2764</v>
      </c>
      <c r="CL2060" s="243" t="s">
        <v>2764</v>
      </c>
      <c r="CM2060" s="243" t="s">
        <v>2764</v>
      </c>
      <c r="CN2060" s="243" t="s">
        <v>2196</v>
      </c>
      <c r="CO2060" s="246" t="s">
        <v>3143</v>
      </c>
    </row>
    <row r="2061" spans="1:93">
      <c r="A2061" s="239"/>
      <c r="B2061" s="239"/>
      <c r="C2061" s="264"/>
      <c r="D2061" s="264" t="s">
        <v>3131</v>
      </c>
      <c r="E2061" s="316" t="s">
        <v>2223</v>
      </c>
      <c r="F2061" s="239">
        <v>2</v>
      </c>
      <c r="G2061" s="265">
        <v>45910</v>
      </c>
      <c r="H2061" s="264" t="s">
        <v>2883</v>
      </c>
      <c r="I2061" s="308" t="s">
        <v>3095</v>
      </c>
      <c r="J2061" s="245"/>
    </row>
    <row r="2062" spans="1:93">
      <c r="A2062" s="239"/>
      <c r="B2062" s="239"/>
      <c r="C2062" s="264"/>
      <c r="D2062" s="264"/>
      <c r="E2062" s="316"/>
      <c r="F2062" s="239"/>
      <c r="G2062" s="265"/>
      <c r="H2062" s="264"/>
      <c r="I2062" s="308"/>
      <c r="J2062" s="245"/>
    </row>
    <row r="2063" spans="1:93">
      <c r="A2063" s="239">
        <v>72565</v>
      </c>
      <c r="B2063" s="239" t="s">
        <v>2592</v>
      </c>
      <c r="C2063" s="264" t="s">
        <v>2593</v>
      </c>
      <c r="D2063" s="264" t="s">
        <v>2594</v>
      </c>
      <c r="E2063" s="316" t="s">
        <v>2595</v>
      </c>
      <c r="F2063" s="239">
        <v>5</v>
      </c>
      <c r="G2063" s="265">
        <v>45869</v>
      </c>
      <c r="H2063" s="264"/>
      <c r="I2063" s="308" t="s">
        <v>2596</v>
      </c>
      <c r="J2063" s="245"/>
      <c r="AQ2063" s="243" t="s">
        <v>2596</v>
      </c>
      <c r="AR2063" s="243" t="s">
        <v>2331</v>
      </c>
      <c r="AS2063" s="243" t="s">
        <v>2331</v>
      </c>
      <c r="AT2063" s="243" t="s">
        <v>2417</v>
      </c>
      <c r="AU2063" s="243" t="s">
        <v>2417</v>
      </c>
      <c r="AV2063" s="243" t="s">
        <v>2225</v>
      </c>
      <c r="AW2063" s="243" t="s">
        <v>2225</v>
      </c>
      <c r="AX2063" s="243" t="s">
        <v>2426</v>
      </c>
      <c r="AY2063" s="243" t="s">
        <v>2426</v>
      </c>
      <c r="AZ2063" s="243" t="s">
        <v>2208</v>
      </c>
    </row>
    <row r="2064" spans="1:93">
      <c r="A2064" s="264"/>
      <c r="B2064" s="264"/>
      <c r="C2064" s="264"/>
      <c r="D2064" s="264"/>
      <c r="E2064" s="316"/>
      <c r="F2064" s="239"/>
      <c r="G2064" s="265"/>
      <c r="H2064" s="264"/>
      <c r="I2064" s="308"/>
      <c r="J2064" s="245"/>
    </row>
    <row r="2065" spans="1:76">
      <c r="A2065" s="239">
        <v>72572</v>
      </c>
      <c r="B2065" s="239" t="s">
        <v>2548</v>
      </c>
      <c r="C2065" s="264" t="s">
        <v>2531</v>
      </c>
      <c r="D2065" s="264" t="s">
        <v>2549</v>
      </c>
      <c r="E2065" s="316" t="s">
        <v>2550</v>
      </c>
      <c r="F2065" s="239">
        <v>4</v>
      </c>
      <c r="G2065" s="265">
        <v>45945</v>
      </c>
      <c r="H2065" s="264"/>
      <c r="I2065" s="308" t="s">
        <v>2389</v>
      </c>
      <c r="J2065" s="245"/>
      <c r="AN2065" s="243" t="s">
        <v>2196</v>
      </c>
      <c r="AO2065" s="243" t="s">
        <v>2394</v>
      </c>
      <c r="AP2065" s="243" t="s">
        <v>2394</v>
      </c>
      <c r="AQ2065" s="243" t="s">
        <v>2340</v>
      </c>
      <c r="AR2065" s="243" t="s">
        <v>2340</v>
      </c>
      <c r="AS2065" s="243" t="s">
        <v>2331</v>
      </c>
      <c r="AT2065" s="243" t="s">
        <v>2331</v>
      </c>
      <c r="AU2065" s="243" t="s">
        <v>2331</v>
      </c>
      <c r="AV2065" s="243" t="s">
        <v>2331</v>
      </c>
      <c r="AW2065" s="243" t="s">
        <v>2389</v>
      </c>
      <c r="AX2065" s="243" t="s">
        <v>2427</v>
      </c>
      <c r="AY2065" s="243" t="s">
        <v>2427</v>
      </c>
      <c r="AZ2065" s="243" t="s">
        <v>2426</v>
      </c>
      <c r="BA2065" s="243" t="s">
        <v>2426</v>
      </c>
      <c r="BB2065" s="243" t="s">
        <v>2208</v>
      </c>
      <c r="BE2065" s="243" t="s">
        <v>2389</v>
      </c>
      <c r="BF2065" s="243" t="s">
        <v>2389</v>
      </c>
      <c r="BG2065" s="243" t="s">
        <v>2389</v>
      </c>
      <c r="BH2065" s="243" t="s">
        <v>2389</v>
      </c>
    </row>
    <row r="2066" spans="1:76">
      <c r="A2066" s="239">
        <v>72574</v>
      </c>
      <c r="B2066" s="239" t="s">
        <v>2534</v>
      </c>
      <c r="C2066" s="264" t="s">
        <v>2531</v>
      </c>
      <c r="D2066" s="264" t="s">
        <v>2533</v>
      </c>
      <c r="E2066" s="316" t="s">
        <v>2532</v>
      </c>
      <c r="F2066" s="239">
        <v>4</v>
      </c>
      <c r="G2066" s="265">
        <v>45945</v>
      </c>
      <c r="H2066" s="264" t="s">
        <v>2498</v>
      </c>
      <c r="I2066" s="308" t="s">
        <v>2394</v>
      </c>
      <c r="J2066" s="245"/>
      <c r="AM2066" s="243" t="s">
        <v>2394</v>
      </c>
    </row>
    <row r="2067" spans="1:76">
      <c r="A2067" s="239">
        <v>72574</v>
      </c>
      <c r="B2067" s="239" t="s">
        <v>2535</v>
      </c>
      <c r="C2067" s="264" t="s">
        <v>2531</v>
      </c>
      <c r="D2067" s="264" t="s">
        <v>2533</v>
      </c>
      <c r="E2067" s="316" t="s">
        <v>2532</v>
      </c>
      <c r="F2067" s="239">
        <v>4</v>
      </c>
      <c r="G2067" s="265">
        <v>45945</v>
      </c>
      <c r="H2067" s="264" t="s">
        <v>2498</v>
      </c>
      <c r="I2067" s="308" t="s">
        <v>2394</v>
      </c>
      <c r="J2067" s="245"/>
      <c r="AM2067" s="243" t="s">
        <v>2394</v>
      </c>
    </row>
    <row r="2068" spans="1:76">
      <c r="A2068" s="239"/>
      <c r="B2068" s="239"/>
      <c r="C2068" s="264"/>
      <c r="D2068" s="264"/>
      <c r="E2068" s="316"/>
      <c r="F2068" s="239"/>
      <c r="G2068" s="265"/>
      <c r="H2068" s="264"/>
      <c r="I2068" s="308"/>
      <c r="J2068" s="245"/>
    </row>
    <row r="2069" spans="1:76">
      <c r="A2069" s="239">
        <v>72576</v>
      </c>
      <c r="B2069" s="239">
        <v>806794</v>
      </c>
      <c r="C2069" s="264" t="s">
        <v>2540</v>
      </c>
      <c r="D2069" s="264" t="s">
        <v>2541</v>
      </c>
      <c r="E2069" s="316" t="s">
        <v>2542</v>
      </c>
      <c r="F2069" s="239">
        <v>1</v>
      </c>
      <c r="G2069" s="265">
        <v>45898</v>
      </c>
      <c r="H2069" s="264"/>
      <c r="I2069" s="308" t="s">
        <v>2196</v>
      </c>
      <c r="J2069" s="245"/>
      <c r="AO2069" s="243" t="s">
        <v>2196</v>
      </c>
      <c r="AP2069" s="243" t="s">
        <v>2372</v>
      </c>
      <c r="AQ2069" s="243" t="s">
        <v>2372</v>
      </c>
      <c r="AR2069" s="243" t="s">
        <v>2331</v>
      </c>
      <c r="AS2069" s="243" t="s">
        <v>2331</v>
      </c>
      <c r="AT2069" s="243" t="s">
        <v>2389</v>
      </c>
      <c r="AU2069" s="243" t="s">
        <v>2225</v>
      </c>
      <c r="AV2069" s="243" t="s">
        <v>2225</v>
      </c>
      <c r="AW2069" s="243" t="s">
        <v>2426</v>
      </c>
      <c r="AX2069" s="243" t="s">
        <v>2426</v>
      </c>
      <c r="AY2069" s="243" t="s">
        <v>2208</v>
      </c>
    </row>
    <row r="2070" spans="1:76">
      <c r="A2070" s="264"/>
      <c r="B2070" s="264"/>
      <c r="C2070" s="264"/>
      <c r="D2070" s="264"/>
      <c r="E2070" s="316"/>
      <c r="F2070" s="239"/>
      <c r="G2070" s="265"/>
      <c r="H2070" s="264"/>
      <c r="I2070" s="308"/>
      <c r="J2070" s="245"/>
    </row>
    <row r="2071" spans="1:76">
      <c r="A2071" s="239">
        <v>72577</v>
      </c>
      <c r="B2071" s="239">
        <v>806794</v>
      </c>
      <c r="C2071" s="264"/>
      <c r="D2071" s="264"/>
      <c r="E2071" s="316"/>
      <c r="F2071" s="264"/>
      <c r="G2071" s="265"/>
      <c r="H2071" s="264"/>
      <c r="I2071" s="308"/>
      <c r="J2071" s="245"/>
    </row>
    <row r="2072" spans="1:76">
      <c r="A2072" s="239">
        <v>72580</v>
      </c>
      <c r="B2072" s="239" t="s">
        <v>2708</v>
      </c>
      <c r="C2072" s="264" t="s">
        <v>20</v>
      </c>
      <c r="D2072" s="264" t="s">
        <v>2808</v>
      </c>
      <c r="E2072" s="316" t="s">
        <v>2809</v>
      </c>
      <c r="F2072" s="317">
        <v>1</v>
      </c>
      <c r="G2072" s="265">
        <v>45929</v>
      </c>
      <c r="H2072" s="264"/>
      <c r="I2072" s="308" t="s">
        <v>2558</v>
      </c>
      <c r="J2072" s="245"/>
      <c r="BJ2072" s="243" t="s">
        <v>2558</v>
      </c>
      <c r="BK2072" s="243" t="s">
        <v>2558</v>
      </c>
      <c r="BL2072" s="243" t="s">
        <v>2389</v>
      </c>
      <c r="BM2072" s="243" t="s">
        <v>2225</v>
      </c>
      <c r="BN2072" s="243" t="s">
        <v>2340</v>
      </c>
      <c r="BO2072" s="243" t="s">
        <v>2340</v>
      </c>
      <c r="BP2072" s="243" t="s">
        <v>2331</v>
      </c>
      <c r="BQ2072" s="243" t="s">
        <v>2331</v>
      </c>
      <c r="BR2072" s="243" t="s">
        <v>2331</v>
      </c>
      <c r="BS2072" s="243" t="s">
        <v>2331</v>
      </c>
      <c r="BT2072" s="243" t="s">
        <v>2389</v>
      </c>
      <c r="BU2072" s="243" t="s">
        <v>2437</v>
      </c>
      <c r="BV2072" s="243" t="s">
        <v>2437</v>
      </c>
      <c r="BW2072" s="243" t="s">
        <v>2427</v>
      </c>
      <c r="BX2072" s="243" t="s">
        <v>2427</v>
      </c>
    </row>
    <row r="2073" spans="1:76">
      <c r="A2073" s="239"/>
      <c r="B2073" s="239"/>
      <c r="C2073" s="264"/>
      <c r="D2073" s="264" t="s">
        <v>2709</v>
      </c>
      <c r="E2073" s="316" t="s">
        <v>2710</v>
      </c>
      <c r="F2073" s="317">
        <v>2</v>
      </c>
      <c r="G2073" s="265">
        <v>45929</v>
      </c>
      <c r="H2073" s="264"/>
      <c r="I2073" s="308" t="s">
        <v>2722</v>
      </c>
      <c r="J2073" s="245"/>
      <c r="BA2073" s="243" t="s">
        <v>2196</v>
      </c>
      <c r="BE2073" s="243" t="s">
        <v>2394</v>
      </c>
      <c r="BF2073" s="243" t="s">
        <v>2394</v>
      </c>
      <c r="BG2073" s="243" t="s">
        <v>2366</v>
      </c>
      <c r="BH2073" s="243" t="s">
        <v>2366</v>
      </c>
      <c r="BI2073" s="243" t="s">
        <v>2340</v>
      </c>
      <c r="BJ2073" s="243" t="s">
        <v>2340</v>
      </c>
      <c r="BK2073" s="243" t="s">
        <v>2417</v>
      </c>
      <c r="BL2073" s="243" t="s">
        <v>2417</v>
      </c>
      <c r="BM2073" s="243" t="s">
        <v>2693</v>
      </c>
      <c r="BN2073" s="243" t="s">
        <v>2693</v>
      </c>
      <c r="BO2073" s="243" t="s">
        <v>2389</v>
      </c>
      <c r="BP2073" s="243" t="s">
        <v>2427</v>
      </c>
      <c r="BQ2073" s="243" t="s">
        <v>2427</v>
      </c>
    </row>
    <row r="2074" spans="1:76">
      <c r="A2074" s="239"/>
      <c r="B2074" s="239"/>
      <c r="C2074" s="264"/>
      <c r="D2074" s="264"/>
      <c r="E2074" s="316"/>
      <c r="F2074" s="317"/>
      <c r="G2074" s="265"/>
      <c r="H2074" s="264"/>
      <c r="I2074" s="308"/>
      <c r="J2074" s="245"/>
    </row>
    <row r="2075" spans="1:76">
      <c r="A2075" s="239">
        <v>72581</v>
      </c>
      <c r="B2075" s="239" t="s">
        <v>2689</v>
      </c>
      <c r="C2075" s="264" t="s">
        <v>20</v>
      </c>
      <c r="D2075" s="264" t="s">
        <v>2724</v>
      </c>
      <c r="E2075" s="316" t="s">
        <v>2725</v>
      </c>
      <c r="F2075" s="317">
        <v>1</v>
      </c>
      <c r="G2075" s="265">
        <v>45929</v>
      </c>
      <c r="H2075" s="264"/>
      <c r="I2075" s="308" t="s">
        <v>2488</v>
      </c>
      <c r="J2075" s="245"/>
      <c r="BJ2075" s="243" t="s">
        <v>2488</v>
      </c>
      <c r="BK2075" s="243" t="s">
        <v>2488</v>
      </c>
      <c r="BL2075" s="243" t="s">
        <v>2488</v>
      </c>
      <c r="BM2075" s="243" t="s">
        <v>2488</v>
      </c>
      <c r="BN2075" s="243" t="s">
        <v>2488</v>
      </c>
      <c r="BO2075" s="243" t="s">
        <v>2488</v>
      </c>
      <c r="BP2075" s="243" t="s">
        <v>2488</v>
      </c>
    </row>
    <row r="2076" spans="1:76">
      <c r="A2076" s="239"/>
      <c r="B2076" s="239"/>
      <c r="C2076" s="264"/>
      <c r="D2076" s="264" t="s">
        <v>2726</v>
      </c>
      <c r="E2076" s="316" t="s">
        <v>2727</v>
      </c>
      <c r="F2076" s="317">
        <v>1</v>
      </c>
      <c r="G2076" s="265">
        <v>45929</v>
      </c>
      <c r="H2076" s="264"/>
      <c r="I2076" s="308" t="s">
        <v>2340</v>
      </c>
      <c r="J2076" s="245"/>
      <c r="BG2076" s="243" t="s">
        <v>2340</v>
      </c>
      <c r="BI2076" s="243" t="s">
        <v>2331</v>
      </c>
      <c r="BJ2076" s="243" t="s">
        <v>2331</v>
      </c>
      <c r="BK2076" s="243" t="s">
        <v>2389</v>
      </c>
      <c r="BL2076" s="243" t="s">
        <v>2427</v>
      </c>
      <c r="BM2076" s="243" t="s">
        <v>2427</v>
      </c>
    </row>
    <row r="2077" spans="1:76">
      <c r="A2077" s="239"/>
      <c r="B2077" s="239"/>
      <c r="C2077" s="264"/>
      <c r="D2077" s="264" t="s">
        <v>2759</v>
      </c>
      <c r="E2077" s="316" t="s">
        <v>2760</v>
      </c>
      <c r="F2077" s="317">
        <v>1</v>
      </c>
      <c r="G2077" s="265">
        <v>45929</v>
      </c>
      <c r="H2077" s="264"/>
      <c r="I2077" s="308" t="s">
        <v>2722</v>
      </c>
      <c r="J2077" s="245"/>
      <c r="BG2077" s="243" t="s">
        <v>2722</v>
      </c>
      <c r="BI2077" s="243" t="s">
        <v>2761</v>
      </c>
      <c r="BJ2077" s="243" t="s">
        <v>2761</v>
      </c>
      <c r="BK2077" s="243" t="s">
        <v>2389</v>
      </c>
      <c r="BL2077" s="243" t="s">
        <v>2437</v>
      </c>
      <c r="BM2077" s="243" t="s">
        <v>2437</v>
      </c>
      <c r="BN2077" s="243" t="s">
        <v>2427</v>
      </c>
      <c r="BO2077" s="243" t="s">
        <v>2427</v>
      </c>
    </row>
    <row r="2078" spans="1:76">
      <c r="A2078" s="239"/>
      <c r="B2078" s="239"/>
      <c r="C2078" s="264"/>
      <c r="D2078" s="264" t="s">
        <v>2806</v>
      </c>
      <c r="E2078" s="316" t="s">
        <v>2807</v>
      </c>
      <c r="F2078" s="317">
        <v>1</v>
      </c>
      <c r="G2078" s="265">
        <v>45929</v>
      </c>
      <c r="H2078" s="264"/>
      <c r="I2078" s="308" t="s">
        <v>2340</v>
      </c>
      <c r="J2078" s="245"/>
      <c r="BF2078" s="243" t="s">
        <v>2340</v>
      </c>
      <c r="BJ2078" s="243" t="s">
        <v>2389</v>
      </c>
      <c r="BK2078" s="243" t="s">
        <v>2427</v>
      </c>
      <c r="BL2078" s="243" t="s">
        <v>2427</v>
      </c>
    </row>
    <row r="2079" spans="1:76">
      <c r="A2079" s="239"/>
      <c r="B2079" s="239"/>
      <c r="C2079" s="264"/>
      <c r="D2079" s="264" t="s">
        <v>2813</v>
      </c>
      <c r="E2079" s="316" t="s">
        <v>2814</v>
      </c>
      <c r="F2079" s="317">
        <v>2</v>
      </c>
      <c r="G2079" s="265">
        <v>45929</v>
      </c>
      <c r="H2079" s="264"/>
      <c r="I2079" s="308" t="s">
        <v>2394</v>
      </c>
      <c r="J2079" s="245"/>
      <c r="BJ2079" s="243" t="s">
        <v>2394</v>
      </c>
      <c r="BK2079" s="243" t="s">
        <v>2340</v>
      </c>
      <c r="BL2079" s="243" t="s">
        <v>2340</v>
      </c>
      <c r="BM2079" s="243" t="s">
        <v>2389</v>
      </c>
      <c r="BN2079" s="243" t="s">
        <v>2427</v>
      </c>
      <c r="BO2079" s="243" t="s">
        <v>2427</v>
      </c>
    </row>
    <row r="2080" spans="1:76">
      <c r="A2080" s="239"/>
      <c r="B2080" s="239"/>
      <c r="C2080" s="264"/>
      <c r="D2080" s="264" t="s">
        <v>2835</v>
      </c>
      <c r="E2080" s="316" t="s">
        <v>2886</v>
      </c>
      <c r="F2080" s="317">
        <v>1</v>
      </c>
      <c r="G2080" s="265">
        <v>45929</v>
      </c>
      <c r="H2080" s="264"/>
      <c r="I2080" s="308" t="s">
        <v>2488</v>
      </c>
      <c r="J2080" s="245"/>
    </row>
    <row r="2081" spans="1:77">
      <c r="A2081" s="239"/>
      <c r="B2081" s="239"/>
      <c r="C2081" s="264"/>
      <c r="D2081" s="264" t="s">
        <v>2885</v>
      </c>
      <c r="E2081" s="316" t="s">
        <v>2887</v>
      </c>
      <c r="F2081" s="317">
        <v>1</v>
      </c>
      <c r="G2081" s="265">
        <v>45929</v>
      </c>
      <c r="H2081" s="264"/>
      <c r="I2081" s="308" t="s">
        <v>2340</v>
      </c>
      <c r="J2081" s="245"/>
      <c r="BJ2081" s="243" t="s">
        <v>2340</v>
      </c>
      <c r="BL2081" s="243" t="s">
        <v>2331</v>
      </c>
      <c r="BM2081" s="243" t="s">
        <v>2331</v>
      </c>
      <c r="BN2081" s="243" t="s">
        <v>2389</v>
      </c>
      <c r="BO2081" s="243" t="s">
        <v>2437</v>
      </c>
      <c r="BP2081" s="243" t="s">
        <v>2437</v>
      </c>
      <c r="BQ2081" s="243" t="s">
        <v>2427</v>
      </c>
      <c r="BR2081" s="243" t="s">
        <v>2427</v>
      </c>
    </row>
    <row r="2082" spans="1:77">
      <c r="A2082" s="239"/>
      <c r="B2082" s="239"/>
      <c r="C2082" s="264"/>
      <c r="D2082" s="264" t="s">
        <v>2888</v>
      </c>
      <c r="E2082" s="316" t="s">
        <v>2889</v>
      </c>
      <c r="F2082" s="317">
        <v>1</v>
      </c>
      <c r="G2082" s="265">
        <v>45929</v>
      </c>
      <c r="H2082" s="264"/>
      <c r="I2082" s="308" t="s">
        <v>2340</v>
      </c>
      <c r="J2082" s="245"/>
      <c r="BF2082" s="243" t="s">
        <v>2340</v>
      </c>
      <c r="BL2082" s="243" t="s">
        <v>2389</v>
      </c>
      <c r="BM2082" s="243" t="s">
        <v>2427</v>
      </c>
      <c r="BN2082" s="243" t="s">
        <v>2427</v>
      </c>
    </row>
    <row r="2083" spans="1:77">
      <c r="A2083" s="239"/>
      <c r="B2083" s="239"/>
      <c r="C2083" s="264"/>
      <c r="D2083" s="264"/>
      <c r="E2083" s="316"/>
      <c r="F2083" s="317"/>
      <c r="G2083" s="265"/>
      <c r="H2083" s="264"/>
      <c r="I2083" s="308"/>
      <c r="J2083" s="245"/>
    </row>
    <row r="2084" spans="1:77">
      <c r="A2084" s="239">
        <v>72582</v>
      </c>
      <c r="B2084" s="239" t="s">
        <v>2689</v>
      </c>
      <c r="C2084" s="264" t="s">
        <v>20</v>
      </c>
      <c r="D2084" s="264" t="s">
        <v>2690</v>
      </c>
      <c r="E2084" s="316" t="s">
        <v>2691</v>
      </c>
      <c r="F2084" s="317">
        <v>1</v>
      </c>
      <c r="G2084" s="265">
        <v>45929</v>
      </c>
      <c r="H2084" s="264"/>
      <c r="I2084" s="308" t="s">
        <v>2417</v>
      </c>
      <c r="J2084" s="245"/>
      <c r="AX2084" s="243" t="s">
        <v>2196</v>
      </c>
      <c r="AY2084" s="243" t="s">
        <v>2203</v>
      </c>
      <c r="AZ2084" s="243" t="s">
        <v>2339</v>
      </c>
      <c r="BA2084" s="243" t="s">
        <v>2339</v>
      </c>
      <c r="BB2084" s="243" t="s">
        <v>2253</v>
      </c>
      <c r="BC2084" s="243" t="s">
        <v>2437</v>
      </c>
      <c r="BD2084" s="243" t="s">
        <v>2437</v>
      </c>
      <c r="BE2084" s="243" t="s">
        <v>2427</v>
      </c>
      <c r="BF2084" s="243" t="s">
        <v>2427</v>
      </c>
      <c r="BG2084" s="243" t="s">
        <v>2426</v>
      </c>
      <c r="BH2084" s="243" t="s">
        <v>2426</v>
      </c>
    </row>
    <row r="2085" spans="1:77">
      <c r="A2085" s="239"/>
      <c r="B2085" s="239"/>
      <c r="C2085" s="264"/>
      <c r="D2085" s="264" t="s">
        <v>2739</v>
      </c>
      <c r="E2085" s="316" t="s">
        <v>2740</v>
      </c>
      <c r="F2085" s="317">
        <v>1</v>
      </c>
      <c r="G2085" s="265">
        <v>45929</v>
      </c>
      <c r="H2085" s="264"/>
      <c r="I2085" s="308" t="s">
        <v>2340</v>
      </c>
      <c r="J2085" s="245"/>
      <c r="BE2085" s="243" t="s">
        <v>2428</v>
      </c>
      <c r="BF2085" s="243" t="s">
        <v>2394</v>
      </c>
      <c r="BG2085" s="243" t="s">
        <v>2394</v>
      </c>
      <c r="BH2085" s="243" t="s">
        <v>2340</v>
      </c>
      <c r="BI2085" s="243" t="s">
        <v>2340</v>
      </c>
      <c r="BJ2085" s="243" t="s">
        <v>2417</v>
      </c>
      <c r="BK2085" s="243" t="s">
        <v>2417</v>
      </c>
      <c r="BL2085" s="243" t="s">
        <v>2389</v>
      </c>
      <c r="BM2085" s="243" t="s">
        <v>2427</v>
      </c>
      <c r="BN2085" s="243" t="s">
        <v>2427</v>
      </c>
    </row>
    <row r="2086" spans="1:77">
      <c r="A2086" s="239"/>
      <c r="B2086" s="239"/>
      <c r="C2086" s="264"/>
      <c r="D2086" s="264"/>
      <c r="E2086" s="316"/>
      <c r="F2086" s="317"/>
      <c r="G2086" s="265"/>
      <c r="H2086" s="264"/>
      <c r="I2086" s="308"/>
      <c r="J2086" s="245"/>
    </row>
    <row r="2087" spans="1:77">
      <c r="A2087" s="239">
        <v>72583</v>
      </c>
      <c r="B2087" s="239" t="s">
        <v>2689</v>
      </c>
      <c r="C2087" s="264" t="s">
        <v>20</v>
      </c>
      <c r="D2087" s="264" t="s">
        <v>2711</v>
      </c>
      <c r="E2087" s="316" t="s">
        <v>2712</v>
      </c>
      <c r="F2087" s="317">
        <v>2</v>
      </c>
      <c r="G2087" s="265">
        <v>45929</v>
      </c>
      <c r="H2087" s="264"/>
      <c r="I2087" s="308" t="s">
        <v>2151</v>
      </c>
      <c r="J2087" s="245"/>
    </row>
    <row r="2088" spans="1:77" ht="42">
      <c r="A2088" s="239">
        <v>72585</v>
      </c>
      <c r="B2088" s="239"/>
      <c r="C2088" s="264" t="s">
        <v>2503</v>
      </c>
      <c r="D2088" s="264" t="s">
        <v>2504</v>
      </c>
      <c r="E2088" s="307">
        <v>1000231</v>
      </c>
      <c r="F2088" s="317">
        <v>40</v>
      </c>
      <c r="G2088" s="265">
        <v>45883</v>
      </c>
      <c r="H2088" s="264" t="s">
        <v>2498</v>
      </c>
      <c r="I2088" s="313" t="s">
        <v>2505</v>
      </c>
      <c r="J2088" s="245"/>
      <c r="AM2088" s="257" t="s">
        <v>2505</v>
      </c>
      <c r="AN2088" s="257" t="s">
        <v>2505</v>
      </c>
      <c r="AO2088" s="257" t="s">
        <v>2505</v>
      </c>
      <c r="AP2088" s="257" t="s">
        <v>2505</v>
      </c>
      <c r="AQ2088" s="257" t="s">
        <v>2505</v>
      </c>
      <c r="AR2088" s="257" t="s">
        <v>2505</v>
      </c>
      <c r="AS2088" s="243" t="s">
        <v>2331</v>
      </c>
      <c r="AT2088" s="243" t="s">
        <v>2331</v>
      </c>
      <c r="AU2088" s="243" t="s">
        <v>2389</v>
      </c>
      <c r="AV2088" s="243" t="s">
        <v>2389</v>
      </c>
      <c r="AW2088" s="243" t="s">
        <v>2225</v>
      </c>
      <c r="AX2088" s="243" t="s">
        <v>2225</v>
      </c>
      <c r="AY2088" s="243" t="s">
        <v>2426</v>
      </c>
      <c r="AZ2088" s="243" t="s">
        <v>2426</v>
      </c>
      <c r="BA2088" s="243" t="s">
        <v>2208</v>
      </c>
    </row>
    <row r="2089" spans="1:77" ht="42">
      <c r="A2089" s="239">
        <v>72584</v>
      </c>
      <c r="B2089" s="239"/>
      <c r="C2089" s="264" t="s">
        <v>2503</v>
      </c>
      <c r="D2089" s="264" t="s">
        <v>2506</v>
      </c>
      <c r="E2089" s="307">
        <v>1000230</v>
      </c>
      <c r="F2089" s="317">
        <v>40</v>
      </c>
      <c r="G2089" s="265">
        <v>45883</v>
      </c>
      <c r="H2089" s="264" t="s">
        <v>2498</v>
      </c>
      <c r="I2089" s="313" t="s">
        <v>2505</v>
      </c>
      <c r="J2089" s="245"/>
      <c r="L2089" s="243">
        <v>1020435</v>
      </c>
      <c r="AM2089" s="257" t="s">
        <v>2505</v>
      </c>
      <c r="AN2089" s="257" t="s">
        <v>2505</v>
      </c>
      <c r="AO2089" s="257" t="s">
        <v>2505</v>
      </c>
      <c r="AP2089" s="257" t="s">
        <v>2505</v>
      </c>
      <c r="AQ2089" s="257" t="s">
        <v>2505</v>
      </c>
      <c r="AR2089" s="257" t="s">
        <v>2505</v>
      </c>
      <c r="AS2089" s="243" t="s">
        <v>2331</v>
      </c>
      <c r="AT2089" s="243" t="s">
        <v>2331</v>
      </c>
      <c r="AU2089" s="243" t="s">
        <v>2389</v>
      </c>
      <c r="AV2089" s="243" t="s">
        <v>2389</v>
      </c>
      <c r="AW2089" s="243" t="s">
        <v>2225</v>
      </c>
      <c r="AX2089" s="243" t="s">
        <v>2225</v>
      </c>
      <c r="AY2089" s="243" t="s">
        <v>2426</v>
      </c>
      <c r="AZ2089" s="243" t="s">
        <v>2426</v>
      </c>
      <c r="BA2089" s="243" t="s">
        <v>2208</v>
      </c>
    </row>
    <row r="2090" spans="1:77">
      <c r="A2090" s="239">
        <v>72586</v>
      </c>
      <c r="B2090" s="261" t="s">
        <v>2519</v>
      </c>
      <c r="C2090" s="262" t="s">
        <v>49</v>
      </c>
      <c r="D2090" s="262" t="s">
        <v>2646</v>
      </c>
      <c r="E2090" s="323" t="s">
        <v>2557</v>
      </c>
      <c r="F2090" s="336">
        <v>2</v>
      </c>
      <c r="G2090" s="263">
        <v>45888</v>
      </c>
      <c r="H2090" s="262"/>
      <c r="I2090" s="313" t="s">
        <v>2151</v>
      </c>
      <c r="J2090" s="245"/>
      <c r="AM2090" s="257"/>
      <c r="AN2090" s="257"/>
      <c r="AO2090" s="257"/>
      <c r="AP2090" s="257"/>
      <c r="AQ2090" s="257"/>
      <c r="AR2090" s="257"/>
      <c r="AX2090" s="243" t="s">
        <v>2394</v>
      </c>
      <c r="AY2090" s="243" t="s">
        <v>2528</v>
      </c>
      <c r="AZ2090" s="243" t="s">
        <v>2528</v>
      </c>
      <c r="BA2090" s="243" t="s">
        <v>2205</v>
      </c>
      <c r="BB2090" s="243" t="s">
        <v>2647</v>
      </c>
      <c r="BC2090" s="243" t="s">
        <v>2647</v>
      </c>
      <c r="BD2090" s="243" t="s">
        <v>2225</v>
      </c>
      <c r="BE2090" s="243" t="s">
        <v>2558</v>
      </c>
      <c r="BF2090" s="243" t="s">
        <v>2558</v>
      </c>
      <c r="BG2090" s="243" t="s">
        <v>2389</v>
      </c>
      <c r="BH2090" s="243" t="s">
        <v>2225</v>
      </c>
      <c r="BI2090" s="243" t="s">
        <v>2225</v>
      </c>
      <c r="BJ2090" s="243" t="s">
        <v>2417</v>
      </c>
      <c r="BK2090" s="243" t="s">
        <v>2417</v>
      </c>
      <c r="BL2090" s="243" t="s">
        <v>2389</v>
      </c>
      <c r="BM2090" s="243" t="s">
        <v>2225</v>
      </c>
      <c r="BN2090" s="243" t="s">
        <v>2225</v>
      </c>
      <c r="BO2090" s="243" t="s">
        <v>2426</v>
      </c>
      <c r="BP2090" s="243" t="s">
        <v>2208</v>
      </c>
    </row>
    <row r="2091" spans="1:77">
      <c r="A2091" s="239">
        <v>72588</v>
      </c>
      <c r="B2091" s="261" t="s">
        <v>2519</v>
      </c>
      <c r="C2091" s="262" t="s">
        <v>49</v>
      </c>
      <c r="D2091" s="337" t="s">
        <v>2520</v>
      </c>
      <c r="E2091" s="323" t="s">
        <v>2557</v>
      </c>
      <c r="F2091" s="336">
        <v>2</v>
      </c>
      <c r="G2091" s="263">
        <v>45888</v>
      </c>
      <c r="H2091" s="262"/>
      <c r="I2091" s="313" t="s">
        <v>2398</v>
      </c>
      <c r="J2091" s="245"/>
      <c r="AM2091" s="257"/>
      <c r="AN2091" s="257"/>
      <c r="AO2091" s="243" t="s">
        <v>2338</v>
      </c>
      <c r="AP2091" s="257" t="s">
        <v>2528</v>
      </c>
      <c r="AQ2091" s="257" t="s">
        <v>2203</v>
      </c>
      <c r="AR2091" s="257" t="s">
        <v>2525</v>
      </c>
      <c r="AS2091" s="243" t="s">
        <v>2631</v>
      </c>
      <c r="AT2091" s="243" t="s">
        <v>2389</v>
      </c>
      <c r="AU2091" s="243" t="s">
        <v>2225</v>
      </c>
      <c r="AV2091" s="243" t="s">
        <v>2225</v>
      </c>
      <c r="AW2091" s="243" t="s">
        <v>2398</v>
      </c>
      <c r="AX2091" s="243" t="s">
        <v>2426</v>
      </c>
      <c r="AY2091" s="243" t="s">
        <v>2208</v>
      </c>
    </row>
    <row r="2092" spans="1:77">
      <c r="A2092" s="239">
        <v>72589</v>
      </c>
      <c r="B2092" s="239" t="s">
        <v>2655</v>
      </c>
      <c r="C2092" s="264" t="s">
        <v>20</v>
      </c>
      <c r="D2092" s="264" t="s">
        <v>2692</v>
      </c>
      <c r="E2092" s="307" t="s">
        <v>731</v>
      </c>
      <c r="F2092" s="317">
        <v>2</v>
      </c>
      <c r="G2092" s="265">
        <v>45930</v>
      </c>
      <c r="H2092" s="264" t="s">
        <v>2498</v>
      </c>
      <c r="I2092" s="313" t="s">
        <v>2488</v>
      </c>
      <c r="J2092" s="245"/>
      <c r="AM2092" s="257"/>
      <c r="AN2092" s="257"/>
      <c r="AP2092" s="257"/>
      <c r="AQ2092" s="257"/>
      <c r="AR2092" s="257"/>
      <c r="AT2092" s="243" t="s">
        <v>2196</v>
      </c>
      <c r="AU2092" s="243" t="s">
        <v>2394</v>
      </c>
      <c r="AV2092" s="243" t="s">
        <v>2394</v>
      </c>
      <c r="AW2092" s="243" t="s">
        <v>2340</v>
      </c>
      <c r="AX2092" s="243" t="s">
        <v>2340</v>
      </c>
      <c r="AY2092" s="243" t="s">
        <v>2389</v>
      </c>
      <c r="AZ2092" s="243" t="s">
        <v>2427</v>
      </c>
      <c r="BA2092" s="243" t="s">
        <v>2427</v>
      </c>
      <c r="BH2092" s="243" t="s">
        <v>2488</v>
      </c>
      <c r="BI2092" s="243" t="s">
        <v>2488</v>
      </c>
      <c r="BJ2092" s="243" t="s">
        <v>2488</v>
      </c>
      <c r="BK2092" s="243" t="s">
        <v>2488</v>
      </c>
      <c r="BL2092" s="243" t="s">
        <v>2488</v>
      </c>
      <c r="BM2092" s="243" t="s">
        <v>2488</v>
      </c>
      <c r="BN2092" s="243" t="s">
        <v>2488</v>
      </c>
      <c r="BO2092" s="243" t="s">
        <v>2196</v>
      </c>
      <c r="BP2092" s="243" t="s">
        <v>2182</v>
      </c>
      <c r="BQ2092" s="243" t="s">
        <v>2182</v>
      </c>
      <c r="BR2092" s="243" t="s">
        <v>2427</v>
      </c>
      <c r="BS2092" s="243" t="s">
        <v>2427</v>
      </c>
      <c r="BT2092" s="243" t="s">
        <v>2437</v>
      </c>
      <c r="BU2092" s="243" t="s">
        <v>2437</v>
      </c>
      <c r="BV2092" s="243" t="s">
        <v>2437</v>
      </c>
      <c r="BW2092" s="243" t="s">
        <v>2437</v>
      </c>
      <c r="BX2092" s="243" t="s">
        <v>2426</v>
      </c>
      <c r="BY2092" s="243" t="s">
        <v>2426</v>
      </c>
    </row>
    <row r="2093" spans="1:77">
      <c r="A2093" s="239">
        <v>72590</v>
      </c>
      <c r="B2093" s="280" t="s">
        <v>2655</v>
      </c>
      <c r="C2093" s="281" t="s">
        <v>20</v>
      </c>
      <c r="D2093" s="281" t="s">
        <v>2657</v>
      </c>
      <c r="E2093" s="332" t="s">
        <v>729</v>
      </c>
      <c r="F2093" s="333"/>
      <c r="G2093" s="282">
        <v>45930</v>
      </c>
      <c r="H2093" s="281"/>
      <c r="I2093" s="313"/>
      <c r="J2093" s="245"/>
      <c r="AM2093" s="257"/>
      <c r="AN2093" s="257"/>
      <c r="AP2093" s="257"/>
      <c r="AQ2093" s="257"/>
      <c r="AR2093" s="257"/>
    </row>
    <row r="2094" spans="1:77">
      <c r="A2094" s="239"/>
      <c r="B2094" s="239"/>
      <c r="C2094" s="264"/>
      <c r="D2094" s="264" t="s">
        <v>2678</v>
      </c>
      <c r="E2094" s="307" t="s">
        <v>706</v>
      </c>
      <c r="F2094" s="317">
        <v>4</v>
      </c>
      <c r="G2094" s="265"/>
      <c r="H2094" s="264"/>
      <c r="I2094" s="313"/>
      <c r="J2094" s="245"/>
      <c r="AM2094" s="257"/>
      <c r="AN2094" s="257"/>
      <c r="AP2094" s="257"/>
      <c r="AQ2094" s="257"/>
      <c r="AR2094" s="257"/>
      <c r="BC2094" s="243" t="s">
        <v>2185</v>
      </c>
      <c r="BD2094" s="243" t="s">
        <v>2196</v>
      </c>
      <c r="BE2094" s="243" t="s">
        <v>2394</v>
      </c>
      <c r="BF2094" s="243" t="s">
        <v>2394</v>
      </c>
      <c r="BG2094" s="243" t="s">
        <v>2331</v>
      </c>
      <c r="BH2094" s="243" t="s">
        <v>2331</v>
      </c>
      <c r="BI2094" s="243" t="s">
        <v>2389</v>
      </c>
      <c r="BJ2094" s="243" t="s">
        <v>2427</v>
      </c>
      <c r="BK2094" s="243" t="s">
        <v>2427</v>
      </c>
    </row>
    <row r="2095" spans="1:77">
      <c r="A2095" s="239"/>
      <c r="B2095" s="239"/>
      <c r="C2095" s="264"/>
      <c r="D2095" s="264" t="s">
        <v>2679</v>
      </c>
      <c r="E2095" s="307" t="s">
        <v>704</v>
      </c>
      <c r="F2095" s="317">
        <v>8</v>
      </c>
      <c r="G2095" s="265"/>
      <c r="H2095" s="264"/>
      <c r="I2095" s="313" t="s">
        <v>2394</v>
      </c>
      <c r="J2095" s="245"/>
      <c r="AM2095" s="257"/>
      <c r="AN2095" s="257"/>
      <c r="AP2095" s="257"/>
      <c r="AQ2095" s="257"/>
      <c r="AR2095" s="257"/>
      <c r="BC2095" s="243" t="s">
        <v>2185</v>
      </c>
      <c r="BD2095" s="243" t="s">
        <v>2196</v>
      </c>
      <c r="BK2095" s="243" t="s">
        <v>2394</v>
      </c>
      <c r="BL2095" s="243" t="s">
        <v>2394</v>
      </c>
      <c r="BM2095" s="243" t="s">
        <v>2340</v>
      </c>
      <c r="BN2095" s="243" t="s">
        <v>2340</v>
      </c>
      <c r="BO2095" s="243" t="s">
        <v>2389</v>
      </c>
      <c r="BP2095" s="243" t="s">
        <v>2427</v>
      </c>
      <c r="BQ2095" s="243" t="s">
        <v>2427</v>
      </c>
    </row>
    <row r="2096" spans="1:77">
      <c r="A2096" s="239"/>
      <c r="B2096" s="261"/>
      <c r="C2096" s="262"/>
      <c r="D2096" s="262" t="s">
        <v>2680</v>
      </c>
      <c r="E2096" s="323" t="s">
        <v>708</v>
      </c>
      <c r="F2096" s="336">
        <v>4</v>
      </c>
      <c r="G2096" s="263"/>
      <c r="H2096" s="262"/>
      <c r="I2096" s="313" t="s">
        <v>2151</v>
      </c>
      <c r="J2096" s="245"/>
      <c r="AM2096" s="257"/>
      <c r="AN2096" s="257"/>
      <c r="AP2096" s="257"/>
      <c r="AQ2096" s="257"/>
      <c r="AR2096" s="257"/>
      <c r="BC2096" s="243" t="s">
        <v>2185</v>
      </c>
      <c r="BD2096" s="243" t="s">
        <v>2196</v>
      </c>
      <c r="BE2096" s="243" t="s">
        <v>2394</v>
      </c>
      <c r="BF2096" s="243" t="s">
        <v>2394</v>
      </c>
      <c r="BG2096" s="243" t="s">
        <v>2340</v>
      </c>
      <c r="BH2096" s="243" t="s">
        <v>2340</v>
      </c>
      <c r="BI2096" s="243" t="s">
        <v>2417</v>
      </c>
      <c r="BJ2096" s="243" t="s">
        <v>2417</v>
      </c>
      <c r="BK2096" s="243" t="s">
        <v>2389</v>
      </c>
      <c r="BL2096" s="243" t="s">
        <v>2427</v>
      </c>
      <c r="BM2096" s="243" t="s">
        <v>2427</v>
      </c>
    </row>
    <row r="2097" spans="1:82">
      <c r="A2097" s="239"/>
      <c r="B2097" s="239"/>
      <c r="C2097" s="264"/>
      <c r="D2097" s="284" t="s">
        <v>2661</v>
      </c>
      <c r="E2097" s="328" t="s">
        <v>722</v>
      </c>
      <c r="F2097" s="329">
        <v>4</v>
      </c>
      <c r="G2097" s="265"/>
      <c r="H2097" s="284"/>
      <c r="I2097" s="313"/>
      <c r="J2097" s="245"/>
      <c r="AM2097" s="257"/>
      <c r="AN2097" s="257"/>
      <c r="AP2097" s="257"/>
      <c r="AQ2097" s="257"/>
      <c r="AR2097" s="257"/>
      <c r="BC2097" s="243" t="s">
        <v>2196</v>
      </c>
      <c r="BD2097" s="243" t="s">
        <v>2203</v>
      </c>
      <c r="BE2097" s="243" t="s">
        <v>2339</v>
      </c>
      <c r="BF2097" s="243" t="s">
        <v>2339</v>
      </c>
      <c r="BG2097" s="243" t="s">
        <v>2662</v>
      </c>
      <c r="BH2097" s="243" t="s">
        <v>2662</v>
      </c>
      <c r="BI2097" s="243" t="s">
        <v>2389</v>
      </c>
      <c r="BJ2097" s="243" t="s">
        <v>2437</v>
      </c>
      <c r="BK2097" s="243" t="s">
        <v>2437</v>
      </c>
      <c r="BL2097" s="243" t="s">
        <v>2427</v>
      </c>
      <c r="BM2097" s="243" t="s">
        <v>2427</v>
      </c>
    </row>
    <row r="2098" spans="1:82">
      <c r="A2098" s="239"/>
      <c r="B2098" s="239"/>
      <c r="C2098" s="264"/>
      <c r="D2098" s="298" t="s">
        <v>2681</v>
      </c>
      <c r="E2098" s="330" t="s">
        <v>710</v>
      </c>
      <c r="F2098" s="331">
        <v>4</v>
      </c>
      <c r="G2098" s="265"/>
      <c r="H2098" s="298"/>
      <c r="I2098" s="313"/>
      <c r="J2098" s="245"/>
      <c r="AM2098" s="257"/>
      <c r="AN2098" s="257"/>
      <c r="AP2098" s="257"/>
      <c r="AQ2098" s="257"/>
      <c r="AR2098" s="257"/>
      <c r="BC2098" s="243" t="s">
        <v>2185</v>
      </c>
      <c r="BD2098" s="243" t="s">
        <v>2196</v>
      </c>
      <c r="BE2098" s="243" t="s">
        <v>2394</v>
      </c>
      <c r="BF2098" s="243" t="s">
        <v>2394</v>
      </c>
      <c r="BG2098" s="243" t="s">
        <v>2340</v>
      </c>
      <c r="BH2098" s="243" t="s">
        <v>2340</v>
      </c>
      <c r="BI2098" s="243" t="s">
        <v>2389</v>
      </c>
      <c r="BJ2098" s="243" t="s">
        <v>2427</v>
      </c>
      <c r="BK2098" s="243" t="s">
        <v>2427</v>
      </c>
    </row>
    <row r="2099" spans="1:82">
      <c r="A2099" s="239"/>
      <c r="B2099" s="239"/>
      <c r="C2099" s="264"/>
      <c r="D2099" s="298" t="s">
        <v>2682</v>
      </c>
      <c r="E2099" s="330" t="s">
        <v>711</v>
      </c>
      <c r="F2099" s="331">
        <v>4</v>
      </c>
      <c r="G2099" s="265"/>
      <c r="H2099" s="298" t="s">
        <v>2783</v>
      </c>
      <c r="I2099" s="313"/>
      <c r="J2099" s="245"/>
      <c r="AM2099" s="257"/>
      <c r="AN2099" s="257"/>
      <c r="AP2099" s="257"/>
      <c r="AQ2099" s="257"/>
      <c r="AR2099" s="257"/>
      <c r="BC2099" s="243" t="s">
        <v>2683</v>
      </c>
      <c r="BD2099" s="243" t="s">
        <v>2683</v>
      </c>
      <c r="BE2099" s="243" t="s">
        <v>2683</v>
      </c>
      <c r="BF2099" s="243" t="s">
        <v>2683</v>
      </c>
      <c r="BG2099" s="243" t="s">
        <v>2683</v>
      </c>
      <c r="BH2099" s="243" t="s">
        <v>2683</v>
      </c>
      <c r="BI2099" s="243" t="s">
        <v>2683</v>
      </c>
      <c r="BJ2099" s="243" t="s">
        <v>2196</v>
      </c>
      <c r="BK2099" s="243" t="s">
        <v>2427</v>
      </c>
      <c r="BL2099" s="243" t="s">
        <v>2427</v>
      </c>
    </row>
    <row r="2100" spans="1:82">
      <c r="A2100" s="239"/>
      <c r="B2100" s="239"/>
      <c r="C2100" s="264"/>
      <c r="D2100" s="298" t="s">
        <v>2684</v>
      </c>
      <c r="E2100" s="330" t="s">
        <v>714</v>
      </c>
      <c r="F2100" s="331">
        <v>8</v>
      </c>
      <c r="G2100" s="265"/>
      <c r="H2100" s="298"/>
      <c r="I2100" s="313"/>
      <c r="J2100" s="245"/>
      <c r="AM2100" s="257"/>
      <c r="AN2100" s="257"/>
      <c r="AP2100" s="257"/>
      <c r="AQ2100" s="257"/>
      <c r="AR2100" s="257"/>
      <c r="BC2100" s="243" t="s">
        <v>2685</v>
      </c>
      <c r="BD2100" s="243" t="s">
        <v>2196</v>
      </c>
      <c r="BE2100" s="243" t="s">
        <v>2394</v>
      </c>
      <c r="BF2100" s="243" t="s">
        <v>2394</v>
      </c>
      <c r="BG2100" s="243" t="s">
        <v>2340</v>
      </c>
      <c r="BH2100" s="243" t="s">
        <v>2340</v>
      </c>
      <c r="BI2100" s="243" t="s">
        <v>2389</v>
      </c>
      <c r="BJ2100" s="243" t="s">
        <v>2427</v>
      </c>
      <c r="BK2100" s="243" t="s">
        <v>2427</v>
      </c>
    </row>
    <row r="2101" spans="1:82">
      <c r="A2101" s="239"/>
      <c r="B2101" s="239"/>
      <c r="C2101" s="264"/>
      <c r="D2101" s="284" t="s">
        <v>2656</v>
      </c>
      <c r="E2101" s="328" t="s">
        <v>720</v>
      </c>
      <c r="F2101" s="329">
        <v>2</v>
      </c>
      <c r="G2101" s="265"/>
      <c r="H2101" s="284" t="s">
        <v>2782</v>
      </c>
      <c r="I2101" s="313" t="s">
        <v>2394</v>
      </c>
      <c r="J2101" s="245"/>
      <c r="AM2101" s="257"/>
      <c r="AN2101" s="257"/>
      <c r="AP2101" s="257"/>
      <c r="AQ2101" s="257"/>
      <c r="AR2101" s="257"/>
      <c r="BC2101" s="243" t="s">
        <v>2185</v>
      </c>
      <c r="BD2101" s="243" t="s">
        <v>2196</v>
      </c>
      <c r="BK2101" s="243" t="s">
        <v>2394</v>
      </c>
      <c r="BL2101" s="243" t="s">
        <v>2394</v>
      </c>
      <c r="BM2101" s="243" t="s">
        <v>2331</v>
      </c>
      <c r="BN2101" s="243" t="s">
        <v>2331</v>
      </c>
      <c r="BO2101" s="243" t="s">
        <v>2389</v>
      </c>
      <c r="BP2101" s="243" t="s">
        <v>2225</v>
      </c>
      <c r="BQ2101" s="243" t="s">
        <v>2225</v>
      </c>
      <c r="BR2101" s="243" t="s">
        <v>2203</v>
      </c>
      <c r="BS2101" s="243" t="s">
        <v>2183</v>
      </c>
      <c r="BT2101" s="243" t="s">
        <v>2183</v>
      </c>
      <c r="BU2101" s="243" t="s">
        <v>2389</v>
      </c>
      <c r="BV2101" s="243" t="s">
        <v>2427</v>
      </c>
      <c r="BW2101" s="243" t="s">
        <v>2427</v>
      </c>
      <c r="BX2101" s="243" t="s">
        <v>2664</v>
      </c>
      <c r="BY2101" s="243" t="s">
        <v>2664</v>
      </c>
      <c r="BZ2101" s="243" t="s">
        <v>2664</v>
      </c>
      <c r="CA2101" s="243" t="s">
        <v>2664</v>
      </c>
      <c r="CB2101" s="243" t="s">
        <v>2664</v>
      </c>
      <c r="CC2101" s="243" t="s">
        <v>2664</v>
      </c>
      <c r="CD2101" s="243" t="s">
        <v>2664</v>
      </c>
    </row>
    <row r="2102" spans="1:82">
      <c r="A2102" s="239"/>
      <c r="B2102" s="239"/>
      <c r="C2102" s="264"/>
      <c r="D2102" s="298" t="s">
        <v>2675</v>
      </c>
      <c r="E2102" s="330" t="s">
        <v>713</v>
      </c>
      <c r="F2102" s="331">
        <v>2</v>
      </c>
      <c r="G2102" s="265"/>
      <c r="H2102" s="298"/>
      <c r="I2102" s="313"/>
      <c r="J2102" s="245"/>
      <c r="AM2102" s="257"/>
      <c r="AN2102" s="257"/>
      <c r="AP2102" s="257"/>
      <c r="AQ2102" s="257"/>
      <c r="AR2102" s="257"/>
      <c r="BC2102" s="243" t="s">
        <v>2185</v>
      </c>
      <c r="BD2102" s="243" t="s">
        <v>2196</v>
      </c>
      <c r="BE2102" s="243" t="s">
        <v>2394</v>
      </c>
      <c r="BF2102" s="243" t="s">
        <v>2394</v>
      </c>
      <c r="BG2102" s="243" t="s">
        <v>2340</v>
      </c>
      <c r="BH2102" s="243" t="s">
        <v>2340</v>
      </c>
      <c r="BI2102" s="243" t="s">
        <v>2389</v>
      </c>
      <c r="BJ2102" s="243" t="s">
        <v>2427</v>
      </c>
      <c r="BK2102" s="243" t="s">
        <v>2427</v>
      </c>
    </row>
    <row r="2103" spans="1:82">
      <c r="A2103" s="239"/>
      <c r="B2103" s="239"/>
      <c r="C2103" s="264"/>
      <c r="D2103" s="298" t="s">
        <v>2676</v>
      </c>
      <c r="E2103" s="330" t="s">
        <v>707</v>
      </c>
      <c r="F2103" s="331">
        <v>2</v>
      </c>
      <c r="G2103" s="265"/>
      <c r="H2103" s="298"/>
      <c r="I2103" s="313" t="s">
        <v>2366</v>
      </c>
      <c r="J2103" s="245"/>
      <c r="AM2103" s="257"/>
      <c r="AN2103" s="257"/>
      <c r="AP2103" s="257"/>
      <c r="AQ2103" s="257"/>
      <c r="AR2103" s="257"/>
      <c r="BC2103" s="243" t="s">
        <v>2185</v>
      </c>
      <c r="BD2103" s="243" t="s">
        <v>2196</v>
      </c>
      <c r="BI2103" s="243" t="s">
        <v>2366</v>
      </c>
      <c r="BJ2103" s="243" t="s">
        <v>2366</v>
      </c>
      <c r="BK2103" s="243" t="s">
        <v>2389</v>
      </c>
      <c r="BL2103" s="243" t="s">
        <v>2427</v>
      </c>
      <c r="BM2103" s="243" t="s">
        <v>2427</v>
      </c>
    </row>
    <row r="2104" spans="1:82">
      <c r="A2104" s="239"/>
      <c r="B2104" s="239"/>
      <c r="C2104" s="264"/>
      <c r="D2104" s="298" t="s">
        <v>2677</v>
      </c>
      <c r="E2104" s="330" t="s">
        <v>705</v>
      </c>
      <c r="F2104" s="331">
        <v>2</v>
      </c>
      <c r="G2104" s="265"/>
      <c r="H2104" s="298"/>
      <c r="I2104" s="313"/>
      <c r="J2104" s="245"/>
      <c r="AM2104" s="257"/>
      <c r="AN2104" s="257"/>
      <c r="AP2104" s="257"/>
      <c r="AQ2104" s="257"/>
      <c r="AR2104" s="257"/>
      <c r="BC2104" s="243" t="s">
        <v>2185</v>
      </c>
      <c r="BD2104" s="243" t="s">
        <v>2196</v>
      </c>
      <c r="BE2104" s="243" t="s">
        <v>2394</v>
      </c>
      <c r="BF2104" s="243" t="s">
        <v>2394</v>
      </c>
      <c r="BG2104" s="243" t="s">
        <v>2331</v>
      </c>
      <c r="BH2104" s="243" t="s">
        <v>2331</v>
      </c>
      <c r="BI2104" s="243" t="s">
        <v>2389</v>
      </c>
      <c r="BJ2104" s="243" t="s">
        <v>2427</v>
      </c>
      <c r="BK2104" s="243" t="s">
        <v>2427</v>
      </c>
    </row>
    <row r="2105" spans="1:82">
      <c r="A2105" s="239"/>
      <c r="B2105" s="239"/>
      <c r="C2105" s="264"/>
      <c r="D2105" s="284" t="s">
        <v>2656</v>
      </c>
      <c r="E2105" s="328" t="s">
        <v>726</v>
      </c>
      <c r="F2105" s="329">
        <v>2</v>
      </c>
      <c r="G2105" s="265"/>
      <c r="H2105" s="284" t="s">
        <v>2782</v>
      </c>
      <c r="I2105" s="313"/>
      <c r="J2105" s="245"/>
      <c r="AM2105" s="257"/>
      <c r="AN2105" s="257"/>
      <c r="AP2105" s="257"/>
      <c r="AQ2105" s="257"/>
      <c r="AR2105" s="257"/>
      <c r="BC2105" s="243" t="s">
        <v>2196</v>
      </c>
      <c r="BD2105" s="243" t="s">
        <v>2658</v>
      </c>
      <c r="BE2105" s="243" t="s">
        <v>2658</v>
      </c>
      <c r="BF2105" s="243" t="s">
        <v>2331</v>
      </c>
      <c r="BG2105" s="243" t="s">
        <v>2331</v>
      </c>
      <c r="BH2105" s="243" t="s">
        <v>2331</v>
      </c>
      <c r="BI2105" s="243" t="s">
        <v>2331</v>
      </c>
      <c r="BJ2105" s="243" t="s">
        <v>2331</v>
      </c>
      <c r="BK2105" s="243" t="s">
        <v>2331</v>
      </c>
      <c r="BL2105" s="243" t="s">
        <v>2659</v>
      </c>
      <c r="BM2105" s="243" t="s">
        <v>2659</v>
      </c>
      <c r="BN2105" s="243" t="s">
        <v>2514</v>
      </c>
      <c r="BO2105" s="243" t="s">
        <v>2514</v>
      </c>
      <c r="BP2105" s="243" t="s">
        <v>2417</v>
      </c>
      <c r="BQ2105" s="243" t="s">
        <v>2417</v>
      </c>
      <c r="BR2105" s="243" t="s">
        <v>2389</v>
      </c>
      <c r="BS2105" s="243" t="s">
        <v>2225</v>
      </c>
      <c r="BT2105" s="243" t="s">
        <v>2225</v>
      </c>
      <c r="BU2105" s="243" t="s">
        <v>2398</v>
      </c>
      <c r="BV2105" s="243" t="s">
        <v>2398</v>
      </c>
      <c r="BW2105" s="243" t="s">
        <v>2205</v>
      </c>
      <c r="BX2105" s="243" t="s">
        <v>2339</v>
      </c>
      <c r="BY2105" s="243" t="s">
        <v>2339</v>
      </c>
      <c r="BZ2105" s="243" t="s">
        <v>2660</v>
      </c>
      <c r="CA2105" s="243" t="s">
        <v>2660</v>
      </c>
      <c r="CB2105" s="243" t="s">
        <v>2253</v>
      </c>
      <c r="CC2105" s="243" t="s">
        <v>2427</v>
      </c>
      <c r="CD2105" s="243" t="s">
        <v>2427</v>
      </c>
    </row>
    <row r="2106" spans="1:82">
      <c r="A2106" s="239"/>
      <c r="B2106" s="239"/>
      <c r="C2106" s="264"/>
      <c r="D2106" s="298" t="s">
        <v>2671</v>
      </c>
      <c r="E2106" s="330" t="s">
        <v>2672</v>
      </c>
      <c r="F2106" s="331">
        <v>2</v>
      </c>
      <c r="G2106" s="265"/>
      <c r="H2106" s="298" t="s">
        <v>2773</v>
      </c>
      <c r="I2106" s="313"/>
      <c r="J2106" s="245"/>
      <c r="AM2106" s="257"/>
      <c r="AN2106" s="257"/>
      <c r="AP2106" s="257"/>
      <c r="AQ2106" s="257"/>
      <c r="AR2106" s="257"/>
      <c r="BC2106" s="243" t="s">
        <v>2185</v>
      </c>
      <c r="BD2106" s="243" t="s">
        <v>2196</v>
      </c>
      <c r="BE2106" s="243" t="s">
        <v>2394</v>
      </c>
      <c r="BF2106" s="243" t="s">
        <v>2394</v>
      </c>
      <c r="BG2106" s="243" t="s">
        <v>2340</v>
      </c>
      <c r="BH2106" s="243" t="s">
        <v>2340</v>
      </c>
      <c r="BI2106" s="243" t="s">
        <v>2331</v>
      </c>
      <c r="BJ2106" s="243" t="s">
        <v>2331</v>
      </c>
      <c r="BK2106" s="243" t="s">
        <v>2389</v>
      </c>
      <c r="BL2106" s="243" t="s">
        <v>2225</v>
      </c>
      <c r="BM2106" s="243" t="s">
        <v>2488</v>
      </c>
      <c r="BN2106" s="243" t="s">
        <v>2488</v>
      </c>
      <c r="BO2106" s="243" t="s">
        <v>2488</v>
      </c>
      <c r="BP2106" s="243" t="s">
        <v>2488</v>
      </c>
      <c r="BQ2106" s="243" t="s">
        <v>2488</v>
      </c>
      <c r="BR2106" s="243" t="s">
        <v>2488</v>
      </c>
      <c r="BS2106" s="243" t="s">
        <v>2488</v>
      </c>
      <c r="BT2106" s="243" t="s">
        <v>2196</v>
      </c>
      <c r="BU2106" s="243" t="s">
        <v>2427</v>
      </c>
      <c r="BV2106" s="243" t="s">
        <v>2427</v>
      </c>
    </row>
    <row r="2107" spans="1:82">
      <c r="A2107" s="239"/>
      <c r="B2107" s="239"/>
      <c r="C2107" s="264"/>
      <c r="D2107" s="298" t="s">
        <v>2673</v>
      </c>
      <c r="E2107" s="330" t="s">
        <v>2674</v>
      </c>
      <c r="F2107" s="331">
        <v>2</v>
      </c>
      <c r="G2107" s="265"/>
      <c r="H2107" s="298"/>
      <c r="I2107" s="313"/>
      <c r="J2107" s="245"/>
      <c r="AM2107" s="257"/>
      <c r="AN2107" s="257"/>
      <c r="AP2107" s="257"/>
      <c r="AQ2107" s="257"/>
      <c r="AR2107" s="257"/>
      <c r="BC2107" s="243" t="s">
        <v>2185</v>
      </c>
      <c r="BD2107" s="243" t="s">
        <v>2196</v>
      </c>
      <c r="BE2107" s="243" t="s">
        <v>2394</v>
      </c>
      <c r="BF2107" s="243" t="s">
        <v>2394</v>
      </c>
      <c r="BG2107" s="243" t="s">
        <v>2331</v>
      </c>
      <c r="BH2107" s="243" t="s">
        <v>2331</v>
      </c>
      <c r="BI2107" s="243" t="s">
        <v>2389</v>
      </c>
      <c r="BJ2107" s="243" t="s">
        <v>2427</v>
      </c>
      <c r="BK2107" s="243" t="s">
        <v>2427</v>
      </c>
    </row>
    <row r="2108" spans="1:82">
      <c r="A2108" s="239"/>
      <c r="B2108" s="239"/>
      <c r="C2108" s="264"/>
      <c r="D2108" s="284" t="s">
        <v>2665</v>
      </c>
      <c r="E2108" s="328" t="s">
        <v>721</v>
      </c>
      <c r="F2108" s="329">
        <v>4</v>
      </c>
      <c r="G2108" s="265"/>
      <c r="H2108" s="284" t="s">
        <v>2782</v>
      </c>
      <c r="I2108" s="313"/>
      <c r="J2108" s="245"/>
      <c r="AM2108" s="257"/>
      <c r="AN2108" s="257"/>
      <c r="AP2108" s="257"/>
      <c r="AQ2108" s="257"/>
      <c r="AR2108" s="257"/>
      <c r="BC2108" s="243" t="s">
        <v>2185</v>
      </c>
      <c r="BD2108" s="243" t="s">
        <v>2196</v>
      </c>
      <c r="BE2108" s="243" t="s">
        <v>2394</v>
      </c>
      <c r="BF2108" s="243" t="s">
        <v>2394</v>
      </c>
      <c r="BG2108" s="243" t="s">
        <v>2666</v>
      </c>
      <c r="BH2108" s="243" t="s">
        <v>2667</v>
      </c>
      <c r="BI2108" s="243" t="s">
        <v>2668</v>
      </c>
      <c r="BJ2108" s="243" t="s">
        <v>2668</v>
      </c>
      <c r="BK2108" s="243" t="s">
        <v>2389</v>
      </c>
      <c r="BL2108" s="243" t="s">
        <v>2225</v>
      </c>
      <c r="BM2108" s="243" t="s">
        <v>2203</v>
      </c>
      <c r="BN2108" s="243" t="s">
        <v>2183</v>
      </c>
      <c r="BO2108" s="243" t="s">
        <v>2183</v>
      </c>
      <c r="BP2108" s="243" t="s">
        <v>2389</v>
      </c>
      <c r="BQ2108" s="243" t="s">
        <v>2427</v>
      </c>
      <c r="BR2108" s="243" t="s">
        <v>2664</v>
      </c>
      <c r="BS2108" s="243" t="s">
        <v>2664</v>
      </c>
      <c r="BT2108" s="243" t="s">
        <v>2664</v>
      </c>
      <c r="BU2108" s="243" t="s">
        <v>2664</v>
      </c>
      <c r="BV2108" s="243" t="s">
        <v>2664</v>
      </c>
      <c r="BW2108" s="243" t="s">
        <v>2664</v>
      </c>
      <c r="BX2108" s="243" t="s">
        <v>2664</v>
      </c>
    </row>
    <row r="2109" spans="1:82">
      <c r="A2109" s="239"/>
      <c r="B2109" s="239"/>
      <c r="C2109" s="264"/>
      <c r="D2109" s="298" t="s">
        <v>2669</v>
      </c>
      <c r="E2109" s="330" t="s">
        <v>709</v>
      </c>
      <c r="F2109" s="331">
        <v>4</v>
      </c>
      <c r="G2109" s="265"/>
      <c r="H2109" s="298"/>
      <c r="I2109" s="313"/>
      <c r="J2109" s="245"/>
      <c r="AM2109" s="257"/>
      <c r="AN2109" s="257"/>
      <c r="AP2109" s="257"/>
      <c r="AQ2109" s="257"/>
      <c r="AR2109" s="257"/>
      <c r="BC2109" s="243" t="s">
        <v>2185</v>
      </c>
      <c r="BD2109" s="243" t="s">
        <v>2196</v>
      </c>
      <c r="BE2109" s="243" t="s">
        <v>2366</v>
      </c>
      <c r="BF2109" s="243" t="s">
        <v>2366</v>
      </c>
      <c r="BG2109" s="243" t="s">
        <v>2389</v>
      </c>
      <c r="BH2109" s="243" t="s">
        <v>2427</v>
      </c>
      <c r="BI2109" s="243" t="s">
        <v>2427</v>
      </c>
    </row>
    <row r="2110" spans="1:82">
      <c r="A2110" s="239"/>
      <c r="B2110" s="239"/>
      <c r="C2110" s="264"/>
      <c r="D2110" s="298" t="s">
        <v>2670</v>
      </c>
      <c r="E2110" s="330" t="s">
        <v>702</v>
      </c>
      <c r="F2110" s="331">
        <v>4</v>
      </c>
      <c r="G2110" s="265"/>
      <c r="H2110" s="298"/>
      <c r="I2110" s="313"/>
      <c r="J2110" s="245"/>
      <c r="AM2110" s="257"/>
      <c r="AN2110" s="257"/>
      <c r="AP2110" s="257"/>
      <c r="AQ2110" s="257"/>
      <c r="AR2110" s="257"/>
      <c r="BC2110" s="243" t="s">
        <v>2185</v>
      </c>
      <c r="BD2110" s="243" t="s">
        <v>2196</v>
      </c>
      <c r="BE2110" s="243" t="s">
        <v>2394</v>
      </c>
      <c r="BF2110" s="243" t="s">
        <v>2394</v>
      </c>
      <c r="BG2110" s="243" t="s">
        <v>2331</v>
      </c>
      <c r="BH2110" s="243" t="s">
        <v>2331</v>
      </c>
      <c r="BI2110" s="243" t="s">
        <v>2389</v>
      </c>
      <c r="BJ2110" s="243" t="s">
        <v>2427</v>
      </c>
      <c r="BK2110" s="243" t="s">
        <v>2427</v>
      </c>
    </row>
    <row r="2111" spans="1:82">
      <c r="A2111" s="239"/>
      <c r="B2111" s="239"/>
      <c r="C2111" s="264"/>
      <c r="D2111" s="284" t="s">
        <v>2665</v>
      </c>
      <c r="E2111" s="328" t="s">
        <v>723</v>
      </c>
      <c r="F2111" s="329">
        <v>4</v>
      </c>
      <c r="G2111" s="265"/>
      <c r="H2111" s="284"/>
      <c r="I2111" s="313"/>
      <c r="J2111" s="245"/>
      <c r="AM2111" s="257"/>
      <c r="AN2111" s="257"/>
      <c r="AP2111" s="257"/>
      <c r="AQ2111" s="257"/>
      <c r="AR2111" s="257"/>
    </row>
    <row r="2112" spans="1:82">
      <c r="A2112" s="239"/>
      <c r="B2112" s="239"/>
      <c r="C2112" s="264"/>
      <c r="D2112" s="284" t="s">
        <v>2663</v>
      </c>
      <c r="E2112" s="328" t="s">
        <v>719</v>
      </c>
      <c r="F2112" s="329">
        <v>2</v>
      </c>
      <c r="G2112" s="265"/>
      <c r="H2112" s="284" t="s">
        <v>2782</v>
      </c>
      <c r="I2112" s="313"/>
      <c r="J2112" s="245"/>
      <c r="AM2112" s="257"/>
      <c r="AN2112" s="257"/>
      <c r="AP2112" s="257"/>
      <c r="AQ2112" s="257"/>
      <c r="AR2112" s="257"/>
      <c r="BC2112" s="243" t="s">
        <v>2686</v>
      </c>
      <c r="BD2112" s="243" t="s">
        <v>2196</v>
      </c>
      <c r="BI2112" s="243" t="s">
        <v>2394</v>
      </c>
      <c r="BJ2112" s="243" t="s">
        <v>2394</v>
      </c>
      <c r="BK2112" s="243" t="s">
        <v>2331</v>
      </c>
      <c r="BL2112" s="243" t="s">
        <v>2331</v>
      </c>
      <c r="BM2112" s="243" t="s">
        <v>2389</v>
      </c>
      <c r="BN2112" s="243" t="s">
        <v>2225</v>
      </c>
      <c r="BO2112" s="243" t="s">
        <v>2203</v>
      </c>
      <c r="BP2112" s="243" t="s">
        <v>2183</v>
      </c>
      <c r="BQ2112" s="243" t="s">
        <v>2183</v>
      </c>
      <c r="BR2112" s="243" t="s">
        <v>2389</v>
      </c>
      <c r="BS2112" s="243" t="s">
        <v>2427</v>
      </c>
      <c r="BT2112" s="243" t="s">
        <v>2427</v>
      </c>
      <c r="BU2112" s="243" t="s">
        <v>2664</v>
      </c>
      <c r="BV2112" s="243" t="s">
        <v>2664</v>
      </c>
      <c r="BW2112" s="243" t="s">
        <v>2664</v>
      </c>
      <c r="BX2112" s="243" t="s">
        <v>2664</v>
      </c>
      <c r="BY2112" s="243" t="s">
        <v>2664</v>
      </c>
      <c r="BZ2112" s="243" t="s">
        <v>2664</v>
      </c>
      <c r="CA2112" s="243" t="s">
        <v>2664</v>
      </c>
    </row>
    <row r="2113" spans="1:85">
      <c r="A2113" s="239"/>
      <c r="B2113" s="239"/>
      <c r="C2113" s="264"/>
      <c r="D2113" s="298" t="s">
        <v>2675</v>
      </c>
      <c r="E2113" s="330" t="s">
        <v>713</v>
      </c>
      <c r="F2113" s="331">
        <v>2</v>
      </c>
      <c r="G2113" s="265"/>
      <c r="H2113" s="298"/>
      <c r="I2113" s="313"/>
      <c r="J2113" s="245"/>
      <c r="AM2113" s="257"/>
      <c r="AN2113" s="257"/>
      <c r="AP2113" s="257"/>
      <c r="AQ2113" s="257"/>
      <c r="AR2113" s="257"/>
      <c r="BC2113" s="243" t="s">
        <v>2185</v>
      </c>
      <c r="BD2113" s="243" t="s">
        <v>2196</v>
      </c>
      <c r="BE2113" s="243" t="s">
        <v>2394</v>
      </c>
      <c r="BF2113" s="243" t="s">
        <v>2394</v>
      </c>
      <c r="BG2113" s="243" t="s">
        <v>2340</v>
      </c>
      <c r="BH2113" s="243" t="s">
        <v>2340</v>
      </c>
      <c r="BI2113" s="243" t="s">
        <v>2389</v>
      </c>
      <c r="BJ2113" s="243" t="s">
        <v>2427</v>
      </c>
      <c r="BK2113" s="243" t="s">
        <v>2427</v>
      </c>
    </row>
    <row r="2114" spans="1:85">
      <c r="A2114" s="239"/>
      <c r="B2114" s="239"/>
      <c r="C2114" s="264"/>
      <c r="D2114" s="298" t="s">
        <v>2676</v>
      </c>
      <c r="E2114" s="330" t="s">
        <v>707</v>
      </c>
      <c r="F2114" s="331">
        <v>2</v>
      </c>
      <c r="G2114" s="265"/>
      <c r="H2114" s="298"/>
      <c r="I2114" s="313"/>
      <c r="J2114" s="245"/>
      <c r="AM2114" s="257"/>
      <c r="AN2114" s="257"/>
      <c r="AP2114" s="257"/>
      <c r="AQ2114" s="257"/>
      <c r="AR2114" s="257"/>
      <c r="BC2114" s="243" t="s">
        <v>2185</v>
      </c>
      <c r="BD2114" s="243" t="s">
        <v>2196</v>
      </c>
      <c r="BE2114" s="243" t="s">
        <v>2366</v>
      </c>
      <c r="BF2114" s="243" t="s">
        <v>2366</v>
      </c>
      <c r="BG2114" s="243" t="s">
        <v>2389</v>
      </c>
      <c r="BH2114" s="243" t="s">
        <v>2427</v>
      </c>
      <c r="BI2114" s="243" t="s">
        <v>2427</v>
      </c>
    </row>
    <row r="2115" spans="1:85">
      <c r="A2115" s="239"/>
      <c r="B2115" s="239"/>
      <c r="C2115" s="264"/>
      <c r="D2115" s="298" t="s">
        <v>2677</v>
      </c>
      <c r="E2115" s="330" t="s">
        <v>705</v>
      </c>
      <c r="F2115" s="331">
        <v>2</v>
      </c>
      <c r="G2115" s="265"/>
      <c r="H2115" s="298"/>
      <c r="I2115" s="313"/>
      <c r="J2115" s="245"/>
      <c r="AM2115" s="257"/>
      <c r="AN2115" s="257"/>
      <c r="AP2115" s="257"/>
      <c r="AQ2115" s="257"/>
      <c r="AR2115" s="257"/>
      <c r="BC2115" s="243" t="s">
        <v>2185</v>
      </c>
      <c r="BD2115" s="243" t="s">
        <v>2196</v>
      </c>
      <c r="BE2115" s="243" t="s">
        <v>2394</v>
      </c>
      <c r="BF2115" s="243" t="s">
        <v>2394</v>
      </c>
      <c r="BG2115" s="243" t="s">
        <v>2331</v>
      </c>
      <c r="BH2115" s="243" t="s">
        <v>2331</v>
      </c>
      <c r="BI2115" s="243" t="s">
        <v>2389</v>
      </c>
      <c r="BJ2115" s="243" t="s">
        <v>2427</v>
      </c>
      <c r="BK2115" s="243" t="s">
        <v>2427</v>
      </c>
    </row>
    <row r="2116" spans="1:85">
      <c r="A2116" s="239"/>
      <c r="B2116" s="239"/>
      <c r="C2116" s="264"/>
      <c r="D2116" s="284" t="s">
        <v>2663</v>
      </c>
      <c r="E2116" s="328" t="s">
        <v>727</v>
      </c>
      <c r="F2116" s="329">
        <v>2</v>
      </c>
      <c r="G2116" s="265"/>
      <c r="H2116" s="284"/>
      <c r="I2116" s="313"/>
      <c r="J2116" s="245"/>
      <c r="AM2116" s="257"/>
      <c r="AN2116" s="257"/>
      <c r="AP2116" s="257"/>
      <c r="AQ2116" s="257"/>
      <c r="AR2116" s="257"/>
      <c r="BC2116" s="243" t="s">
        <v>2196</v>
      </c>
      <c r="BD2116" s="243" t="s">
        <v>2658</v>
      </c>
      <c r="BE2116" s="243" t="s">
        <v>2658</v>
      </c>
      <c r="BF2116" s="243" t="s">
        <v>2331</v>
      </c>
      <c r="BG2116" s="243" t="s">
        <v>2331</v>
      </c>
      <c r="BH2116" s="243" t="s">
        <v>2331</v>
      </c>
      <c r="BI2116" s="243" t="s">
        <v>2331</v>
      </c>
      <c r="BJ2116" s="243" t="s">
        <v>2331</v>
      </c>
      <c r="BK2116" s="243" t="s">
        <v>2331</v>
      </c>
      <c r="BL2116" s="243" t="s">
        <v>2659</v>
      </c>
      <c r="BM2116" s="243" t="s">
        <v>2659</v>
      </c>
      <c r="BN2116" s="243" t="s">
        <v>2514</v>
      </c>
      <c r="BO2116" s="243" t="s">
        <v>2514</v>
      </c>
      <c r="BP2116" s="243" t="s">
        <v>2417</v>
      </c>
      <c r="BQ2116" s="243" t="s">
        <v>2417</v>
      </c>
      <c r="BR2116" s="243" t="s">
        <v>2389</v>
      </c>
      <c r="BS2116" s="243" t="s">
        <v>2225</v>
      </c>
      <c r="BT2116" s="243" t="s">
        <v>2225</v>
      </c>
      <c r="BU2116" s="243" t="s">
        <v>2398</v>
      </c>
      <c r="BV2116" s="243" t="s">
        <v>2398</v>
      </c>
      <c r="BW2116" s="243" t="s">
        <v>2205</v>
      </c>
      <c r="BX2116" s="243" t="s">
        <v>2339</v>
      </c>
      <c r="BY2116" s="243" t="s">
        <v>2339</v>
      </c>
      <c r="BZ2116" s="243" t="s">
        <v>2660</v>
      </c>
      <c r="CA2116" s="243" t="s">
        <v>2660</v>
      </c>
      <c r="CB2116" s="243" t="s">
        <v>2253</v>
      </c>
      <c r="CC2116" s="243" t="s">
        <v>2427</v>
      </c>
      <c r="CD2116" s="243" t="s">
        <v>2427</v>
      </c>
    </row>
    <row r="2117" spans="1:85">
      <c r="A2117" s="239"/>
      <c r="B2117" s="239"/>
      <c r="C2117" s="264"/>
      <c r="D2117" s="298" t="s">
        <v>2671</v>
      </c>
      <c r="E2117" s="330" t="s">
        <v>2672</v>
      </c>
      <c r="F2117" s="331">
        <v>2</v>
      </c>
      <c r="G2117" s="265"/>
      <c r="H2117" s="298" t="s">
        <v>2773</v>
      </c>
      <c r="I2117" s="313"/>
      <c r="J2117" s="245"/>
      <c r="AM2117" s="257"/>
      <c r="AN2117" s="257"/>
      <c r="AP2117" s="257"/>
      <c r="AQ2117" s="257"/>
      <c r="AR2117" s="257"/>
      <c r="BC2117" s="243" t="s">
        <v>2185</v>
      </c>
      <c r="BD2117" s="243" t="s">
        <v>2196</v>
      </c>
      <c r="BE2117" s="243" t="s">
        <v>2394</v>
      </c>
      <c r="BF2117" s="243" t="s">
        <v>2394</v>
      </c>
      <c r="BG2117" s="243" t="s">
        <v>2340</v>
      </c>
      <c r="BH2117" s="243" t="s">
        <v>2340</v>
      </c>
      <c r="BI2117" s="243" t="s">
        <v>2331</v>
      </c>
      <c r="BJ2117" s="243" t="s">
        <v>2331</v>
      </c>
      <c r="BK2117" s="243" t="s">
        <v>2389</v>
      </c>
      <c r="BL2117" s="243" t="s">
        <v>2225</v>
      </c>
      <c r="BM2117" s="243" t="s">
        <v>2488</v>
      </c>
      <c r="BN2117" s="243" t="s">
        <v>2488</v>
      </c>
      <c r="BO2117" s="243" t="s">
        <v>2488</v>
      </c>
      <c r="BP2117" s="243" t="s">
        <v>2488</v>
      </c>
      <c r="BQ2117" s="243" t="s">
        <v>2488</v>
      </c>
      <c r="BR2117" s="243" t="s">
        <v>2488</v>
      </c>
      <c r="BS2117" s="243" t="s">
        <v>2488</v>
      </c>
      <c r="BT2117" s="243" t="s">
        <v>2196</v>
      </c>
      <c r="BU2117" s="243" t="s">
        <v>2427</v>
      </c>
      <c r="BV2117" s="243" t="s">
        <v>2427</v>
      </c>
    </row>
    <row r="2118" spans="1:85">
      <c r="A2118" s="239"/>
      <c r="B2118" s="239"/>
      <c r="C2118" s="264"/>
      <c r="D2118" s="298" t="s">
        <v>2673</v>
      </c>
      <c r="E2118" s="330" t="s">
        <v>2674</v>
      </c>
      <c r="F2118" s="331">
        <v>2</v>
      </c>
      <c r="G2118" s="265"/>
      <c r="H2118" s="298"/>
      <c r="I2118" s="313"/>
      <c r="J2118" s="245"/>
      <c r="AM2118" s="257"/>
      <c r="AN2118" s="257"/>
      <c r="AP2118" s="257"/>
      <c r="AQ2118" s="257"/>
      <c r="AR2118" s="257"/>
    </row>
    <row r="2119" spans="1:85">
      <c r="A2119" s="239"/>
      <c r="B2119" s="239"/>
      <c r="C2119" s="264"/>
      <c r="D2119" s="264"/>
      <c r="E2119" s="307"/>
      <c r="F2119" s="317"/>
      <c r="G2119" s="265"/>
      <c r="H2119" s="264"/>
      <c r="I2119" s="313"/>
      <c r="J2119" s="245"/>
      <c r="AM2119" s="257"/>
      <c r="AN2119" s="257"/>
      <c r="AP2119" s="257"/>
      <c r="AQ2119" s="257"/>
      <c r="AR2119" s="257"/>
    </row>
    <row r="2120" spans="1:85">
      <c r="A2120" s="239">
        <v>72591</v>
      </c>
      <c r="B2120" s="280" t="s">
        <v>2655</v>
      </c>
      <c r="C2120" s="281" t="s">
        <v>20</v>
      </c>
      <c r="D2120" s="281" t="s">
        <v>2732</v>
      </c>
      <c r="E2120" s="332" t="s">
        <v>728</v>
      </c>
      <c r="F2120" s="333">
        <v>1</v>
      </c>
      <c r="G2120" s="282">
        <v>45930</v>
      </c>
      <c r="H2120" s="281"/>
      <c r="I2120" s="313"/>
      <c r="J2120" s="245"/>
      <c r="AM2120" s="257"/>
      <c r="AN2120" s="257"/>
      <c r="AP2120" s="257"/>
      <c r="AQ2120" s="257"/>
      <c r="AR2120" s="257"/>
    </row>
    <row r="2121" spans="1:85">
      <c r="A2121" s="239"/>
      <c r="B2121" s="239"/>
      <c r="C2121" s="264"/>
      <c r="D2121" s="264" t="s">
        <v>2733</v>
      </c>
      <c r="E2121" s="307" t="s">
        <v>712</v>
      </c>
      <c r="F2121" s="317">
        <v>1</v>
      </c>
      <c r="G2121" s="265">
        <v>45930</v>
      </c>
      <c r="H2121" s="264"/>
      <c r="I2121" s="313" t="s">
        <v>2394</v>
      </c>
      <c r="J2121" s="245"/>
      <c r="AM2121" s="257"/>
      <c r="AN2121" s="257"/>
      <c r="AP2121" s="257"/>
      <c r="AQ2121" s="257"/>
      <c r="AR2121" s="257"/>
      <c r="BC2121" s="243" t="s">
        <v>2394</v>
      </c>
      <c r="BI2121" s="243" t="s">
        <v>2340</v>
      </c>
      <c r="BJ2121" s="243" t="s">
        <v>2340</v>
      </c>
      <c r="BK2121" s="243" t="s">
        <v>2389</v>
      </c>
      <c r="BL2121" s="243" t="s">
        <v>2427</v>
      </c>
      <c r="BM2121" s="243" t="s">
        <v>2427</v>
      </c>
    </row>
    <row r="2122" spans="1:85">
      <c r="A2122" s="239"/>
      <c r="B2122" s="239"/>
      <c r="C2122" s="264"/>
      <c r="D2122" s="264" t="s">
        <v>395</v>
      </c>
      <c r="E2122" s="307" t="s">
        <v>703</v>
      </c>
      <c r="F2122" s="317">
        <v>1</v>
      </c>
      <c r="G2122" s="265">
        <v>45930</v>
      </c>
      <c r="H2122" s="264"/>
      <c r="I2122" s="313" t="s">
        <v>2781</v>
      </c>
      <c r="J2122" s="245"/>
      <c r="AM2122" s="257"/>
      <c r="AN2122" s="257"/>
      <c r="AP2122" s="257"/>
      <c r="AQ2122" s="257"/>
      <c r="AR2122" s="257"/>
      <c r="BJ2122" s="243" t="s">
        <v>2781</v>
      </c>
      <c r="BK2122" s="243" t="s">
        <v>2428</v>
      </c>
      <c r="BL2122" s="243" t="s">
        <v>2394</v>
      </c>
      <c r="BM2122" s="243" t="s">
        <v>2394</v>
      </c>
      <c r="BN2122" s="243" t="s">
        <v>2331</v>
      </c>
      <c r="BO2122" s="243" t="s">
        <v>2331</v>
      </c>
      <c r="BP2122" s="243" t="s">
        <v>2389</v>
      </c>
      <c r="BQ2122" s="243" t="s">
        <v>2427</v>
      </c>
      <c r="BR2122" s="243" t="s">
        <v>2427</v>
      </c>
    </row>
    <row r="2123" spans="1:85">
      <c r="A2123" s="239"/>
      <c r="B2123" s="239"/>
      <c r="C2123" s="264"/>
      <c r="D2123" s="264" t="s">
        <v>2774</v>
      </c>
      <c r="E2123" s="307" t="s">
        <v>2775</v>
      </c>
      <c r="F2123" s="317">
        <v>1</v>
      </c>
      <c r="G2123" s="265">
        <v>45930</v>
      </c>
      <c r="H2123" s="264"/>
      <c r="I2123" s="313"/>
      <c r="J2123" s="245"/>
      <c r="AM2123" s="257"/>
      <c r="AN2123" s="257"/>
      <c r="AP2123" s="257"/>
      <c r="AQ2123" s="257"/>
      <c r="AR2123" s="257"/>
      <c r="BJ2123" s="243" t="s">
        <v>2428</v>
      </c>
      <c r="BK2123" s="243" t="s">
        <v>2394</v>
      </c>
      <c r="BL2123" s="243" t="s">
        <v>2394</v>
      </c>
      <c r="BM2123" s="243" t="s">
        <v>2331</v>
      </c>
      <c r="BN2123" s="243" t="s">
        <v>2331</v>
      </c>
      <c r="BO2123" s="243" t="s">
        <v>2389</v>
      </c>
      <c r="BP2123" s="243" t="s">
        <v>2427</v>
      </c>
      <c r="BQ2123" s="243" t="s">
        <v>2427</v>
      </c>
    </row>
    <row r="2124" spans="1:85">
      <c r="A2124" s="239"/>
      <c r="B2124" s="239"/>
      <c r="C2124" s="264"/>
      <c r="D2124" s="264" t="s">
        <v>743</v>
      </c>
      <c r="E2124" s="307" t="s">
        <v>700</v>
      </c>
      <c r="F2124" s="317">
        <v>1</v>
      </c>
      <c r="G2124" s="265">
        <v>45930</v>
      </c>
      <c r="H2124" s="264"/>
      <c r="I2124" s="313"/>
      <c r="J2124" s="245"/>
      <c r="AM2124" s="257"/>
      <c r="AN2124" s="257"/>
      <c r="AP2124" s="257"/>
      <c r="AQ2124" s="257"/>
      <c r="AR2124" s="257"/>
      <c r="BJ2124" s="243" t="s">
        <v>2428</v>
      </c>
      <c r="BK2124" s="243" t="s">
        <v>2394</v>
      </c>
      <c r="BL2124" s="243" t="s">
        <v>2394</v>
      </c>
      <c r="BM2124" s="243" t="s">
        <v>2331</v>
      </c>
      <c r="BN2124" s="243" t="s">
        <v>2331</v>
      </c>
      <c r="BO2124" s="243" t="s">
        <v>2514</v>
      </c>
      <c r="BP2124" s="243" t="s">
        <v>2514</v>
      </c>
      <c r="BQ2124" s="243" t="s">
        <v>2389</v>
      </c>
      <c r="BR2124" s="243" t="s">
        <v>2427</v>
      </c>
    </row>
    <row r="2125" spans="1:85">
      <c r="A2125" s="239"/>
      <c r="B2125" s="239"/>
      <c r="C2125" s="264"/>
      <c r="D2125" s="264" t="s">
        <v>742</v>
      </c>
      <c r="E2125" s="307" t="s">
        <v>699</v>
      </c>
      <c r="F2125" s="317">
        <v>2</v>
      </c>
      <c r="G2125" s="265"/>
      <c r="H2125" s="264"/>
      <c r="I2125" s="313"/>
      <c r="J2125" s="245"/>
      <c r="AM2125" s="257"/>
      <c r="AN2125" s="257"/>
      <c r="AP2125" s="257"/>
      <c r="AQ2125" s="257"/>
      <c r="AR2125" s="257"/>
    </row>
    <row r="2126" spans="1:85">
      <c r="A2126" s="239"/>
      <c r="B2126" s="239"/>
      <c r="C2126" s="264"/>
      <c r="D2126" s="264"/>
      <c r="E2126" s="307"/>
      <c r="F2126" s="317"/>
      <c r="G2126" s="265"/>
      <c r="H2126" s="264"/>
      <c r="I2126" s="313"/>
      <c r="J2126" s="245"/>
      <c r="AM2126" s="257"/>
      <c r="AN2126" s="257"/>
      <c r="AP2126" s="257"/>
      <c r="AQ2126" s="257"/>
      <c r="AR2126" s="257"/>
    </row>
    <row r="2127" spans="1:85">
      <c r="A2127" s="239"/>
      <c r="B2127" s="239"/>
      <c r="C2127" s="264"/>
      <c r="D2127" s="264"/>
      <c r="E2127" s="307"/>
      <c r="F2127" s="317"/>
      <c r="G2127" s="265"/>
      <c r="H2127" s="264"/>
      <c r="I2127" s="313"/>
      <c r="J2127" s="245"/>
      <c r="AM2127" s="257"/>
      <c r="AN2127" s="257"/>
      <c r="AP2127" s="257"/>
      <c r="AQ2127" s="257"/>
      <c r="AR2127" s="257"/>
    </row>
    <row r="2128" spans="1:85">
      <c r="A2128" s="239">
        <v>72592</v>
      </c>
      <c r="B2128" s="239" t="s">
        <v>2655</v>
      </c>
      <c r="C2128" s="264" t="s">
        <v>20</v>
      </c>
      <c r="D2128" s="264" t="s">
        <v>2772</v>
      </c>
      <c r="E2128" s="307" t="s">
        <v>717</v>
      </c>
      <c r="F2128" s="317">
        <v>1</v>
      </c>
      <c r="G2128" s="265">
        <v>45930</v>
      </c>
      <c r="H2128" s="264" t="s">
        <v>2773</v>
      </c>
      <c r="I2128" s="313" t="s">
        <v>2428</v>
      </c>
      <c r="J2128" s="245"/>
      <c r="AM2128" s="257"/>
      <c r="AN2128" s="257"/>
      <c r="AP2128" s="257"/>
      <c r="AQ2128" s="257"/>
      <c r="AR2128" s="257"/>
      <c r="AT2128" s="243" t="s">
        <v>2428</v>
      </c>
      <c r="BJ2128" s="243" t="s">
        <v>2394</v>
      </c>
      <c r="BK2128" s="243" t="s">
        <v>2779</v>
      </c>
      <c r="BL2128" s="243" t="s">
        <v>2340</v>
      </c>
      <c r="BM2128" s="243" t="s">
        <v>2389</v>
      </c>
      <c r="BN2128" s="243" t="s">
        <v>2427</v>
      </c>
      <c r="BO2128" s="243" t="s">
        <v>2427</v>
      </c>
      <c r="BP2128" s="243" t="s">
        <v>2488</v>
      </c>
      <c r="BQ2128" s="243" t="s">
        <v>2488</v>
      </c>
      <c r="BR2128" s="243" t="s">
        <v>2488</v>
      </c>
      <c r="BS2128" s="243" t="s">
        <v>2488</v>
      </c>
      <c r="BT2128" s="243" t="s">
        <v>2488</v>
      </c>
      <c r="BU2128" s="243" t="s">
        <v>2488</v>
      </c>
      <c r="BV2128" s="243" t="s">
        <v>2488</v>
      </c>
      <c r="BW2128" s="243" t="s">
        <v>2196</v>
      </c>
      <c r="BX2128" s="243" t="s">
        <v>2182</v>
      </c>
      <c r="BY2128" s="243" t="s">
        <v>2182</v>
      </c>
      <c r="BZ2128" s="243" t="s">
        <v>2427</v>
      </c>
      <c r="CA2128" s="243" t="s">
        <v>2427</v>
      </c>
      <c r="CB2128" s="243" t="s">
        <v>2398</v>
      </c>
      <c r="CC2128" s="243" t="s">
        <v>2398</v>
      </c>
      <c r="CD2128" s="243" t="s">
        <v>2437</v>
      </c>
      <c r="CE2128" s="243" t="s">
        <v>2437</v>
      </c>
      <c r="CF2128" s="243" t="s">
        <v>2225</v>
      </c>
      <c r="CG2128" s="243" t="s">
        <v>2426</v>
      </c>
    </row>
    <row r="2129" spans="1:85">
      <c r="A2129" s="239"/>
      <c r="B2129" s="239"/>
      <c r="C2129" s="264"/>
      <c r="D2129" s="264"/>
      <c r="E2129" s="307"/>
      <c r="F2129" s="317"/>
      <c r="G2129" s="265"/>
      <c r="H2129" s="264"/>
      <c r="I2129" s="313"/>
      <c r="J2129" s="245"/>
      <c r="AM2129" s="257"/>
      <c r="AN2129" s="257"/>
      <c r="AP2129" s="257"/>
      <c r="AQ2129" s="257"/>
      <c r="AR2129" s="257"/>
    </row>
    <row r="2130" spans="1:85">
      <c r="A2130" s="239">
        <v>72593</v>
      </c>
      <c r="B2130" s="239" t="s">
        <v>2655</v>
      </c>
      <c r="C2130" s="264" t="s">
        <v>20</v>
      </c>
      <c r="D2130" s="264" t="s">
        <v>2776</v>
      </c>
      <c r="E2130" s="307" t="s">
        <v>716</v>
      </c>
      <c r="F2130" s="317">
        <v>1</v>
      </c>
      <c r="G2130" s="265">
        <v>45930</v>
      </c>
      <c r="H2130" s="264" t="s">
        <v>2773</v>
      </c>
      <c r="I2130" s="313"/>
      <c r="J2130" s="245"/>
      <c r="AM2130" s="257"/>
      <c r="AN2130" s="257"/>
      <c r="AP2130" s="257"/>
      <c r="AQ2130" s="257"/>
      <c r="AR2130" s="257"/>
      <c r="BI2130" s="243" t="s">
        <v>2196</v>
      </c>
      <c r="BJ2130" s="243" t="s">
        <v>2394</v>
      </c>
      <c r="BK2130" s="243" t="s">
        <v>2779</v>
      </c>
      <c r="BL2130" s="243" t="s">
        <v>2340</v>
      </c>
      <c r="BM2130" s="243" t="s">
        <v>2389</v>
      </c>
      <c r="BN2130" s="243" t="s">
        <v>2427</v>
      </c>
      <c r="BO2130" s="243" t="s">
        <v>2427</v>
      </c>
      <c r="BP2130" s="243" t="s">
        <v>2488</v>
      </c>
      <c r="BQ2130" s="243" t="s">
        <v>2389</v>
      </c>
      <c r="BR2130" s="243" t="s">
        <v>2427</v>
      </c>
      <c r="BS2130" s="243" t="s">
        <v>2427</v>
      </c>
      <c r="BT2130" s="243" t="s">
        <v>2488</v>
      </c>
      <c r="BU2130" s="243" t="s">
        <v>2389</v>
      </c>
      <c r="BV2130" s="243" t="s">
        <v>2427</v>
      </c>
      <c r="BW2130" s="243" t="s">
        <v>2196</v>
      </c>
      <c r="BX2130" s="243" t="s">
        <v>2182</v>
      </c>
      <c r="BY2130" s="243" t="s">
        <v>2182</v>
      </c>
      <c r="BZ2130" s="243" t="s">
        <v>2427</v>
      </c>
      <c r="CA2130" s="243" t="s">
        <v>2427</v>
      </c>
      <c r="CB2130" s="243" t="s">
        <v>2398</v>
      </c>
      <c r="CC2130" s="243" t="s">
        <v>2398</v>
      </c>
      <c r="CD2130" s="243" t="s">
        <v>2437</v>
      </c>
      <c r="CE2130" s="243" t="s">
        <v>2437</v>
      </c>
      <c r="CF2130" s="243" t="s">
        <v>2225</v>
      </c>
      <c r="CG2130" s="243" t="s">
        <v>2426</v>
      </c>
    </row>
    <row r="2131" spans="1:85">
      <c r="A2131" s="239"/>
      <c r="B2131" s="239"/>
      <c r="C2131" s="264"/>
      <c r="D2131" s="264"/>
      <c r="E2131" s="307"/>
      <c r="F2131" s="317"/>
      <c r="G2131" s="265"/>
      <c r="H2131" s="264"/>
      <c r="I2131" s="313"/>
      <c r="J2131" s="245"/>
      <c r="AM2131" s="257"/>
      <c r="AN2131" s="257"/>
      <c r="AP2131" s="257"/>
      <c r="AQ2131" s="257"/>
      <c r="AR2131" s="257"/>
    </row>
    <row r="2132" spans="1:85">
      <c r="A2132" s="239">
        <v>72594</v>
      </c>
      <c r="B2132" s="239" t="s">
        <v>2655</v>
      </c>
      <c r="C2132" s="264" t="s">
        <v>20</v>
      </c>
      <c r="D2132" s="264" t="s">
        <v>2778</v>
      </c>
      <c r="E2132" s="307" t="s">
        <v>715</v>
      </c>
      <c r="F2132" s="317">
        <v>1</v>
      </c>
      <c r="G2132" s="265">
        <v>45930</v>
      </c>
      <c r="H2132" s="264" t="s">
        <v>2773</v>
      </c>
      <c r="I2132" s="313" t="s">
        <v>2428</v>
      </c>
      <c r="J2132" s="245"/>
      <c r="AM2132" s="257"/>
      <c r="AN2132" s="257"/>
      <c r="AP2132" s="257"/>
      <c r="AQ2132" s="257"/>
      <c r="AR2132" s="257"/>
      <c r="AT2132" s="243" t="s">
        <v>2428</v>
      </c>
      <c r="BJ2132" s="243" t="s">
        <v>2394</v>
      </c>
      <c r="BK2132" s="243" t="s">
        <v>2779</v>
      </c>
      <c r="BL2132" s="243" t="s">
        <v>2340</v>
      </c>
      <c r="BM2132" s="243" t="s">
        <v>2389</v>
      </c>
      <c r="BN2132" s="243" t="s">
        <v>2427</v>
      </c>
      <c r="BO2132" s="243" t="s">
        <v>2427</v>
      </c>
      <c r="BP2132" s="243" t="s">
        <v>2488</v>
      </c>
      <c r="BQ2132" s="243" t="s">
        <v>2488</v>
      </c>
      <c r="BR2132" s="243" t="s">
        <v>2488</v>
      </c>
      <c r="BS2132" s="243" t="s">
        <v>2488</v>
      </c>
      <c r="BT2132" s="243" t="s">
        <v>2488</v>
      </c>
      <c r="BU2132" s="243" t="s">
        <v>2488</v>
      </c>
      <c r="BV2132" s="243" t="s">
        <v>2488</v>
      </c>
      <c r="BW2132" s="243" t="s">
        <v>2196</v>
      </c>
      <c r="BX2132" s="243" t="s">
        <v>2182</v>
      </c>
      <c r="BY2132" s="243" t="s">
        <v>2182</v>
      </c>
      <c r="BZ2132" s="243" t="s">
        <v>2427</v>
      </c>
      <c r="CA2132" s="243" t="s">
        <v>2427</v>
      </c>
      <c r="CB2132" s="243" t="s">
        <v>2398</v>
      </c>
      <c r="CC2132" s="243" t="s">
        <v>2398</v>
      </c>
      <c r="CD2132" s="243" t="s">
        <v>2437</v>
      </c>
      <c r="CE2132" s="243" t="s">
        <v>2437</v>
      </c>
      <c r="CF2132" s="243" t="s">
        <v>2225</v>
      </c>
      <c r="CG2132" s="243" t="s">
        <v>2426</v>
      </c>
    </row>
    <row r="2133" spans="1:85">
      <c r="A2133" s="239"/>
      <c r="B2133" s="239"/>
      <c r="C2133" s="264"/>
      <c r="D2133" s="264"/>
      <c r="E2133" s="307"/>
      <c r="F2133" s="317"/>
      <c r="G2133" s="265"/>
      <c r="H2133" s="264"/>
      <c r="I2133" s="313"/>
      <c r="J2133" s="245"/>
      <c r="AM2133" s="257"/>
      <c r="AN2133" s="257"/>
      <c r="AP2133" s="257"/>
      <c r="AQ2133" s="257"/>
      <c r="AR2133" s="257"/>
    </row>
    <row r="2134" spans="1:85">
      <c r="A2134" s="239">
        <v>72595</v>
      </c>
      <c r="B2134" s="239" t="s">
        <v>2655</v>
      </c>
      <c r="C2134" s="264" t="s">
        <v>20</v>
      </c>
      <c r="D2134" s="264" t="s">
        <v>2777</v>
      </c>
      <c r="E2134" s="307" t="s">
        <v>696</v>
      </c>
      <c r="F2134" s="317">
        <v>2</v>
      </c>
      <c r="G2134" s="265">
        <v>45930</v>
      </c>
      <c r="H2134" s="264" t="s">
        <v>2773</v>
      </c>
      <c r="I2134" s="313" t="s">
        <v>2428</v>
      </c>
      <c r="J2134" s="245"/>
      <c r="AM2134" s="257"/>
      <c r="AN2134" s="257"/>
      <c r="AP2134" s="257"/>
      <c r="AQ2134" s="257"/>
      <c r="AR2134" s="257"/>
      <c r="AT2134" s="243" t="s">
        <v>2428</v>
      </c>
      <c r="BJ2134" s="243" t="s">
        <v>2394</v>
      </c>
      <c r="BK2134" s="243" t="s">
        <v>2779</v>
      </c>
      <c r="BL2134" s="243" t="s">
        <v>2340</v>
      </c>
      <c r="BM2134" s="243" t="s">
        <v>2389</v>
      </c>
      <c r="BN2134" s="243" t="s">
        <v>2427</v>
      </c>
      <c r="BO2134" s="243" t="s">
        <v>2427</v>
      </c>
      <c r="BP2134" s="243" t="s">
        <v>2488</v>
      </c>
      <c r="BQ2134" s="243" t="s">
        <v>2488</v>
      </c>
      <c r="BR2134" s="243" t="s">
        <v>2488</v>
      </c>
      <c r="BS2134" s="243" t="s">
        <v>2488</v>
      </c>
      <c r="BT2134" s="243" t="s">
        <v>2488</v>
      </c>
      <c r="BU2134" s="243" t="s">
        <v>2488</v>
      </c>
      <c r="BV2134" s="243" t="s">
        <v>2488</v>
      </c>
      <c r="BW2134" s="243" t="s">
        <v>2196</v>
      </c>
      <c r="BX2134" s="243" t="s">
        <v>2182</v>
      </c>
      <c r="BY2134" s="243" t="s">
        <v>2182</v>
      </c>
      <c r="BZ2134" s="243" t="s">
        <v>2437</v>
      </c>
      <c r="CA2134" s="243" t="s">
        <v>2437</v>
      </c>
      <c r="CB2134" s="243" t="s">
        <v>2427</v>
      </c>
      <c r="CC2134" s="243" t="s">
        <v>2427</v>
      </c>
      <c r="CD2134" s="243" t="s">
        <v>2426</v>
      </c>
    </row>
    <row r="2135" spans="1:85">
      <c r="A2135" s="239"/>
      <c r="B2135" s="239"/>
      <c r="C2135" s="264"/>
      <c r="D2135" s="264"/>
      <c r="E2135" s="307"/>
      <c r="F2135" s="317"/>
      <c r="G2135" s="265"/>
      <c r="H2135" s="264"/>
      <c r="I2135" s="313"/>
      <c r="J2135" s="245"/>
      <c r="AM2135" s="257"/>
      <c r="AN2135" s="257"/>
      <c r="AP2135" s="257"/>
      <c r="AQ2135" s="257"/>
      <c r="AR2135" s="257"/>
    </row>
    <row r="2136" spans="1:85" ht="42">
      <c r="A2136" s="239">
        <v>72596</v>
      </c>
      <c r="B2136" s="239" t="s">
        <v>2655</v>
      </c>
      <c r="C2136" s="264" t="s">
        <v>20</v>
      </c>
      <c r="D2136" s="264" t="s">
        <v>2746</v>
      </c>
      <c r="E2136" s="307" t="s">
        <v>761</v>
      </c>
      <c r="F2136" s="317">
        <v>2</v>
      </c>
      <c r="G2136" s="265">
        <v>45930</v>
      </c>
      <c r="H2136" s="264"/>
      <c r="I2136" s="313" t="s">
        <v>2747</v>
      </c>
      <c r="J2136" s="245"/>
      <c r="AM2136" s="257"/>
      <c r="AN2136" s="257"/>
      <c r="AP2136" s="257"/>
      <c r="AQ2136" s="257"/>
      <c r="AR2136" s="257"/>
      <c r="BF2136" s="243" t="s">
        <v>2427</v>
      </c>
      <c r="BG2136" s="243" t="s">
        <v>2427</v>
      </c>
    </row>
    <row r="2137" spans="1:85">
      <c r="A2137" s="239"/>
      <c r="B2137" s="239"/>
      <c r="C2137" s="264"/>
      <c r="D2137" s="264"/>
      <c r="E2137" s="307"/>
      <c r="F2137" s="317"/>
      <c r="G2137" s="265"/>
      <c r="H2137" s="264"/>
      <c r="I2137" s="313"/>
      <c r="J2137" s="245"/>
      <c r="AM2137" s="257"/>
      <c r="AN2137" s="257"/>
      <c r="AP2137" s="257"/>
      <c r="AQ2137" s="257"/>
      <c r="AR2137" s="257"/>
    </row>
    <row r="2138" spans="1:85">
      <c r="A2138" s="239">
        <v>72597</v>
      </c>
      <c r="B2138" s="239" t="s">
        <v>2655</v>
      </c>
      <c r="C2138" s="264" t="s">
        <v>20</v>
      </c>
      <c r="D2138" s="264" t="s">
        <v>759</v>
      </c>
      <c r="E2138" s="307" t="s">
        <v>718</v>
      </c>
      <c r="F2138" s="317">
        <v>2</v>
      </c>
      <c r="G2138" s="265">
        <v>45930</v>
      </c>
      <c r="H2138" s="264"/>
      <c r="I2138" s="313" t="s">
        <v>2340</v>
      </c>
      <c r="J2138" s="245"/>
      <c r="AM2138" s="257"/>
      <c r="AN2138" s="257"/>
      <c r="AP2138" s="257"/>
      <c r="AQ2138" s="257"/>
      <c r="AR2138" s="257"/>
      <c r="BG2138" s="243" t="s">
        <v>2340</v>
      </c>
      <c r="BH2138" s="243" t="s">
        <v>2389</v>
      </c>
      <c r="BI2138" s="243" t="s">
        <v>2225</v>
      </c>
      <c r="BJ2138" s="243" t="s">
        <v>2225</v>
      </c>
      <c r="BK2138" s="243" t="s">
        <v>2426</v>
      </c>
    </row>
    <row r="2139" spans="1:85">
      <c r="A2139" s="239"/>
      <c r="B2139" s="239"/>
      <c r="C2139" s="264"/>
      <c r="D2139" s="264"/>
      <c r="E2139" s="307"/>
      <c r="F2139" s="317"/>
      <c r="G2139" s="265"/>
      <c r="H2139" s="264"/>
      <c r="I2139" s="313"/>
      <c r="J2139" s="245"/>
      <c r="AM2139" s="257"/>
      <c r="AN2139" s="257"/>
      <c r="AP2139" s="257"/>
      <c r="AQ2139" s="257"/>
      <c r="AR2139" s="257"/>
    </row>
    <row r="2140" spans="1:85" ht="42">
      <c r="A2140" s="239">
        <v>72598</v>
      </c>
      <c r="B2140" s="239" t="s">
        <v>2655</v>
      </c>
      <c r="C2140" s="264" t="s">
        <v>20</v>
      </c>
      <c r="D2140" s="264" t="s">
        <v>2746</v>
      </c>
      <c r="E2140" s="307" t="s">
        <v>725</v>
      </c>
      <c r="F2140" s="317">
        <v>2</v>
      </c>
      <c r="G2140" s="265">
        <v>45930</v>
      </c>
      <c r="H2140" s="264"/>
      <c r="I2140" s="313" t="s">
        <v>2747</v>
      </c>
      <c r="J2140" s="245"/>
      <c r="AM2140" s="257"/>
      <c r="AN2140" s="257"/>
      <c r="AP2140" s="257"/>
      <c r="AQ2140" s="257"/>
      <c r="AR2140" s="257"/>
      <c r="BF2140" s="243" t="s">
        <v>2427</v>
      </c>
      <c r="BG2140" s="243" t="s">
        <v>2427</v>
      </c>
    </row>
    <row r="2141" spans="1:85">
      <c r="A2141" s="239"/>
      <c r="B2141" s="239"/>
      <c r="C2141" s="264"/>
      <c r="D2141" s="264"/>
      <c r="E2141" s="307"/>
      <c r="F2141" s="317"/>
      <c r="G2141" s="265"/>
      <c r="H2141" s="264"/>
      <c r="I2141" s="313"/>
      <c r="J2141" s="245"/>
      <c r="AM2141" s="257"/>
      <c r="AN2141" s="257"/>
      <c r="AP2141" s="257"/>
      <c r="AQ2141" s="257"/>
      <c r="AR2141" s="257"/>
    </row>
    <row r="2142" spans="1:85">
      <c r="A2142" s="239">
        <v>72599</v>
      </c>
      <c r="B2142" s="280" t="s">
        <v>730</v>
      </c>
      <c r="C2142" s="281" t="s">
        <v>20</v>
      </c>
      <c r="D2142" s="281" t="s">
        <v>2734</v>
      </c>
      <c r="E2142" s="332" t="s">
        <v>730</v>
      </c>
      <c r="F2142" s="333">
        <v>1</v>
      </c>
      <c r="G2142" s="282">
        <v>45930</v>
      </c>
      <c r="H2142" s="281"/>
      <c r="I2142" s="313"/>
      <c r="J2142" s="245"/>
      <c r="AM2142" s="257"/>
      <c r="AN2142" s="257"/>
      <c r="AP2142" s="257"/>
      <c r="AQ2142" s="257"/>
      <c r="AR2142" s="257"/>
    </row>
    <row r="2143" spans="1:85">
      <c r="A2143" s="239"/>
      <c r="B2143" s="239"/>
      <c r="C2143" s="264"/>
      <c r="D2143" s="264" t="s">
        <v>763</v>
      </c>
      <c r="E2143" s="307" t="s">
        <v>694</v>
      </c>
      <c r="F2143" s="317">
        <v>1</v>
      </c>
      <c r="G2143" s="265">
        <v>45930</v>
      </c>
      <c r="H2143" s="264"/>
      <c r="I2143" s="313" t="s">
        <v>2196</v>
      </c>
      <c r="J2143" s="245"/>
      <c r="AM2143" s="257"/>
      <c r="AN2143" s="257"/>
      <c r="AP2143" s="257"/>
      <c r="AQ2143" s="257" t="s">
        <v>2196</v>
      </c>
      <c r="AR2143" s="257"/>
      <c r="BJ2143" s="243" t="s">
        <v>2394</v>
      </c>
      <c r="BK2143" s="243" t="s">
        <v>2340</v>
      </c>
      <c r="BL2143" s="243" t="s">
        <v>2340</v>
      </c>
      <c r="BM2143" s="243" t="s">
        <v>2437</v>
      </c>
      <c r="BN2143" s="243" t="s">
        <v>2437</v>
      </c>
      <c r="BO2143" s="243" t="s">
        <v>2427</v>
      </c>
      <c r="BP2143" s="243" t="s">
        <v>2427</v>
      </c>
    </row>
    <row r="2144" spans="1:85">
      <c r="A2144" s="239"/>
      <c r="B2144" s="239"/>
      <c r="C2144" s="264"/>
      <c r="D2144" s="264" t="s">
        <v>764</v>
      </c>
      <c r="E2144" s="307" t="s">
        <v>695</v>
      </c>
      <c r="F2144" s="317">
        <v>1</v>
      </c>
      <c r="G2144" s="265">
        <v>45930</v>
      </c>
      <c r="H2144" s="264"/>
      <c r="I2144" s="313" t="s">
        <v>2389</v>
      </c>
      <c r="J2144" s="245"/>
      <c r="AM2144" s="257"/>
      <c r="AN2144" s="257"/>
      <c r="AP2144" s="257"/>
      <c r="AQ2144" s="257"/>
      <c r="AR2144" s="257"/>
      <c r="BG2144" s="243" t="s">
        <v>2389</v>
      </c>
      <c r="BH2144" s="243" t="s">
        <v>2427</v>
      </c>
      <c r="BI2144" s="243" t="s">
        <v>2427</v>
      </c>
    </row>
    <row r="2145" spans="1:95">
      <c r="A2145" s="239"/>
      <c r="B2145" s="239"/>
      <c r="C2145" s="264"/>
      <c r="D2145" s="339" t="s">
        <v>2771</v>
      </c>
      <c r="E2145" s="307" t="s">
        <v>724</v>
      </c>
      <c r="F2145" s="317">
        <v>1</v>
      </c>
      <c r="G2145" s="265">
        <v>45930</v>
      </c>
      <c r="H2145" s="264"/>
      <c r="I2145" s="313" t="s">
        <v>2428</v>
      </c>
      <c r="J2145" s="245"/>
      <c r="AM2145" s="257"/>
      <c r="AN2145" s="257"/>
      <c r="AP2145" s="257"/>
      <c r="AQ2145" s="257" t="s">
        <v>2428</v>
      </c>
      <c r="AR2145" s="257"/>
      <c r="BJ2145" s="243" t="s">
        <v>2394</v>
      </c>
      <c r="BK2145" s="243" t="s">
        <v>2340</v>
      </c>
      <c r="BL2145" s="243" t="s">
        <v>2340</v>
      </c>
      <c r="BM2145" s="243" t="s">
        <v>2780</v>
      </c>
      <c r="BN2145" s="243" t="s">
        <v>2780</v>
      </c>
      <c r="BO2145" s="243" t="s">
        <v>2389</v>
      </c>
      <c r="BP2145" s="243" t="s">
        <v>2427</v>
      </c>
      <c r="BQ2145" s="243" t="s">
        <v>2427</v>
      </c>
    </row>
    <row r="2146" spans="1:95">
      <c r="A2146" s="239"/>
      <c r="B2146" s="239"/>
      <c r="C2146" s="264"/>
      <c r="D2146" s="264"/>
      <c r="E2146" s="307"/>
      <c r="F2146" s="317"/>
      <c r="G2146" s="265"/>
      <c r="H2146" s="264"/>
      <c r="I2146" s="313"/>
      <c r="J2146" s="245"/>
      <c r="AM2146" s="257"/>
      <c r="AN2146" s="257"/>
      <c r="AP2146" s="257"/>
      <c r="AQ2146" s="257"/>
      <c r="AR2146" s="257"/>
    </row>
    <row r="2147" spans="1:95">
      <c r="A2147" s="239">
        <v>72601</v>
      </c>
      <c r="B2147" s="264"/>
      <c r="C2147" s="264" t="s">
        <v>2480</v>
      </c>
      <c r="D2147" s="264" t="s">
        <v>2481</v>
      </c>
      <c r="E2147" s="316" t="s">
        <v>2482</v>
      </c>
      <c r="F2147" s="239">
        <v>1</v>
      </c>
      <c r="G2147" s="265">
        <v>45891</v>
      </c>
      <c r="H2147" s="264"/>
      <c r="I2147" s="308" t="s">
        <v>2394</v>
      </c>
      <c r="J2147" s="245"/>
      <c r="AN2147" s="243" t="s">
        <v>2199</v>
      </c>
      <c r="AS2147" s="243" t="s">
        <v>2187</v>
      </c>
      <c r="AT2147" s="243" t="s">
        <v>2187</v>
      </c>
      <c r="BD2147" s="243" t="s">
        <v>2394</v>
      </c>
      <c r="BE2147" s="243" t="s">
        <v>2331</v>
      </c>
      <c r="BF2147" s="243" t="s">
        <v>2331</v>
      </c>
      <c r="BG2147" s="243" t="s">
        <v>2389</v>
      </c>
      <c r="BH2147" s="243" t="s">
        <v>2225</v>
      </c>
      <c r="BI2147" s="243" t="s">
        <v>2225</v>
      </c>
      <c r="BJ2147" s="243" t="s">
        <v>2426</v>
      </c>
      <c r="BK2147" s="243" t="s">
        <v>2426</v>
      </c>
    </row>
    <row r="2148" spans="1:95">
      <c r="A2148" s="239"/>
      <c r="B2148" s="264"/>
      <c r="C2148" s="264"/>
      <c r="D2148" s="264"/>
      <c r="E2148" s="316"/>
      <c r="F2148" s="239"/>
      <c r="G2148" s="265"/>
      <c r="H2148" s="264"/>
      <c r="I2148" s="308"/>
      <c r="J2148" s="245"/>
    </row>
    <row r="2149" spans="1:95">
      <c r="A2149" s="239">
        <v>72602</v>
      </c>
      <c r="B2149" s="333" t="s">
        <v>2824</v>
      </c>
      <c r="C2149" s="281" t="s">
        <v>20</v>
      </c>
      <c r="D2149" s="281" t="s">
        <v>2826</v>
      </c>
      <c r="E2149" s="318" t="s">
        <v>2825</v>
      </c>
      <c r="F2149" s="280"/>
      <c r="G2149" s="282">
        <v>45958</v>
      </c>
      <c r="H2149" s="281"/>
      <c r="I2149" s="308"/>
      <c r="J2149" s="245"/>
    </row>
    <row r="2150" spans="1:95">
      <c r="A2150" s="239"/>
      <c r="B2150" s="264"/>
      <c r="C2150" s="264"/>
      <c r="D2150" s="264" t="s">
        <v>2827</v>
      </c>
      <c r="E2150" s="316" t="s">
        <v>2828</v>
      </c>
      <c r="F2150" s="239">
        <v>10</v>
      </c>
      <c r="G2150" s="265">
        <v>45958</v>
      </c>
      <c r="H2150" s="264" t="s">
        <v>2829</v>
      </c>
      <c r="I2150" s="308" t="s">
        <v>2196</v>
      </c>
      <c r="J2150" s="245"/>
      <c r="AX2150" s="243" t="s">
        <v>2196</v>
      </c>
      <c r="BK2150" s="243" t="s">
        <v>2394</v>
      </c>
      <c r="BL2150" s="243" t="s">
        <v>2488</v>
      </c>
      <c r="BM2150" s="243" t="s">
        <v>2488</v>
      </c>
      <c r="BN2150" s="243" t="s">
        <v>2488</v>
      </c>
      <c r="BO2150" s="243" t="s">
        <v>2488</v>
      </c>
      <c r="BP2150" s="243" t="s">
        <v>2488</v>
      </c>
      <c r="BQ2150" s="243" t="s">
        <v>2488</v>
      </c>
      <c r="BR2150" s="243" t="s">
        <v>2488</v>
      </c>
      <c r="BS2150" s="243" t="s">
        <v>2196</v>
      </c>
      <c r="BT2150" s="243" t="s">
        <v>2340</v>
      </c>
      <c r="BU2150" s="243" t="s">
        <v>2340</v>
      </c>
      <c r="BV2150" s="243" t="s">
        <v>2331</v>
      </c>
      <c r="BW2150" s="243" t="s">
        <v>2331</v>
      </c>
      <c r="BX2150" s="243" t="s">
        <v>2389</v>
      </c>
      <c r="BY2150" s="243" t="s">
        <v>2427</v>
      </c>
      <c r="BZ2150" s="243" t="s">
        <v>2427</v>
      </c>
    </row>
    <row r="2151" spans="1:95">
      <c r="A2151" s="239"/>
      <c r="B2151" s="264"/>
      <c r="C2151" s="264"/>
      <c r="D2151" s="264" t="s">
        <v>2830</v>
      </c>
      <c r="E2151" s="316" t="s">
        <v>2831</v>
      </c>
      <c r="F2151" s="239">
        <v>20</v>
      </c>
      <c r="G2151" s="265">
        <v>45958</v>
      </c>
      <c r="H2151" s="264"/>
      <c r="I2151" s="308" t="s">
        <v>2196</v>
      </c>
      <c r="J2151" s="245"/>
      <c r="AX2151" s="243" t="s">
        <v>2196</v>
      </c>
      <c r="BK2151" s="243" t="s">
        <v>2394</v>
      </c>
      <c r="BL2151" s="243" t="s">
        <v>2331</v>
      </c>
      <c r="BM2151" s="243" t="s">
        <v>2331</v>
      </c>
      <c r="BN2151" s="243" t="s">
        <v>2417</v>
      </c>
      <c r="BO2151" s="243" t="s">
        <v>2417</v>
      </c>
      <c r="BP2151" s="243" t="s">
        <v>2389</v>
      </c>
      <c r="BQ2151" s="243" t="s">
        <v>2427</v>
      </c>
      <c r="BR2151" s="243" t="s">
        <v>2427</v>
      </c>
    </row>
    <row r="2152" spans="1:95">
      <c r="A2152" s="239"/>
      <c r="B2152" s="264"/>
      <c r="C2152" s="264"/>
      <c r="D2152" s="264" t="s">
        <v>2832</v>
      </c>
      <c r="E2152" s="316" t="s">
        <v>2833</v>
      </c>
      <c r="F2152" s="239">
        <v>20</v>
      </c>
      <c r="G2152" s="265">
        <v>45958</v>
      </c>
      <c r="H2152" s="264"/>
      <c r="I2152" s="308" t="s">
        <v>2196</v>
      </c>
      <c r="J2152" s="245"/>
      <c r="AX2152" s="243" t="s">
        <v>2196</v>
      </c>
      <c r="BK2152" s="243" t="s">
        <v>2394</v>
      </c>
      <c r="BL2152" s="243" t="s">
        <v>2331</v>
      </c>
      <c r="BM2152" s="243" t="s">
        <v>2331</v>
      </c>
      <c r="BN2152" s="243" t="s">
        <v>2417</v>
      </c>
      <c r="BO2152" s="243" t="s">
        <v>2417</v>
      </c>
      <c r="BP2152" s="243" t="s">
        <v>2389</v>
      </c>
      <c r="BQ2152" s="243" t="s">
        <v>2427</v>
      </c>
      <c r="BR2152" s="243" t="s">
        <v>2427</v>
      </c>
    </row>
    <row r="2153" spans="1:95">
      <c r="A2153" s="239"/>
      <c r="B2153" s="264"/>
      <c r="C2153" s="264"/>
      <c r="D2153" s="264" t="s">
        <v>2832</v>
      </c>
      <c r="E2153" s="316" t="s">
        <v>2834</v>
      </c>
      <c r="F2153" s="239">
        <v>10</v>
      </c>
      <c r="G2153" s="265">
        <v>45958</v>
      </c>
      <c r="H2153" s="264"/>
      <c r="I2153" s="308" t="s">
        <v>2613</v>
      </c>
      <c r="J2153" s="245"/>
      <c r="AV2153" s="243" t="s">
        <v>2613</v>
      </c>
      <c r="BK2153" s="243" t="s">
        <v>2394</v>
      </c>
      <c r="BL2153" s="243" t="s">
        <v>2340</v>
      </c>
      <c r="BM2153" s="243" t="s">
        <v>2340</v>
      </c>
      <c r="BN2153" s="243" t="s">
        <v>2331</v>
      </c>
      <c r="BO2153" s="243" t="s">
        <v>2331</v>
      </c>
      <c r="BP2153" s="243" t="s">
        <v>2389</v>
      </c>
      <c r="BQ2153" s="243" t="s">
        <v>2427</v>
      </c>
      <c r="BR2153" s="243" t="s">
        <v>2427</v>
      </c>
    </row>
    <row r="2154" spans="1:95" ht="90">
      <c r="A2154" s="239"/>
      <c r="B2154" s="264"/>
      <c r="C2154" s="264"/>
      <c r="D2154" s="264" t="s">
        <v>2836</v>
      </c>
      <c r="E2154" s="316" t="s">
        <v>2837</v>
      </c>
      <c r="F2154" s="239">
        <v>10</v>
      </c>
      <c r="G2154" s="265">
        <v>45958</v>
      </c>
      <c r="H2154" s="264" t="s">
        <v>2819</v>
      </c>
      <c r="I2154" s="308" t="s">
        <v>2613</v>
      </c>
      <c r="J2154" s="245"/>
      <c r="AV2154" s="243" t="s">
        <v>2613</v>
      </c>
      <c r="BK2154" s="243" t="s">
        <v>2394</v>
      </c>
      <c r="BL2154" s="246" t="s">
        <v>2838</v>
      </c>
      <c r="BM2154" s="246" t="s">
        <v>2838</v>
      </c>
      <c r="BN2154" s="243" t="s">
        <v>2417</v>
      </c>
      <c r="BO2154" s="243" t="s">
        <v>2417</v>
      </c>
      <c r="BP2154" s="243" t="s">
        <v>2389</v>
      </c>
      <c r="BQ2154" s="243" t="s">
        <v>2225</v>
      </c>
      <c r="BR2154" s="243" t="s">
        <v>2225</v>
      </c>
      <c r="BS2154" s="243" t="s">
        <v>2386</v>
      </c>
      <c r="BT2154" s="243" t="s">
        <v>2389</v>
      </c>
      <c r="BU2154" s="243" t="s">
        <v>2225</v>
      </c>
      <c r="BV2154" s="243" t="s">
        <v>2225</v>
      </c>
      <c r="BW2154" s="243" t="s">
        <v>2205</v>
      </c>
      <c r="BX2154" s="243" t="s">
        <v>2558</v>
      </c>
      <c r="BY2154" s="243" t="s">
        <v>2558</v>
      </c>
      <c r="BZ2154" s="243" t="s">
        <v>2389</v>
      </c>
      <c r="CA2154" s="243" t="s">
        <v>2225</v>
      </c>
      <c r="CB2154" s="243" t="s">
        <v>2225</v>
      </c>
      <c r="CC2154" s="243" t="s">
        <v>2417</v>
      </c>
      <c r="CD2154" s="243" t="s">
        <v>2417</v>
      </c>
      <c r="CE2154" s="243" t="s">
        <v>2389</v>
      </c>
      <c r="CF2154" s="243" t="s">
        <v>2225</v>
      </c>
      <c r="CG2154" s="243" t="s">
        <v>2225</v>
      </c>
      <c r="CH2154" s="243" t="s">
        <v>2412</v>
      </c>
      <c r="CI2154" s="243" t="s">
        <v>2412</v>
      </c>
      <c r="CJ2154" s="243" t="s">
        <v>2412</v>
      </c>
      <c r="CK2154" s="243" t="s">
        <v>2412</v>
      </c>
      <c r="CL2154" s="243" t="s">
        <v>2412</v>
      </c>
      <c r="CM2154" s="243" t="s">
        <v>2412</v>
      </c>
      <c r="CN2154" s="243" t="s">
        <v>2412</v>
      </c>
      <c r="CO2154" s="243" t="s">
        <v>2196</v>
      </c>
      <c r="CP2154" s="243" t="s">
        <v>2427</v>
      </c>
      <c r="CQ2154" s="243" t="s">
        <v>2427</v>
      </c>
    </row>
    <row r="2155" spans="1:95">
      <c r="A2155" s="239"/>
      <c r="B2155" s="264"/>
      <c r="C2155" s="264"/>
      <c r="D2155" s="264" t="s">
        <v>2839</v>
      </c>
      <c r="E2155" s="316" t="s">
        <v>2840</v>
      </c>
      <c r="F2155" s="239">
        <v>10</v>
      </c>
      <c r="G2155" s="265">
        <v>45958</v>
      </c>
      <c r="H2155" s="264"/>
      <c r="I2155" s="308" t="s">
        <v>2196</v>
      </c>
      <c r="J2155" s="245"/>
      <c r="BF2155" s="243" t="s">
        <v>2196</v>
      </c>
      <c r="BK2155" s="243" t="s">
        <v>2394</v>
      </c>
      <c r="BL2155" s="243" t="s">
        <v>2340</v>
      </c>
      <c r="BM2155" s="243" t="s">
        <v>2340</v>
      </c>
      <c r="BN2155" s="243" t="s">
        <v>2331</v>
      </c>
      <c r="BO2155" s="243" t="s">
        <v>2331</v>
      </c>
      <c r="BP2155" s="243" t="s">
        <v>2331</v>
      </c>
      <c r="BQ2155" s="243" t="s">
        <v>2331</v>
      </c>
      <c r="BR2155" s="243" t="s">
        <v>2182</v>
      </c>
      <c r="BS2155" s="243" t="s">
        <v>2182</v>
      </c>
      <c r="BT2155" s="243" t="s">
        <v>2389</v>
      </c>
      <c r="BU2155" s="243" t="s">
        <v>2427</v>
      </c>
      <c r="BV2155" s="243" t="s">
        <v>2427</v>
      </c>
    </row>
    <row r="2156" spans="1:95">
      <c r="A2156" s="239"/>
      <c r="B2156" s="264"/>
      <c r="C2156" s="264"/>
      <c r="D2156" s="264" t="s">
        <v>2841</v>
      </c>
      <c r="E2156" s="316" t="s">
        <v>2842</v>
      </c>
      <c r="F2156" s="239">
        <v>10</v>
      </c>
      <c r="G2156" s="265">
        <v>45958</v>
      </c>
      <c r="H2156" s="264"/>
      <c r="I2156" s="308" t="s">
        <v>2196</v>
      </c>
      <c r="J2156" s="245"/>
      <c r="AV2156" s="243" t="s">
        <v>2196</v>
      </c>
      <c r="BK2156" s="243" t="s">
        <v>2394</v>
      </c>
      <c r="BL2156" s="243" t="s">
        <v>2340</v>
      </c>
      <c r="BM2156" s="243" t="s">
        <v>2340</v>
      </c>
      <c r="BN2156" s="243" t="s">
        <v>2331</v>
      </c>
      <c r="BO2156" s="243" t="s">
        <v>2331</v>
      </c>
      <c r="BP2156" s="243" t="s">
        <v>2389</v>
      </c>
      <c r="BQ2156" s="243" t="s">
        <v>2427</v>
      </c>
      <c r="BR2156" s="243" t="s">
        <v>2427</v>
      </c>
    </row>
    <row r="2157" spans="1:95">
      <c r="A2157" s="239"/>
      <c r="B2157" s="264"/>
      <c r="C2157" s="264"/>
      <c r="D2157" s="264" t="s">
        <v>2843</v>
      </c>
      <c r="E2157" s="316" t="s">
        <v>2844</v>
      </c>
      <c r="F2157" s="239">
        <v>10</v>
      </c>
      <c r="G2157" s="265">
        <v>45958</v>
      </c>
      <c r="H2157" s="264"/>
      <c r="I2157" s="308" t="s">
        <v>2196</v>
      </c>
      <c r="J2157" s="245"/>
      <c r="AV2157" s="243" t="s">
        <v>2196</v>
      </c>
      <c r="BK2157" s="243" t="s">
        <v>2394</v>
      </c>
      <c r="BL2157" s="243" t="s">
        <v>2340</v>
      </c>
      <c r="BM2157" s="243" t="s">
        <v>2340</v>
      </c>
      <c r="BN2157" s="243" t="s">
        <v>2417</v>
      </c>
      <c r="BO2157" s="243" t="s">
        <v>2417</v>
      </c>
      <c r="BP2157" s="243" t="s">
        <v>2417</v>
      </c>
      <c r="BQ2157" s="243" t="s">
        <v>2417</v>
      </c>
      <c r="BR2157" s="243" t="s">
        <v>2389</v>
      </c>
      <c r="BS2157" s="243" t="s">
        <v>2427</v>
      </c>
      <c r="BT2157" s="243" t="s">
        <v>2427</v>
      </c>
    </row>
    <row r="2158" spans="1:95">
      <c r="A2158" s="239"/>
      <c r="B2158" s="264"/>
      <c r="C2158" s="264"/>
      <c r="D2158" s="264" t="s">
        <v>2845</v>
      </c>
      <c r="E2158" s="316" t="s">
        <v>2846</v>
      </c>
      <c r="F2158" s="239">
        <v>10</v>
      </c>
      <c r="G2158" s="265">
        <v>45958</v>
      </c>
      <c r="H2158" s="264"/>
      <c r="I2158" s="308" t="s">
        <v>2196</v>
      </c>
      <c r="J2158" s="245"/>
      <c r="BF2158" s="243" t="s">
        <v>2196</v>
      </c>
      <c r="BK2158" s="243" t="s">
        <v>2394</v>
      </c>
      <c r="BL2158" s="243" t="s">
        <v>2340</v>
      </c>
      <c r="BM2158" s="243" t="s">
        <v>2340</v>
      </c>
      <c r="BN2158" s="243" t="s">
        <v>2389</v>
      </c>
      <c r="BO2158" s="243" t="s">
        <v>2427</v>
      </c>
      <c r="BP2158" s="243" t="s">
        <v>2427</v>
      </c>
    </row>
    <row r="2159" spans="1:95">
      <c r="A2159" s="239"/>
      <c r="B2159" s="264"/>
      <c r="C2159" s="264"/>
      <c r="D2159" s="264" t="s">
        <v>481</v>
      </c>
      <c r="E2159" s="316" t="s">
        <v>2847</v>
      </c>
      <c r="F2159" s="239">
        <v>10</v>
      </c>
      <c r="G2159" s="265">
        <v>45958</v>
      </c>
      <c r="H2159" s="264" t="s">
        <v>2829</v>
      </c>
      <c r="I2159" s="308" t="s">
        <v>2196</v>
      </c>
      <c r="J2159" s="245"/>
      <c r="AX2159" s="243" t="s">
        <v>2196</v>
      </c>
      <c r="BK2159" s="243" t="s">
        <v>2394</v>
      </c>
      <c r="BL2159" s="243" t="s">
        <v>2488</v>
      </c>
      <c r="BM2159" s="243" t="s">
        <v>2488</v>
      </c>
      <c r="BN2159" s="243" t="s">
        <v>2488</v>
      </c>
      <c r="BO2159" s="243" t="s">
        <v>2488</v>
      </c>
      <c r="BP2159" s="243" t="s">
        <v>2488</v>
      </c>
      <c r="BQ2159" s="243" t="s">
        <v>2488</v>
      </c>
      <c r="BR2159" s="243" t="s">
        <v>2488</v>
      </c>
      <c r="BS2159" s="243" t="s">
        <v>2196</v>
      </c>
      <c r="BT2159" s="243" t="s">
        <v>2340</v>
      </c>
      <c r="BU2159" s="243" t="s">
        <v>2340</v>
      </c>
      <c r="BV2159" s="243" t="s">
        <v>2331</v>
      </c>
      <c r="BW2159" s="243" t="s">
        <v>2331</v>
      </c>
      <c r="BX2159" s="243" t="s">
        <v>2331</v>
      </c>
      <c r="BY2159" s="243" t="s">
        <v>2331</v>
      </c>
      <c r="BZ2159" s="243" t="s">
        <v>2389</v>
      </c>
      <c r="CA2159" s="243" t="s">
        <v>2389</v>
      </c>
      <c r="CB2159" s="243" t="s">
        <v>2427</v>
      </c>
      <c r="CC2159" s="243" t="s">
        <v>2427</v>
      </c>
    </row>
    <row r="2160" spans="1:95">
      <c r="A2160" s="239"/>
      <c r="B2160" s="264"/>
      <c r="C2160" s="264"/>
      <c r="D2160" s="264" t="s">
        <v>2848</v>
      </c>
      <c r="E2160" s="316" t="s">
        <v>2849</v>
      </c>
      <c r="F2160" s="239">
        <v>10</v>
      </c>
      <c r="G2160" s="265">
        <v>45958</v>
      </c>
      <c r="H2160" s="264" t="s">
        <v>2829</v>
      </c>
      <c r="I2160" s="308" t="s">
        <v>2196</v>
      </c>
      <c r="J2160" s="245"/>
      <c r="BF2160" s="243" t="s">
        <v>2196</v>
      </c>
      <c r="BK2160" s="243" t="s">
        <v>2394</v>
      </c>
      <c r="BL2160" s="243" t="s">
        <v>2488</v>
      </c>
      <c r="BM2160" s="243" t="s">
        <v>2488</v>
      </c>
      <c r="BN2160" s="243" t="s">
        <v>2488</v>
      </c>
      <c r="BO2160" s="243" t="s">
        <v>2488</v>
      </c>
      <c r="BP2160" s="243" t="s">
        <v>2488</v>
      </c>
      <c r="BQ2160" s="243" t="s">
        <v>2488</v>
      </c>
      <c r="BR2160" s="243" t="s">
        <v>2488</v>
      </c>
      <c r="BS2160" s="243" t="s">
        <v>2196</v>
      </c>
      <c r="BT2160" s="243" t="s">
        <v>2340</v>
      </c>
      <c r="BU2160" s="243" t="s">
        <v>2340</v>
      </c>
      <c r="BV2160" s="243" t="s">
        <v>2417</v>
      </c>
      <c r="BW2160" s="243" t="s">
        <v>2417</v>
      </c>
      <c r="BX2160" s="243" t="s">
        <v>2389</v>
      </c>
      <c r="BY2160" s="243" t="s">
        <v>2427</v>
      </c>
      <c r="BZ2160" s="243" t="s">
        <v>2427</v>
      </c>
    </row>
    <row r="2161" spans="1:93">
      <c r="A2161" s="239"/>
      <c r="B2161" s="264"/>
      <c r="C2161" s="264"/>
      <c r="D2161" s="264"/>
      <c r="E2161" s="316"/>
      <c r="F2161" s="239"/>
      <c r="G2161" s="265"/>
      <c r="H2161" s="264"/>
      <c r="I2161" s="308"/>
      <c r="J2161" s="245"/>
    </row>
    <row r="2162" spans="1:93">
      <c r="A2162" s="239">
        <v>72603</v>
      </c>
      <c r="B2162" s="333" t="s">
        <v>2850</v>
      </c>
      <c r="C2162" s="281" t="s">
        <v>20</v>
      </c>
      <c r="D2162" s="281" t="s">
        <v>2852</v>
      </c>
      <c r="E2162" s="318" t="s">
        <v>2851</v>
      </c>
      <c r="F2162" s="280"/>
      <c r="G2162" s="282">
        <v>45958</v>
      </c>
      <c r="H2162" s="281"/>
      <c r="I2162" s="308"/>
      <c r="J2162" s="245"/>
    </row>
    <row r="2163" spans="1:93">
      <c r="A2163" s="239"/>
      <c r="B2163" s="284"/>
      <c r="C2163" s="284"/>
      <c r="D2163" s="284" t="s">
        <v>2853</v>
      </c>
      <c r="E2163" s="342" t="s">
        <v>2854</v>
      </c>
      <c r="F2163" s="285">
        <v>2</v>
      </c>
      <c r="G2163" s="286">
        <v>45958</v>
      </c>
      <c r="H2163" s="264"/>
      <c r="I2163" s="308" t="s">
        <v>2205</v>
      </c>
      <c r="J2163" s="245"/>
      <c r="BT2163" s="243" t="s">
        <v>2859</v>
      </c>
      <c r="BU2163" s="243" t="s">
        <v>2339</v>
      </c>
      <c r="BV2163" s="243" t="s">
        <v>2339</v>
      </c>
      <c r="BW2163" s="243" t="s">
        <v>2253</v>
      </c>
      <c r="BX2163" s="243" t="s">
        <v>2427</v>
      </c>
      <c r="BY2163" s="243" t="s">
        <v>2427</v>
      </c>
    </row>
    <row r="2164" spans="1:93">
      <c r="A2164" s="239"/>
      <c r="B2164" s="264"/>
      <c r="C2164" s="264"/>
      <c r="D2164" s="264" t="s">
        <v>2855</v>
      </c>
      <c r="E2164" s="316" t="s">
        <v>2856</v>
      </c>
      <c r="F2164" s="239">
        <v>2</v>
      </c>
      <c r="G2164" s="265">
        <v>45958</v>
      </c>
      <c r="H2164" s="264"/>
      <c r="I2164" s="308" t="s">
        <v>2613</v>
      </c>
      <c r="J2164" s="245"/>
      <c r="AW2164" s="243" t="s">
        <v>2613</v>
      </c>
      <c r="BL2164" s="243" t="s">
        <v>2394</v>
      </c>
      <c r="BM2164" s="243" t="s">
        <v>2340</v>
      </c>
      <c r="BN2164" s="243" t="s">
        <v>2340</v>
      </c>
      <c r="BO2164" s="243" t="s">
        <v>2389</v>
      </c>
      <c r="BP2164" s="243" t="s">
        <v>2427</v>
      </c>
      <c r="BQ2164" s="243" t="s">
        <v>2427</v>
      </c>
    </row>
    <row r="2165" spans="1:93">
      <c r="A2165" s="239"/>
      <c r="B2165" s="264"/>
      <c r="C2165" s="264"/>
      <c r="D2165" s="264" t="s">
        <v>2857</v>
      </c>
      <c r="E2165" s="316" t="s">
        <v>2858</v>
      </c>
      <c r="F2165" s="239">
        <v>2</v>
      </c>
      <c r="G2165" s="265">
        <v>45958</v>
      </c>
      <c r="H2165" s="264"/>
      <c r="I2165" s="308" t="s">
        <v>2196</v>
      </c>
      <c r="J2165" s="245"/>
      <c r="BG2165" s="243" t="s">
        <v>2196</v>
      </c>
      <c r="BL2165" s="243" t="s">
        <v>2394</v>
      </c>
      <c r="BM2165" s="243" t="s">
        <v>2340</v>
      </c>
      <c r="BN2165" s="243" t="s">
        <v>2340</v>
      </c>
      <c r="BO2165" s="243" t="s">
        <v>2417</v>
      </c>
      <c r="BP2165" s="243" t="s">
        <v>2417</v>
      </c>
      <c r="BQ2165" s="243" t="s">
        <v>2389</v>
      </c>
      <c r="BR2165" s="243" t="s">
        <v>2427</v>
      </c>
      <c r="BS2165" s="243" t="s">
        <v>2427</v>
      </c>
    </row>
    <row r="2166" spans="1:93">
      <c r="A2166" s="239"/>
      <c r="B2166" s="264"/>
      <c r="C2166" s="264"/>
      <c r="D2166" s="264"/>
      <c r="E2166" s="316"/>
      <c r="F2166" s="239"/>
      <c r="G2166" s="265"/>
      <c r="H2166" s="264"/>
      <c r="I2166" s="308"/>
      <c r="J2166" s="245"/>
    </row>
    <row r="2167" spans="1:93">
      <c r="A2167" s="239"/>
      <c r="B2167" s="264"/>
      <c r="C2167" s="264"/>
      <c r="D2167" s="264" t="s">
        <v>2860</v>
      </c>
      <c r="E2167" s="316" t="s">
        <v>2861</v>
      </c>
      <c r="F2167" s="239">
        <v>2</v>
      </c>
      <c r="G2167" s="265">
        <v>45958</v>
      </c>
      <c r="H2167" s="264" t="s">
        <v>2829</v>
      </c>
      <c r="I2167" s="308" t="s">
        <v>2196</v>
      </c>
      <c r="J2167" s="245"/>
      <c r="BC2167" s="243" t="s">
        <v>2196</v>
      </c>
      <c r="BL2167" s="243" t="s">
        <v>2394</v>
      </c>
      <c r="BM2167" s="243" t="s">
        <v>2488</v>
      </c>
      <c r="BN2167" s="243" t="s">
        <v>2488</v>
      </c>
      <c r="BO2167" s="243" t="s">
        <v>2488</v>
      </c>
      <c r="BP2167" s="243" t="s">
        <v>2488</v>
      </c>
      <c r="BQ2167" s="243" t="s">
        <v>2488</v>
      </c>
      <c r="BR2167" s="243" t="s">
        <v>2488</v>
      </c>
      <c r="BS2167" s="243" t="s">
        <v>2488</v>
      </c>
      <c r="BT2167" s="243" t="s">
        <v>2862</v>
      </c>
      <c r="BU2167" s="243" t="s">
        <v>2340</v>
      </c>
      <c r="BV2167" s="243" t="s">
        <v>2340</v>
      </c>
      <c r="BW2167" s="243" t="s">
        <v>2389</v>
      </c>
      <c r="BX2167" s="243" t="s">
        <v>2427</v>
      </c>
      <c r="BY2167" s="243" t="s">
        <v>2427</v>
      </c>
    </row>
    <row r="2168" spans="1:93">
      <c r="A2168" s="239"/>
      <c r="B2168" s="264"/>
      <c r="C2168" s="264"/>
      <c r="D2168" s="264" t="s">
        <v>2863</v>
      </c>
      <c r="E2168" s="316" t="s">
        <v>2864</v>
      </c>
      <c r="F2168" s="239">
        <v>4</v>
      </c>
      <c r="G2168" s="265">
        <v>45958</v>
      </c>
      <c r="H2168" s="264" t="s">
        <v>2829</v>
      </c>
      <c r="I2168" s="308" t="s">
        <v>2613</v>
      </c>
      <c r="J2168" s="245"/>
      <c r="AV2168" s="243" t="s">
        <v>2613</v>
      </c>
      <c r="BL2168" s="243" t="s">
        <v>2394</v>
      </c>
      <c r="BM2168" s="243" t="s">
        <v>2488</v>
      </c>
      <c r="BN2168" s="243" t="s">
        <v>2488</v>
      </c>
      <c r="BO2168" s="243" t="s">
        <v>2488</v>
      </c>
      <c r="BP2168" s="243" t="s">
        <v>2488</v>
      </c>
      <c r="BQ2168" s="243" t="s">
        <v>2488</v>
      </c>
      <c r="BR2168" s="243" t="s">
        <v>2488</v>
      </c>
      <c r="BS2168" s="243" t="s">
        <v>2488</v>
      </c>
      <c r="BT2168" s="243" t="s">
        <v>2862</v>
      </c>
      <c r="BU2168" s="243" t="s">
        <v>2340</v>
      </c>
      <c r="BV2168" s="243" t="s">
        <v>2340</v>
      </c>
      <c r="BW2168" s="243" t="s">
        <v>2331</v>
      </c>
      <c r="BX2168" s="243" t="s">
        <v>2331</v>
      </c>
      <c r="BY2168" s="243" t="s">
        <v>2389</v>
      </c>
      <c r="BZ2168" s="243" t="s">
        <v>2427</v>
      </c>
      <c r="CA2168" s="243" t="s">
        <v>2427</v>
      </c>
    </row>
    <row r="2169" spans="1:93">
      <c r="A2169" s="239"/>
      <c r="B2169" s="264"/>
      <c r="C2169" s="264"/>
      <c r="D2169" s="264" t="s">
        <v>2865</v>
      </c>
      <c r="E2169" s="316" t="s">
        <v>2866</v>
      </c>
      <c r="F2169" s="239">
        <v>4</v>
      </c>
      <c r="G2169" s="265">
        <v>45958</v>
      </c>
      <c r="H2169" s="264"/>
      <c r="I2169" s="308" t="s">
        <v>2196</v>
      </c>
      <c r="J2169" s="245"/>
      <c r="AW2169" s="243" t="s">
        <v>2196</v>
      </c>
      <c r="BL2169" s="243" t="s">
        <v>2394</v>
      </c>
      <c r="BM2169" s="243" t="s">
        <v>2340</v>
      </c>
      <c r="BN2169" s="243" t="s">
        <v>2340</v>
      </c>
      <c r="BO2169" s="243" t="s">
        <v>2389</v>
      </c>
      <c r="BP2169" s="243" t="s">
        <v>2427</v>
      </c>
      <c r="BQ2169" s="243" t="s">
        <v>2427</v>
      </c>
    </row>
    <row r="2170" spans="1:93">
      <c r="A2170" s="239"/>
      <c r="B2170" s="264"/>
      <c r="C2170" s="264"/>
      <c r="D2170" s="264" t="s">
        <v>2867</v>
      </c>
      <c r="E2170" s="316" t="s">
        <v>2868</v>
      </c>
      <c r="F2170" s="239">
        <v>2</v>
      </c>
      <c r="G2170" s="265">
        <v>45958</v>
      </c>
      <c r="H2170" s="264"/>
      <c r="I2170" s="308" t="s">
        <v>2196</v>
      </c>
      <c r="J2170" s="245"/>
      <c r="AW2170" s="243" t="s">
        <v>2196</v>
      </c>
      <c r="BL2170" s="243" t="s">
        <v>2394</v>
      </c>
      <c r="BM2170" s="243" t="s">
        <v>2340</v>
      </c>
      <c r="BN2170" s="243" t="s">
        <v>2340</v>
      </c>
      <c r="BO2170" s="243" t="s">
        <v>2417</v>
      </c>
      <c r="BP2170" s="243" t="s">
        <v>2417</v>
      </c>
      <c r="BQ2170" s="243" t="s">
        <v>2182</v>
      </c>
      <c r="BR2170" s="243" t="s">
        <v>2182</v>
      </c>
      <c r="BS2170" s="243" t="s">
        <v>2389</v>
      </c>
      <c r="BT2170" s="243" t="s">
        <v>2437</v>
      </c>
      <c r="BU2170" s="243" t="s">
        <v>2437</v>
      </c>
      <c r="BV2170" s="243" t="s">
        <v>2427</v>
      </c>
      <c r="BW2170" s="243" t="s">
        <v>2427</v>
      </c>
    </row>
    <row r="2171" spans="1:93" ht="90">
      <c r="A2171" s="239"/>
      <c r="B2171" s="264"/>
      <c r="C2171" s="264"/>
      <c r="D2171" s="264" t="s">
        <v>2869</v>
      </c>
      <c r="E2171" s="316" t="s">
        <v>2870</v>
      </c>
      <c r="F2171" s="239">
        <v>2</v>
      </c>
      <c r="G2171" s="265">
        <v>45958</v>
      </c>
      <c r="H2171" s="264" t="s">
        <v>2819</v>
      </c>
      <c r="I2171" s="308" t="s">
        <v>2613</v>
      </c>
      <c r="J2171" s="245"/>
      <c r="AW2171" s="243" t="s">
        <v>2613</v>
      </c>
      <c r="BL2171" s="246" t="s">
        <v>2871</v>
      </c>
      <c r="BM2171" s="246" t="s">
        <v>2871</v>
      </c>
      <c r="BN2171" s="243" t="s">
        <v>2340</v>
      </c>
      <c r="BO2171" s="243" t="s">
        <v>2340</v>
      </c>
      <c r="BP2171" s="243" t="s">
        <v>2389</v>
      </c>
      <c r="BQ2171" s="243" t="s">
        <v>2225</v>
      </c>
      <c r="BR2171" s="243" t="s">
        <v>2225</v>
      </c>
      <c r="BS2171" s="243" t="s">
        <v>2205</v>
      </c>
      <c r="BT2171" s="243" t="s">
        <v>2558</v>
      </c>
      <c r="BU2171" s="243" t="s">
        <v>2558</v>
      </c>
      <c r="BV2171" s="243" t="s">
        <v>2389</v>
      </c>
      <c r="BW2171" s="243" t="s">
        <v>2225</v>
      </c>
      <c r="BX2171" s="243" t="s">
        <v>2225</v>
      </c>
      <c r="BY2171" s="243" t="s">
        <v>2417</v>
      </c>
      <c r="BZ2171" s="243" t="s">
        <v>2417</v>
      </c>
      <c r="CA2171" s="243" t="s">
        <v>2417</v>
      </c>
      <c r="CB2171" s="243" t="s">
        <v>2417</v>
      </c>
      <c r="CC2171" s="243" t="s">
        <v>2389</v>
      </c>
      <c r="CD2171" s="243" t="s">
        <v>2225</v>
      </c>
      <c r="CE2171" s="243" t="s">
        <v>2225</v>
      </c>
      <c r="CF2171" s="243" t="s">
        <v>2412</v>
      </c>
      <c r="CG2171" s="243" t="s">
        <v>2412</v>
      </c>
      <c r="CH2171" s="243" t="s">
        <v>2412</v>
      </c>
      <c r="CI2171" s="243" t="s">
        <v>2412</v>
      </c>
      <c r="CJ2171" s="243" t="s">
        <v>2412</v>
      </c>
      <c r="CK2171" s="243" t="s">
        <v>2412</v>
      </c>
      <c r="CL2171" s="243" t="s">
        <v>2412</v>
      </c>
      <c r="CM2171" s="243" t="s">
        <v>2196</v>
      </c>
      <c r="CN2171" s="243" t="s">
        <v>2427</v>
      </c>
      <c r="CO2171" s="243" t="s">
        <v>2427</v>
      </c>
    </row>
    <row r="2172" spans="1:93">
      <c r="A2172" s="239"/>
      <c r="B2172" s="264"/>
      <c r="C2172" s="264"/>
      <c r="D2172" s="264" t="s">
        <v>2872</v>
      </c>
      <c r="E2172" s="316" t="s">
        <v>2873</v>
      </c>
      <c r="F2172" s="239">
        <v>2</v>
      </c>
      <c r="G2172" s="265">
        <v>45958</v>
      </c>
      <c r="H2172" s="264"/>
      <c r="I2172" s="308" t="s">
        <v>2613</v>
      </c>
      <c r="J2172" s="245"/>
      <c r="AW2172" s="243" t="s">
        <v>2613</v>
      </c>
      <c r="BL2172" s="243" t="s">
        <v>2394</v>
      </c>
      <c r="BM2172" s="243" t="s">
        <v>2340</v>
      </c>
      <c r="BN2172" s="243" t="s">
        <v>2340</v>
      </c>
      <c r="BO2172" s="243" t="s">
        <v>2417</v>
      </c>
      <c r="BP2172" s="243" t="s">
        <v>2417</v>
      </c>
      <c r="BQ2172" s="243" t="s">
        <v>2331</v>
      </c>
      <c r="BR2172" s="243" t="s">
        <v>2331</v>
      </c>
      <c r="BS2172" s="243" t="s">
        <v>2182</v>
      </c>
      <c r="BT2172" s="243" t="s">
        <v>2182</v>
      </c>
      <c r="BU2172" s="243" t="s">
        <v>2389</v>
      </c>
      <c r="BV2172" s="243" t="s">
        <v>2427</v>
      </c>
      <c r="BW2172" s="243" t="s">
        <v>2427</v>
      </c>
    </row>
    <row r="2173" spans="1:93">
      <c r="A2173" s="239"/>
      <c r="B2173" s="264"/>
      <c r="C2173" s="264"/>
      <c r="D2173" s="264" t="s">
        <v>2874</v>
      </c>
      <c r="E2173" s="316" t="s">
        <v>2875</v>
      </c>
      <c r="F2173" s="239">
        <v>2</v>
      </c>
      <c r="G2173" s="265">
        <v>45958</v>
      </c>
      <c r="H2173" s="264"/>
      <c r="I2173" s="308" t="s">
        <v>2196</v>
      </c>
      <c r="J2173" s="245"/>
      <c r="AW2173" s="243" t="s">
        <v>2196</v>
      </c>
      <c r="BL2173" s="243" t="s">
        <v>2417</v>
      </c>
      <c r="BM2173" s="243" t="s">
        <v>2417</v>
      </c>
      <c r="BN2173" s="243" t="s">
        <v>2417</v>
      </c>
      <c r="BO2173" s="243" t="s">
        <v>2417</v>
      </c>
      <c r="BP2173" s="243" t="s">
        <v>2389</v>
      </c>
      <c r="BQ2173" s="243" t="s">
        <v>2389</v>
      </c>
      <c r="BR2173" s="243" t="s">
        <v>2427</v>
      </c>
      <c r="BS2173" s="243" t="s">
        <v>2427</v>
      </c>
    </row>
    <row r="2174" spans="1:93">
      <c r="A2174" s="239"/>
      <c r="B2174" s="264"/>
      <c r="C2174" s="264"/>
      <c r="D2174" s="264"/>
      <c r="E2174" s="316"/>
      <c r="F2174" s="239"/>
      <c r="G2174" s="265"/>
      <c r="H2174" s="264"/>
      <c r="I2174" s="308"/>
      <c r="J2174" s="245"/>
    </row>
    <row r="2175" spans="1:93">
      <c r="A2175" s="239">
        <v>72600</v>
      </c>
      <c r="B2175" s="264"/>
      <c r="C2175" s="264" t="s">
        <v>2480</v>
      </c>
      <c r="D2175" s="264" t="s">
        <v>2483</v>
      </c>
      <c r="E2175" s="316" t="s">
        <v>2484</v>
      </c>
      <c r="F2175" s="239">
        <v>1</v>
      </c>
      <c r="G2175" s="265">
        <v>45891</v>
      </c>
      <c r="H2175" s="264"/>
      <c r="I2175" s="308" t="s">
        <v>2199</v>
      </c>
      <c r="J2175" s="245"/>
      <c r="AN2175" s="243" t="s">
        <v>2199</v>
      </c>
      <c r="AQ2175" s="243" t="s">
        <v>2187</v>
      </c>
      <c r="AR2175" s="243" t="s">
        <v>2187</v>
      </c>
      <c r="AS2175" s="243" t="s">
        <v>2394</v>
      </c>
      <c r="AT2175" s="243" t="s">
        <v>2394</v>
      </c>
      <c r="AU2175" s="243" t="s">
        <v>2331</v>
      </c>
      <c r="AV2175" s="243" t="s">
        <v>2331</v>
      </c>
      <c r="AW2175" s="243" t="s">
        <v>2417</v>
      </c>
      <c r="AX2175" s="243" t="s">
        <v>2417</v>
      </c>
      <c r="AY2175" s="243" t="s">
        <v>2389</v>
      </c>
      <c r="AZ2175" s="243" t="s">
        <v>2225</v>
      </c>
      <c r="BA2175" s="243" t="s">
        <v>2225</v>
      </c>
      <c r="BB2175" s="243" t="s">
        <v>2426</v>
      </c>
      <c r="BC2175" s="243" t="s">
        <v>2426</v>
      </c>
      <c r="BD2175" s="243" t="s">
        <v>2208</v>
      </c>
    </row>
    <row r="2176" spans="1:93">
      <c r="A2176" s="239">
        <v>72600</v>
      </c>
      <c r="B2176" s="264"/>
      <c r="C2176" s="264" t="s">
        <v>2480</v>
      </c>
      <c r="D2176" s="264" t="s">
        <v>2485</v>
      </c>
      <c r="E2176" s="316" t="s">
        <v>2486</v>
      </c>
      <c r="F2176" s="239">
        <v>1</v>
      </c>
      <c r="G2176" s="265">
        <v>45891</v>
      </c>
      <c r="H2176" s="264"/>
      <c r="I2176" s="308" t="s">
        <v>2428</v>
      </c>
      <c r="J2176" s="245"/>
      <c r="AN2176" s="243" t="s">
        <v>2199</v>
      </c>
      <c r="AO2176" s="243" t="s">
        <v>2428</v>
      </c>
      <c r="AQ2176" s="243" t="s">
        <v>2187</v>
      </c>
      <c r="AR2176" s="243" t="s">
        <v>2187</v>
      </c>
      <c r="AS2176" s="243" t="s">
        <v>2394</v>
      </c>
      <c r="AT2176" s="243" t="s">
        <v>2394</v>
      </c>
      <c r="AU2176" s="243" t="s">
        <v>2331</v>
      </c>
      <c r="AV2176" s="243" t="s">
        <v>2331</v>
      </c>
      <c r="AW2176" s="243" t="s">
        <v>2417</v>
      </c>
      <c r="AX2176" s="243" t="s">
        <v>2417</v>
      </c>
      <c r="AY2176" s="243" t="s">
        <v>2389</v>
      </c>
      <c r="AZ2176" s="243" t="s">
        <v>2225</v>
      </c>
      <c r="BA2176" s="243" t="s">
        <v>2225</v>
      </c>
      <c r="BB2176" s="243" t="s">
        <v>2426</v>
      </c>
      <c r="BC2176" s="243" t="s">
        <v>2426</v>
      </c>
      <c r="BD2176" s="243" t="s">
        <v>2208</v>
      </c>
    </row>
    <row r="2177" spans="1:97" ht="120">
      <c r="A2177" s="239">
        <v>72587</v>
      </c>
      <c r="B2177" s="239" t="s">
        <v>2510</v>
      </c>
      <c r="C2177" s="264" t="s">
        <v>164</v>
      </c>
      <c r="D2177" s="264" t="s">
        <v>2511</v>
      </c>
      <c r="E2177" s="316">
        <v>700693434</v>
      </c>
      <c r="F2177" s="239">
        <v>2</v>
      </c>
      <c r="G2177" s="265">
        <v>45884</v>
      </c>
      <c r="H2177" s="283" t="s">
        <v>2687</v>
      </c>
      <c r="I2177" s="246" t="s">
        <v>2515</v>
      </c>
      <c r="J2177" s="245"/>
      <c r="AN2177" s="243" t="s">
        <v>2488</v>
      </c>
      <c r="AO2177" s="243" t="s">
        <v>2488</v>
      </c>
      <c r="AP2177" s="243" t="s">
        <v>2488</v>
      </c>
      <c r="AQ2177" s="243" t="s">
        <v>2488</v>
      </c>
      <c r="AR2177" s="243" t="s">
        <v>2488</v>
      </c>
      <c r="AS2177" s="243" t="s">
        <v>2488</v>
      </c>
      <c r="AT2177" s="243" t="s">
        <v>2488</v>
      </c>
      <c r="AU2177" s="243" t="s">
        <v>2196</v>
      </c>
      <c r="AV2177" s="243" t="s">
        <v>2512</v>
      </c>
      <c r="AW2177" s="243" t="s">
        <v>2512</v>
      </c>
      <c r="AX2177" s="243" t="s">
        <v>2513</v>
      </c>
      <c r="AY2177" s="246" t="s">
        <v>2515</v>
      </c>
      <c r="AZ2177" s="246" t="s">
        <v>2515</v>
      </c>
      <c r="BA2177" s="246" t="s">
        <v>2515</v>
      </c>
      <c r="BB2177" s="246" t="s">
        <v>2515</v>
      </c>
      <c r="BC2177" s="246" t="s">
        <v>2515</v>
      </c>
      <c r="BD2177" s="246" t="s">
        <v>2515</v>
      </c>
      <c r="BE2177" s="246" t="s">
        <v>2515</v>
      </c>
      <c r="BF2177" s="243" t="s">
        <v>2196</v>
      </c>
      <c r="BG2177" s="243" t="s">
        <v>2225</v>
      </c>
      <c r="BH2177" s="243" t="s">
        <v>2225</v>
      </c>
      <c r="BI2177" s="243" t="s">
        <v>2426</v>
      </c>
      <c r="BJ2177" s="243" t="s">
        <v>2426</v>
      </c>
      <c r="BK2177" s="243" t="s">
        <v>2208</v>
      </c>
      <c r="BL2177" s="246"/>
      <c r="BM2177" s="246"/>
      <c r="BN2177" s="246"/>
      <c r="BO2177" s="246"/>
      <c r="BP2177" s="246"/>
      <c r="BQ2177" s="246"/>
      <c r="BR2177" s="246"/>
    </row>
    <row r="2178" spans="1:97">
      <c r="A2178" s="239">
        <v>72607</v>
      </c>
      <c r="B2178" s="280" t="s">
        <v>2565</v>
      </c>
      <c r="C2178" s="281" t="s">
        <v>20</v>
      </c>
      <c r="D2178" s="281" t="s">
        <v>2570</v>
      </c>
      <c r="E2178" s="318" t="s">
        <v>2568</v>
      </c>
      <c r="F2178" s="280">
        <v>2</v>
      </c>
      <c r="G2178" s="282">
        <v>45905</v>
      </c>
      <c r="H2178" s="281"/>
      <c r="I2178" s="308" t="s">
        <v>2571</v>
      </c>
      <c r="J2178" s="245"/>
    </row>
    <row r="2179" spans="1:97">
      <c r="A2179" s="239"/>
      <c r="B2179" s="239"/>
      <c r="C2179" s="264"/>
      <c r="D2179" s="264" t="s">
        <v>2566</v>
      </c>
      <c r="E2179" s="316" t="s">
        <v>2574</v>
      </c>
      <c r="F2179" s="239">
        <v>2</v>
      </c>
      <c r="G2179" s="265"/>
      <c r="H2179" s="264"/>
      <c r="I2179" s="308" t="s">
        <v>2558</v>
      </c>
      <c r="J2179" s="245"/>
      <c r="AO2179" s="243" t="s">
        <v>2567</v>
      </c>
      <c r="AV2179" s="243" t="s">
        <v>2196</v>
      </c>
      <c r="BG2179" s="243" t="s">
        <v>2558</v>
      </c>
      <c r="BH2179" s="243" t="s">
        <v>2389</v>
      </c>
      <c r="BI2179" s="243" t="s">
        <v>2427</v>
      </c>
      <c r="BJ2179" s="243" t="s">
        <v>2427</v>
      </c>
      <c r="BK2179" s="243" t="s">
        <v>2664</v>
      </c>
      <c r="BL2179" s="243" t="s">
        <v>2664</v>
      </c>
      <c r="BM2179" s="243" t="s">
        <v>2664</v>
      </c>
      <c r="BN2179" s="243" t="s">
        <v>2664</v>
      </c>
      <c r="BO2179" s="243" t="s">
        <v>2664</v>
      </c>
      <c r="BP2179" s="243" t="s">
        <v>2664</v>
      </c>
      <c r="BQ2179" s="243" t="s">
        <v>2664</v>
      </c>
    </row>
    <row r="2180" spans="1:97">
      <c r="A2180" s="239"/>
      <c r="B2180" s="261"/>
      <c r="C2180" s="262"/>
      <c r="D2180" s="262" t="s">
        <v>2572</v>
      </c>
      <c r="E2180" s="320" t="s">
        <v>2573</v>
      </c>
      <c r="F2180" s="261">
        <v>2</v>
      </c>
      <c r="G2180" s="263"/>
      <c r="H2180" s="262"/>
      <c r="I2180" s="308" t="s">
        <v>2151</v>
      </c>
      <c r="J2180" s="245"/>
      <c r="AQ2180" s="243" t="s">
        <v>2394</v>
      </c>
      <c r="AR2180" s="243" t="s">
        <v>2340</v>
      </c>
      <c r="BF2180" s="243" t="s">
        <v>2427</v>
      </c>
    </row>
    <row r="2181" spans="1:97">
      <c r="A2181" s="239"/>
      <c r="B2181" s="239"/>
      <c r="C2181" s="264"/>
      <c r="D2181" s="264" t="s">
        <v>2635</v>
      </c>
      <c r="E2181" s="316" t="s">
        <v>2636</v>
      </c>
      <c r="F2181" s="239">
        <v>2</v>
      </c>
      <c r="G2181" s="265"/>
      <c r="H2181" s="264"/>
      <c r="I2181" s="308" t="s">
        <v>2340</v>
      </c>
      <c r="J2181" s="245"/>
      <c r="AR2181" s="243" t="s">
        <v>2394</v>
      </c>
      <c r="AT2181" s="243" t="s">
        <v>2340</v>
      </c>
      <c r="AU2181" s="243" t="s">
        <v>2340</v>
      </c>
      <c r="AV2181" s="243" t="s">
        <v>2417</v>
      </c>
      <c r="AW2181" s="243" t="s">
        <v>2417</v>
      </c>
      <c r="AX2181" s="243" t="s">
        <v>2389</v>
      </c>
      <c r="AY2181" s="243" t="s">
        <v>2427</v>
      </c>
      <c r="AZ2181" s="243" t="s">
        <v>2427</v>
      </c>
    </row>
    <row r="2182" spans="1:97">
      <c r="A2182" s="239"/>
      <c r="B2182" s="239"/>
      <c r="C2182" s="264"/>
      <c r="D2182" s="264" t="s">
        <v>2589</v>
      </c>
      <c r="E2182" s="316" t="s">
        <v>2588</v>
      </c>
      <c r="F2182" s="239">
        <v>2</v>
      </c>
      <c r="G2182" s="265"/>
      <c r="H2182" s="264"/>
      <c r="I2182" s="308" t="s">
        <v>2340</v>
      </c>
      <c r="J2182" s="245"/>
      <c r="AQ2182" s="243" t="s">
        <v>2394</v>
      </c>
      <c r="AR2182" s="243" t="s">
        <v>2340</v>
      </c>
    </row>
    <row r="2183" spans="1:97">
      <c r="A2183" s="239"/>
      <c r="B2183" s="239"/>
      <c r="C2183" s="264"/>
      <c r="D2183" s="264" t="s">
        <v>2260</v>
      </c>
      <c r="E2183" s="316" t="s">
        <v>2590</v>
      </c>
      <c r="F2183" s="239">
        <v>2</v>
      </c>
      <c r="G2183" s="265"/>
      <c r="H2183" s="264"/>
      <c r="I2183" s="308" t="s">
        <v>2340</v>
      </c>
      <c r="J2183" s="245"/>
      <c r="AQ2183" s="243" t="s">
        <v>2394</v>
      </c>
      <c r="AR2183" s="243" t="s">
        <v>2340</v>
      </c>
      <c r="BI2183" s="243" t="s">
        <v>2389</v>
      </c>
      <c r="BJ2183" s="243" t="s">
        <v>2427</v>
      </c>
      <c r="BK2183" s="243" t="s">
        <v>2427</v>
      </c>
    </row>
    <row r="2184" spans="1:97">
      <c r="A2184" s="239"/>
      <c r="B2184" s="239"/>
      <c r="C2184" s="264"/>
      <c r="D2184" s="264" t="s">
        <v>2633</v>
      </c>
      <c r="E2184" s="316" t="s">
        <v>2634</v>
      </c>
      <c r="F2184" s="239">
        <v>2</v>
      </c>
      <c r="G2184" s="265"/>
      <c r="H2184" s="264"/>
      <c r="I2184" s="308" t="s">
        <v>2394</v>
      </c>
      <c r="J2184" s="245"/>
      <c r="AR2184" s="243" t="s">
        <v>2394</v>
      </c>
    </row>
    <row r="2185" spans="1:97" ht="150">
      <c r="A2185" s="239">
        <v>72610</v>
      </c>
      <c r="B2185" s="239" t="s">
        <v>2607</v>
      </c>
      <c r="C2185" s="264" t="s">
        <v>2222</v>
      </c>
      <c r="D2185" s="264" t="s">
        <v>2605</v>
      </c>
      <c r="E2185" s="316" t="s">
        <v>2606</v>
      </c>
      <c r="F2185" s="239">
        <v>1</v>
      </c>
      <c r="G2185" s="265">
        <v>45915</v>
      </c>
      <c r="H2185" s="283" t="s">
        <v>3094</v>
      </c>
      <c r="I2185" s="308" t="s">
        <v>3095</v>
      </c>
      <c r="J2185" s="245"/>
      <c r="AS2185" s="243" t="s">
        <v>2196</v>
      </c>
      <c r="AT2185" s="243" t="s">
        <v>2394</v>
      </c>
      <c r="AU2185" s="243" t="s">
        <v>2394</v>
      </c>
      <c r="AV2185" s="243" t="s">
        <v>2340</v>
      </c>
      <c r="AW2185" s="243" t="s">
        <v>2340</v>
      </c>
      <c r="AX2185" s="243" t="s">
        <v>2331</v>
      </c>
      <c r="AY2185" s="243" t="s">
        <v>2331</v>
      </c>
      <c r="AZ2185" s="243" t="s">
        <v>2389</v>
      </c>
      <c r="BA2185" s="243" t="s">
        <v>2225</v>
      </c>
      <c r="BB2185" s="243" t="s">
        <v>2225</v>
      </c>
      <c r="BC2185" s="246" t="s">
        <v>2608</v>
      </c>
      <c r="BD2185" s="246" t="s">
        <v>2608</v>
      </c>
      <c r="BE2185" s="246" t="s">
        <v>2608</v>
      </c>
      <c r="BF2185" s="246" t="s">
        <v>2608</v>
      </c>
      <c r="BG2185" s="246" t="s">
        <v>2608</v>
      </c>
      <c r="BH2185" s="246" t="s">
        <v>2608</v>
      </c>
      <c r="BI2185" s="246" t="s">
        <v>2608</v>
      </c>
      <c r="BJ2185" s="243" t="s">
        <v>2609</v>
      </c>
      <c r="BK2185" s="243" t="s">
        <v>2339</v>
      </c>
      <c r="BL2185" s="243" t="s">
        <v>2339</v>
      </c>
      <c r="BM2185" s="243" t="s">
        <v>2253</v>
      </c>
      <c r="BN2185" s="243" t="s">
        <v>2437</v>
      </c>
      <c r="BO2185" s="243" t="s">
        <v>2437</v>
      </c>
      <c r="BP2185" s="243" t="s">
        <v>2225</v>
      </c>
      <c r="BQ2185" s="243" t="s">
        <v>2225</v>
      </c>
      <c r="BR2185" s="243" t="s">
        <v>2426</v>
      </c>
      <c r="BS2185" s="243" t="s">
        <v>2426</v>
      </c>
      <c r="BT2185" s="243" t="s">
        <v>2208</v>
      </c>
    </row>
    <row r="2186" spans="1:97" ht="150">
      <c r="A2186" s="239">
        <v>72611</v>
      </c>
      <c r="B2186" s="239" t="s">
        <v>2610</v>
      </c>
      <c r="C2186" s="264" t="s">
        <v>2222</v>
      </c>
      <c r="D2186" s="264" t="s">
        <v>2611</v>
      </c>
      <c r="E2186" s="316" t="s">
        <v>2612</v>
      </c>
      <c r="F2186" s="239">
        <v>1</v>
      </c>
      <c r="G2186" s="265">
        <v>45925</v>
      </c>
      <c r="H2186" s="283" t="s">
        <v>2702</v>
      </c>
      <c r="I2186" s="308" t="s">
        <v>2196</v>
      </c>
      <c r="J2186" s="245"/>
      <c r="AS2186" s="243" t="s">
        <v>2199</v>
      </c>
      <c r="AT2186" s="243" t="s">
        <v>2185</v>
      </c>
      <c r="AU2186" s="243" t="s">
        <v>2613</v>
      </c>
      <c r="AV2186" s="243" t="s">
        <v>2366</v>
      </c>
      <c r="AW2186" s="243" t="s">
        <v>2366</v>
      </c>
      <c r="AX2186" s="243" t="s">
        <v>2331</v>
      </c>
      <c r="AY2186" s="243" t="s">
        <v>2331</v>
      </c>
      <c r="AZ2186" s="243" t="s">
        <v>2389</v>
      </c>
      <c r="BA2186" s="243" t="s">
        <v>2225</v>
      </c>
      <c r="BB2186" s="243" t="s">
        <v>2225</v>
      </c>
      <c r="BC2186" s="246" t="s">
        <v>2608</v>
      </c>
      <c r="BD2186" s="246" t="s">
        <v>2608</v>
      </c>
      <c r="BE2186" s="246" t="s">
        <v>2608</v>
      </c>
      <c r="BF2186" s="246" t="s">
        <v>2608</v>
      </c>
      <c r="BG2186" s="246" t="s">
        <v>2608</v>
      </c>
      <c r="BH2186" s="246" t="s">
        <v>2608</v>
      </c>
      <c r="BI2186" s="246" t="s">
        <v>2608</v>
      </c>
      <c r="BJ2186" s="243" t="s">
        <v>2196</v>
      </c>
      <c r="BK2186" s="243" t="s">
        <v>2437</v>
      </c>
      <c r="BL2186" s="243" t="s">
        <v>2437</v>
      </c>
      <c r="BM2186" s="243" t="s">
        <v>2225</v>
      </c>
      <c r="BN2186" s="243" t="s">
        <v>2225</v>
      </c>
      <c r="BR2186" s="243" t="s">
        <v>2426</v>
      </c>
      <c r="BS2186" s="243" t="s">
        <v>2426</v>
      </c>
      <c r="BY2186" s="243" t="s">
        <v>3093</v>
      </c>
      <c r="BZ2186" s="243" t="s">
        <v>3093</v>
      </c>
      <c r="CA2186" s="243" t="s">
        <v>2196</v>
      </c>
      <c r="CB2186" s="243" t="s">
        <v>2427</v>
      </c>
      <c r="CC2186" s="246" t="s">
        <v>3140</v>
      </c>
    </row>
    <row r="2187" spans="1:97" ht="163.5">
      <c r="A2187" s="239">
        <v>72612</v>
      </c>
      <c r="B2187" s="239" t="s">
        <v>2614</v>
      </c>
      <c r="C2187" s="264" t="s">
        <v>2222</v>
      </c>
      <c r="D2187" s="264" t="s">
        <v>2615</v>
      </c>
      <c r="E2187" s="316" t="s">
        <v>2616</v>
      </c>
      <c r="F2187" s="239">
        <v>1</v>
      </c>
      <c r="G2187" s="265">
        <v>45915</v>
      </c>
      <c r="H2187" s="283" t="s">
        <v>2700</v>
      </c>
      <c r="I2187" s="313" t="s">
        <v>2515</v>
      </c>
      <c r="J2187" s="245"/>
      <c r="AT2187" s="243" t="s">
        <v>2185</v>
      </c>
      <c r="AU2187" s="243" t="s">
        <v>2185</v>
      </c>
      <c r="AV2187" s="243" t="s">
        <v>2613</v>
      </c>
      <c r="AW2187" s="243" t="s">
        <v>2394</v>
      </c>
      <c r="AX2187" s="243" t="s">
        <v>2394</v>
      </c>
      <c r="AY2187" s="243" t="s">
        <v>2340</v>
      </c>
      <c r="AZ2187" s="243" t="s">
        <v>2340</v>
      </c>
      <c r="BA2187" s="243" t="s">
        <v>2417</v>
      </c>
      <c r="BB2187" s="243" t="s">
        <v>2417</v>
      </c>
      <c r="BC2187" s="243" t="s">
        <v>2389</v>
      </c>
      <c r="BD2187" s="243" t="s">
        <v>2225</v>
      </c>
      <c r="BE2187" s="243" t="s">
        <v>2225</v>
      </c>
      <c r="BF2187" s="246" t="s">
        <v>2617</v>
      </c>
      <c r="BG2187" s="246" t="s">
        <v>2617</v>
      </c>
      <c r="BH2187" s="246" t="s">
        <v>2617</v>
      </c>
      <c r="BI2187" s="246" t="s">
        <v>2617</v>
      </c>
      <c r="BJ2187" s="246" t="s">
        <v>2617</v>
      </c>
      <c r="BK2187" s="246" t="s">
        <v>2617</v>
      </c>
      <c r="BL2187" s="246" t="s">
        <v>2617</v>
      </c>
      <c r="BM2187" s="243" t="s">
        <v>2196</v>
      </c>
      <c r="BN2187" s="243" t="s">
        <v>2437</v>
      </c>
      <c r="BO2187" s="243" t="s">
        <v>2437</v>
      </c>
      <c r="BP2187" s="243" t="s">
        <v>2225</v>
      </c>
      <c r="BQ2187" s="243" t="s">
        <v>2225</v>
      </c>
      <c r="BR2187" s="243" t="s">
        <v>2426</v>
      </c>
      <c r="BS2187" s="243" t="s">
        <v>2426</v>
      </c>
      <c r="BY2187" s="243" t="s">
        <v>3093</v>
      </c>
      <c r="BZ2187" s="246" t="s">
        <v>2515</v>
      </c>
      <c r="CA2187" s="246" t="s">
        <v>2515</v>
      </c>
      <c r="CB2187" s="246" t="s">
        <v>2515</v>
      </c>
      <c r="CC2187" s="246" t="s">
        <v>2515</v>
      </c>
      <c r="CD2187" s="246" t="s">
        <v>2515</v>
      </c>
      <c r="CE2187" s="243" t="s">
        <v>2427</v>
      </c>
      <c r="CF2187" s="243" t="s">
        <v>2427</v>
      </c>
      <c r="CG2187" s="243" t="s">
        <v>2426</v>
      </c>
      <c r="CH2187" s="243" t="s">
        <v>2208</v>
      </c>
    </row>
    <row r="2188" spans="1:97" ht="163.5">
      <c r="A2188" s="239">
        <v>72613</v>
      </c>
      <c r="B2188" s="239" t="s">
        <v>2618</v>
      </c>
      <c r="C2188" s="264" t="s">
        <v>2222</v>
      </c>
      <c r="D2188" s="264" t="s">
        <v>2619</v>
      </c>
      <c r="E2188" s="316" t="s">
        <v>2620</v>
      </c>
      <c r="F2188" s="239">
        <v>1</v>
      </c>
      <c r="G2188" s="265">
        <v>45915</v>
      </c>
      <c r="H2188" s="283" t="s">
        <v>3096</v>
      </c>
      <c r="I2188" s="308" t="s">
        <v>3095</v>
      </c>
      <c r="J2188" s="245"/>
      <c r="AS2188" s="243" t="s">
        <v>2196</v>
      </c>
      <c r="AT2188" s="243" t="s">
        <v>2394</v>
      </c>
      <c r="AU2188" s="243" t="s">
        <v>2394</v>
      </c>
      <c r="AV2188" s="243" t="s">
        <v>2340</v>
      </c>
      <c r="AW2188" s="243" t="s">
        <v>2340</v>
      </c>
      <c r="AX2188" s="243" t="s">
        <v>2331</v>
      </c>
      <c r="AY2188" s="243" t="s">
        <v>2331</v>
      </c>
      <c r="AZ2188" s="243" t="s">
        <v>2389</v>
      </c>
      <c r="BA2188" s="243" t="s">
        <v>2225</v>
      </c>
      <c r="BB2188" s="243" t="s">
        <v>2225</v>
      </c>
      <c r="BC2188" s="246" t="s">
        <v>2608</v>
      </c>
      <c r="BD2188" s="246" t="s">
        <v>2608</v>
      </c>
      <c r="BE2188" s="246" t="s">
        <v>2608</v>
      </c>
      <c r="BF2188" s="246" t="s">
        <v>2608</v>
      </c>
      <c r="BG2188" s="246" t="s">
        <v>2608</v>
      </c>
      <c r="BH2188" s="246" t="s">
        <v>2608</v>
      </c>
      <c r="BI2188" s="246" t="s">
        <v>2608</v>
      </c>
      <c r="BJ2188" s="243" t="s">
        <v>2609</v>
      </c>
      <c r="BK2188" s="243" t="s">
        <v>2339</v>
      </c>
      <c r="BL2188" s="243" t="s">
        <v>2339</v>
      </c>
      <c r="BM2188" s="243" t="s">
        <v>2253</v>
      </c>
      <c r="BN2188" s="243" t="s">
        <v>2437</v>
      </c>
      <c r="BO2188" s="243" t="s">
        <v>2437</v>
      </c>
      <c r="BP2188" s="243" t="s">
        <v>2225</v>
      </c>
      <c r="BQ2188" s="243" t="s">
        <v>2225</v>
      </c>
      <c r="BR2188" s="243" t="s">
        <v>2426</v>
      </c>
      <c r="BS2188" s="243" t="s">
        <v>2426</v>
      </c>
      <c r="CD2188" s="243" t="s">
        <v>2196</v>
      </c>
      <c r="CE2188" s="246" t="s">
        <v>3141</v>
      </c>
      <c r="CF2188" s="246" t="s">
        <v>3141</v>
      </c>
      <c r="CG2188" s="246" t="s">
        <v>3142</v>
      </c>
      <c r="CH2188" s="243" t="s">
        <v>2764</v>
      </c>
      <c r="CI2188" s="243" t="s">
        <v>2764</v>
      </c>
      <c r="CJ2188" s="243" t="s">
        <v>2764</v>
      </c>
      <c r="CK2188" s="243" t="s">
        <v>2764</v>
      </c>
      <c r="CL2188" s="243" t="s">
        <v>2764</v>
      </c>
      <c r="CM2188" s="243" t="s">
        <v>2196</v>
      </c>
      <c r="CN2188" s="243" t="s">
        <v>2225</v>
      </c>
      <c r="CO2188" s="243" t="s">
        <v>2339</v>
      </c>
      <c r="CP2188" s="243" t="s">
        <v>2253</v>
      </c>
      <c r="CQ2188" s="246" t="s">
        <v>3143</v>
      </c>
      <c r="CR2188" s="246" t="s">
        <v>3140</v>
      </c>
      <c r="CS2188" s="246" t="s">
        <v>3140</v>
      </c>
    </row>
    <row r="2189" spans="1:97" ht="150">
      <c r="A2189" s="239">
        <v>72614</v>
      </c>
      <c r="B2189" s="239" t="s">
        <v>2621</v>
      </c>
      <c r="C2189" s="264" t="s">
        <v>2222</v>
      </c>
      <c r="D2189" s="264" t="s">
        <v>2605</v>
      </c>
      <c r="E2189" s="316" t="s">
        <v>2622</v>
      </c>
      <c r="F2189" s="239">
        <v>1</v>
      </c>
      <c r="G2189" s="265">
        <v>45915</v>
      </c>
      <c r="H2189" s="283" t="s">
        <v>2699</v>
      </c>
      <c r="I2189" s="308" t="s">
        <v>2196</v>
      </c>
      <c r="J2189" s="245"/>
      <c r="AS2189" s="243" t="s">
        <v>2196</v>
      </c>
      <c r="AT2189" s="243" t="s">
        <v>2366</v>
      </c>
      <c r="AU2189" s="243" t="s">
        <v>2366</v>
      </c>
      <c r="AV2189" s="243" t="s">
        <v>2331</v>
      </c>
      <c r="AW2189" s="243" t="s">
        <v>2331</v>
      </c>
      <c r="AX2189" s="243" t="s">
        <v>2389</v>
      </c>
      <c r="AY2189" s="243" t="s">
        <v>2225</v>
      </c>
      <c r="AZ2189" s="243" t="s">
        <v>2225</v>
      </c>
      <c r="BC2189" s="246" t="s">
        <v>2608</v>
      </c>
      <c r="BD2189" s="246" t="s">
        <v>2608</v>
      </c>
      <c r="BE2189" s="246" t="s">
        <v>2608</v>
      </c>
      <c r="BF2189" s="246" t="s">
        <v>2608</v>
      </c>
      <c r="BG2189" s="246" t="s">
        <v>2608</v>
      </c>
      <c r="BH2189" s="246" t="s">
        <v>2608</v>
      </c>
      <c r="BI2189" s="246" t="s">
        <v>2608</v>
      </c>
      <c r="BJ2189" s="243" t="s">
        <v>2609</v>
      </c>
      <c r="BK2189" s="243" t="s">
        <v>2339</v>
      </c>
      <c r="BL2189" s="243" t="s">
        <v>2339</v>
      </c>
      <c r="BM2189" s="243" t="s">
        <v>2253</v>
      </c>
      <c r="BN2189" s="243" t="s">
        <v>2437</v>
      </c>
      <c r="BO2189" s="243" t="s">
        <v>2437</v>
      </c>
      <c r="BP2189" s="243" t="s">
        <v>2225</v>
      </c>
      <c r="BQ2189" s="243" t="s">
        <v>2225</v>
      </c>
      <c r="BR2189" s="243" t="s">
        <v>2426</v>
      </c>
      <c r="BS2189" s="243" t="s">
        <v>2426</v>
      </c>
      <c r="BY2189" s="243" t="s">
        <v>3093</v>
      </c>
      <c r="BZ2189" s="243" t="s">
        <v>3093</v>
      </c>
      <c r="CA2189" s="243" t="s">
        <v>2196</v>
      </c>
      <c r="CB2189" s="243" t="s">
        <v>2427</v>
      </c>
      <c r="CC2189" s="243" t="s">
        <v>2427</v>
      </c>
      <c r="CD2189" s="243" t="s">
        <v>2426</v>
      </c>
      <c r="CE2189" s="243" t="s">
        <v>2208</v>
      </c>
    </row>
    <row r="2190" spans="1:97" ht="31.5" customHeight="1">
      <c r="A2190" s="239">
        <v>72618</v>
      </c>
      <c r="B2190" s="239" t="s">
        <v>2599</v>
      </c>
      <c r="C2190" s="264" t="s">
        <v>20</v>
      </c>
      <c r="D2190" s="264" t="s">
        <v>2600</v>
      </c>
      <c r="E2190" s="316" t="s">
        <v>2601</v>
      </c>
      <c r="F2190" s="239">
        <v>1</v>
      </c>
      <c r="G2190" s="265">
        <v>45895</v>
      </c>
      <c r="H2190" s="264"/>
      <c r="I2190" s="308" t="s">
        <v>2417</v>
      </c>
      <c r="J2190" s="245"/>
      <c r="AQ2190" s="243" t="s">
        <v>2603</v>
      </c>
      <c r="AX2190" s="243" t="s">
        <v>2196</v>
      </c>
      <c r="AY2190" s="243" t="s">
        <v>2394</v>
      </c>
      <c r="AZ2190" s="243" t="s">
        <v>2394</v>
      </c>
      <c r="BA2190" s="243" t="s">
        <v>2340</v>
      </c>
      <c r="BB2190" s="243" t="s">
        <v>2340</v>
      </c>
      <c r="BC2190" s="243" t="s">
        <v>2417</v>
      </c>
      <c r="BD2190" s="243" t="s">
        <v>2417</v>
      </c>
      <c r="BE2190" s="243" t="s">
        <v>2389</v>
      </c>
      <c r="BF2190" s="243" t="s">
        <v>2427</v>
      </c>
      <c r="BG2190" s="243" t="s">
        <v>2427</v>
      </c>
      <c r="BH2190" s="243" t="s">
        <v>2426</v>
      </c>
      <c r="BI2190" s="243" t="s">
        <v>2426</v>
      </c>
      <c r="BJ2190" s="243" t="s">
        <v>2208</v>
      </c>
    </row>
    <row r="2191" spans="1:97">
      <c r="A2191" s="239">
        <v>72619</v>
      </c>
      <c r="B2191" s="239">
        <v>4520025922</v>
      </c>
      <c r="C2191" s="264" t="s">
        <v>338</v>
      </c>
      <c r="D2191" s="264" t="s">
        <v>371</v>
      </c>
      <c r="E2191" s="316" t="s">
        <v>2602</v>
      </c>
      <c r="F2191" s="239">
        <v>1</v>
      </c>
      <c r="G2191" s="265">
        <v>45890</v>
      </c>
      <c r="H2191" s="264"/>
      <c r="I2191" s="308" t="s">
        <v>2196</v>
      </c>
      <c r="J2191" s="245"/>
      <c r="AQ2191" s="243" t="s">
        <v>2603</v>
      </c>
      <c r="AU2191" s="243" t="s">
        <v>2604</v>
      </c>
      <c r="AV2191" s="243" t="s">
        <v>2394</v>
      </c>
      <c r="AW2191" s="243" t="s">
        <v>2394</v>
      </c>
      <c r="AX2191" s="243" t="s">
        <v>2225</v>
      </c>
      <c r="AY2191" s="243" t="s">
        <v>2225</v>
      </c>
      <c r="AZ2191" s="243" t="s">
        <v>2340</v>
      </c>
      <c r="BA2191" s="243" t="s">
        <v>2340</v>
      </c>
      <c r="BB2191" s="243" t="s">
        <v>2389</v>
      </c>
      <c r="BC2191" s="243" t="s">
        <v>2225</v>
      </c>
      <c r="BD2191" s="243" t="s">
        <v>2225</v>
      </c>
      <c r="BE2191" s="243" t="s">
        <v>2426</v>
      </c>
      <c r="BF2191" s="243" t="s">
        <v>2208</v>
      </c>
    </row>
    <row r="2192" spans="1:97">
      <c r="A2192" s="239">
        <v>72620</v>
      </c>
      <c r="B2192" s="239">
        <v>211251475</v>
      </c>
      <c r="C2192" s="264" t="s">
        <v>309</v>
      </c>
      <c r="D2192" s="264" t="s">
        <v>2723</v>
      </c>
      <c r="E2192" s="307">
        <v>2800097</v>
      </c>
      <c r="F2192" s="239">
        <v>1</v>
      </c>
      <c r="G2192" s="265">
        <v>45898</v>
      </c>
      <c r="H2192" s="264"/>
      <c r="I2192" s="308" t="s">
        <v>2558</v>
      </c>
      <c r="J2192" s="245"/>
      <c r="BE2192" s="243" t="s">
        <v>2558</v>
      </c>
      <c r="BI2192" s="243" t="s">
        <v>2389</v>
      </c>
      <c r="BJ2192" s="243" t="s">
        <v>2225</v>
      </c>
      <c r="BK2192" s="243" t="s">
        <v>2225</v>
      </c>
      <c r="BL2192" s="243" t="s">
        <v>2331</v>
      </c>
      <c r="BM2192" s="243" t="s">
        <v>2331</v>
      </c>
      <c r="BN2192" s="243" t="s">
        <v>2389</v>
      </c>
      <c r="BO2192" s="243" t="s">
        <v>2225</v>
      </c>
      <c r="BP2192" s="243" t="s">
        <v>2225</v>
      </c>
      <c r="BQ2192" s="243" t="s">
        <v>2553</v>
      </c>
      <c r="BR2192" s="243" t="s">
        <v>2553</v>
      </c>
      <c r="BS2192" s="243" t="s">
        <v>2398</v>
      </c>
      <c r="BT2192" s="243" t="s">
        <v>2398</v>
      </c>
      <c r="BU2192" s="243" t="s">
        <v>2225</v>
      </c>
      <c r="BV2192" s="243" t="s">
        <v>2225</v>
      </c>
      <c r="BW2192" s="243" t="s">
        <v>2426</v>
      </c>
      <c r="BX2192" s="243" t="s">
        <v>2208</v>
      </c>
    </row>
    <row r="2193" spans="1:123">
      <c r="A2193" s="239">
        <v>72621</v>
      </c>
      <c r="B2193" s="239" t="s">
        <v>2748</v>
      </c>
      <c r="C2193" s="264" t="s">
        <v>20</v>
      </c>
      <c r="D2193" s="264" t="s">
        <v>2750</v>
      </c>
      <c r="E2193" s="307" t="s">
        <v>133</v>
      </c>
      <c r="F2193" s="239"/>
      <c r="G2193" s="265">
        <v>45975</v>
      </c>
      <c r="H2193" s="264"/>
      <c r="I2193" s="308"/>
      <c r="J2193" s="245"/>
    </row>
    <row r="2194" spans="1:123">
      <c r="A2194" s="239"/>
      <c r="B2194" s="239"/>
      <c r="C2194" s="264"/>
      <c r="D2194" s="264" t="s">
        <v>2749</v>
      </c>
      <c r="E2194" s="307" t="s">
        <v>1448</v>
      </c>
      <c r="F2194" s="239">
        <v>10</v>
      </c>
      <c r="G2194" s="265">
        <v>45975</v>
      </c>
      <c r="H2194" s="264"/>
      <c r="I2194" s="308" t="s">
        <v>2331</v>
      </c>
      <c r="J2194" s="245"/>
      <c r="AZ2194" s="243" t="s">
        <v>2394</v>
      </c>
      <c r="BI2194" s="243" t="s">
        <v>2331</v>
      </c>
      <c r="BJ2194" s="243" t="s">
        <v>2331</v>
      </c>
      <c r="BK2194" s="243" t="s">
        <v>2331</v>
      </c>
      <c r="BL2194" s="243" t="s">
        <v>2417</v>
      </c>
      <c r="BM2194" s="243" t="s">
        <v>2417</v>
      </c>
      <c r="BN2194" s="243" t="s">
        <v>2389</v>
      </c>
      <c r="BO2194" s="243" t="s">
        <v>2389</v>
      </c>
      <c r="BP2194" s="243" t="s">
        <v>2427</v>
      </c>
      <c r="BQ2194" s="243" t="s">
        <v>2427</v>
      </c>
    </row>
    <row r="2195" spans="1:123" ht="39.75" customHeight="1">
      <c r="A2195" s="317">
        <v>72636</v>
      </c>
      <c r="B2195" s="317" t="s">
        <v>2648</v>
      </c>
      <c r="C2195" s="316" t="s">
        <v>2649</v>
      </c>
      <c r="D2195" s="307" t="s">
        <v>2650</v>
      </c>
      <c r="E2195" s="355">
        <v>700465157</v>
      </c>
      <c r="F2195" s="317">
        <v>1</v>
      </c>
      <c r="G2195" s="326">
        <v>45897</v>
      </c>
      <c r="H2195" s="358">
        <v>45926</v>
      </c>
      <c r="I2195" s="327" t="s">
        <v>3090</v>
      </c>
      <c r="J2195" s="245"/>
      <c r="AU2195" s="243" t="s">
        <v>2652</v>
      </c>
      <c r="AX2195" s="243" t="s">
        <v>2651</v>
      </c>
      <c r="AY2195" s="243" t="s">
        <v>2653</v>
      </c>
      <c r="AZ2195" s="243" t="s">
        <v>2653</v>
      </c>
      <c r="BA2195" s="243" t="s">
        <v>2653</v>
      </c>
      <c r="BB2195" s="243" t="s">
        <v>2394</v>
      </c>
      <c r="BC2195" s="243" t="s">
        <v>2394</v>
      </c>
      <c r="BD2195" s="243" t="s">
        <v>2558</v>
      </c>
      <c r="BH2195" s="243" t="s">
        <v>2389</v>
      </c>
      <c r="BI2195" s="243" t="s">
        <v>2225</v>
      </c>
      <c r="BJ2195" s="246" t="s">
        <v>2882</v>
      </c>
      <c r="BL2195" s="243" t="s">
        <v>2340</v>
      </c>
      <c r="BM2195" s="243" t="s">
        <v>2417</v>
      </c>
      <c r="BN2195" s="243" t="s">
        <v>2389</v>
      </c>
      <c r="BO2195" s="243" t="s">
        <v>2437</v>
      </c>
      <c r="BP2195" s="243" t="s">
        <v>2427</v>
      </c>
      <c r="BQ2195" s="243" t="s">
        <v>2427</v>
      </c>
      <c r="BR2195" s="243" t="s">
        <v>2517</v>
      </c>
      <c r="BS2195" s="243" t="s">
        <v>2517</v>
      </c>
      <c r="BT2195" s="243" t="s">
        <v>2426</v>
      </c>
      <c r="BU2195" s="243" t="s">
        <v>2208</v>
      </c>
    </row>
    <row r="2196" spans="1:123" ht="39.75" customHeight="1">
      <c r="A2196" s="333">
        <v>72643</v>
      </c>
      <c r="B2196" s="333" t="s">
        <v>3166</v>
      </c>
      <c r="C2196" s="318" t="s">
        <v>20</v>
      </c>
      <c r="D2196" s="332" t="s">
        <v>3174</v>
      </c>
      <c r="E2196" s="353" t="s">
        <v>3176</v>
      </c>
      <c r="F2196" s="333">
        <v>8</v>
      </c>
      <c r="G2196" s="352">
        <v>46008</v>
      </c>
      <c r="H2196" s="358" t="s">
        <v>3177</v>
      </c>
      <c r="I2196" s="327" t="s">
        <v>3178</v>
      </c>
      <c r="J2196" s="245"/>
      <c r="BJ2196" s="246"/>
    </row>
    <row r="2197" spans="1:123" ht="39.75" customHeight="1">
      <c r="A2197" s="317"/>
      <c r="B2197" s="317"/>
      <c r="C2197" s="316"/>
      <c r="D2197" s="307" t="s">
        <v>3175</v>
      </c>
      <c r="E2197" s="364" t="s">
        <v>3165</v>
      </c>
      <c r="F2197" s="317">
        <v>8</v>
      </c>
      <c r="G2197" s="326">
        <v>46008</v>
      </c>
      <c r="H2197" s="358"/>
      <c r="I2197" s="327"/>
      <c r="J2197" s="245"/>
      <c r="BJ2197" s="246"/>
    </row>
    <row r="2198" spans="1:123" ht="39.75" customHeight="1">
      <c r="A2198" s="317"/>
      <c r="B2198" s="317"/>
      <c r="C2198" s="316"/>
      <c r="D2198" s="307" t="s">
        <v>3167</v>
      </c>
      <c r="E2198" s="355" t="s">
        <v>3172</v>
      </c>
      <c r="F2198" s="317">
        <v>8</v>
      </c>
      <c r="G2198" s="326">
        <v>46008</v>
      </c>
      <c r="H2198" s="358"/>
      <c r="I2198" s="327"/>
      <c r="J2198" s="245"/>
      <c r="BJ2198" s="246"/>
    </row>
    <row r="2199" spans="1:123" ht="39.75" customHeight="1">
      <c r="A2199" s="317"/>
      <c r="B2199" s="317"/>
      <c r="C2199" s="316"/>
      <c r="D2199" s="307" t="s">
        <v>3168</v>
      </c>
      <c r="E2199" s="355" t="s">
        <v>3171</v>
      </c>
      <c r="F2199" s="317">
        <v>8</v>
      </c>
      <c r="G2199" s="326">
        <v>46008</v>
      </c>
      <c r="H2199" s="358"/>
      <c r="I2199" s="327"/>
      <c r="J2199" s="245"/>
      <c r="BJ2199" s="246"/>
    </row>
    <row r="2200" spans="1:123" ht="39.75" customHeight="1">
      <c r="A2200" s="317"/>
      <c r="B2200" s="317"/>
      <c r="C2200" s="316"/>
      <c r="D2200" s="307" t="s">
        <v>3168</v>
      </c>
      <c r="E2200" s="355" t="s">
        <v>3170</v>
      </c>
      <c r="F2200" s="317">
        <v>8</v>
      </c>
      <c r="G2200" s="326">
        <v>46008</v>
      </c>
      <c r="H2200" s="358"/>
      <c r="I2200" s="327"/>
      <c r="J2200" s="245"/>
      <c r="BJ2200" s="246"/>
    </row>
    <row r="2201" spans="1:123" ht="39.75" customHeight="1">
      <c r="A2201" s="317"/>
      <c r="B2201" s="317"/>
      <c r="C2201" s="316"/>
      <c r="D2201" s="307" t="s">
        <v>3169</v>
      </c>
      <c r="E2201" s="355" t="s">
        <v>3173</v>
      </c>
      <c r="F2201" s="317">
        <v>8</v>
      </c>
      <c r="G2201" s="326">
        <v>46008</v>
      </c>
      <c r="H2201" s="358"/>
      <c r="I2201" s="327"/>
      <c r="J2201" s="245"/>
      <c r="BJ2201" s="246"/>
    </row>
    <row r="2202" spans="1:123" ht="39.75" customHeight="1">
      <c r="A2202" s="333">
        <v>72645</v>
      </c>
      <c r="B2202" s="333" t="s">
        <v>3103</v>
      </c>
      <c r="C2202" s="318" t="s">
        <v>20</v>
      </c>
      <c r="D2202" s="332" t="s">
        <v>3104</v>
      </c>
      <c r="E2202" s="353" t="s">
        <v>3105</v>
      </c>
      <c r="F2202" s="333">
        <v>1</v>
      </c>
      <c r="G2202" s="352">
        <v>46002</v>
      </c>
      <c r="H2202" s="264"/>
      <c r="I2202" s="327" t="s">
        <v>3106</v>
      </c>
      <c r="J2202" s="245"/>
      <c r="BJ2202" s="246"/>
      <c r="DG2202" s="243" t="s">
        <v>2339</v>
      </c>
      <c r="DH2202" s="243" t="s">
        <v>2339</v>
      </c>
      <c r="DI2202" s="243" t="s">
        <v>2339</v>
      </c>
      <c r="DJ2202" s="243" t="s">
        <v>2339</v>
      </c>
      <c r="DK2202" s="243" t="s">
        <v>2339</v>
      </c>
      <c r="DL2202" s="243" t="s">
        <v>2182</v>
      </c>
      <c r="DM2202" s="243" t="s">
        <v>2417</v>
      </c>
      <c r="DN2202" s="243" t="s">
        <v>2417</v>
      </c>
      <c r="DO2202" s="243" t="s">
        <v>2417</v>
      </c>
      <c r="DP2202" s="243" t="s">
        <v>2437</v>
      </c>
      <c r="DQ2202" s="243" t="s">
        <v>2427</v>
      </c>
      <c r="DR2202" s="243" t="s">
        <v>2427</v>
      </c>
      <c r="DS2202" s="243" t="s">
        <v>2427</v>
      </c>
    </row>
    <row r="2203" spans="1:123" ht="39.75" customHeight="1">
      <c r="A2203" s="317"/>
      <c r="B2203" s="329"/>
      <c r="C2203" s="342"/>
      <c r="D2203" s="328" t="s">
        <v>3107</v>
      </c>
      <c r="E2203" s="354" t="s">
        <v>3108</v>
      </c>
      <c r="F2203" s="329">
        <v>1</v>
      </c>
      <c r="G2203" s="351">
        <v>46002</v>
      </c>
      <c r="H2203" s="264"/>
      <c r="I2203" s="327"/>
      <c r="J2203" s="245"/>
      <c r="BJ2203" s="246"/>
    </row>
    <row r="2204" spans="1:123" ht="39.75" customHeight="1">
      <c r="A2204" s="317"/>
      <c r="B2204" s="317"/>
      <c r="C2204" s="316"/>
      <c r="D2204" s="307" t="s">
        <v>3109</v>
      </c>
      <c r="E2204" s="355" t="s">
        <v>3110</v>
      </c>
      <c r="F2204" s="317">
        <v>1</v>
      </c>
      <c r="G2204" s="326">
        <v>46002</v>
      </c>
      <c r="H2204" s="264"/>
      <c r="I2204" s="327"/>
      <c r="J2204" s="245"/>
      <c r="BJ2204" s="246"/>
    </row>
    <row r="2205" spans="1:123" ht="39.75" customHeight="1">
      <c r="A2205" s="317"/>
      <c r="B2205" s="317"/>
      <c r="C2205" s="316"/>
      <c r="D2205" s="307" t="s">
        <v>3111</v>
      </c>
      <c r="E2205" s="355" t="s">
        <v>3112</v>
      </c>
      <c r="F2205" s="317">
        <v>1</v>
      </c>
      <c r="G2205" s="326">
        <v>46002</v>
      </c>
      <c r="H2205" s="264"/>
      <c r="I2205" s="327"/>
      <c r="J2205" s="245"/>
      <c r="BJ2205" s="246"/>
    </row>
    <row r="2206" spans="1:123" ht="39.75" customHeight="1">
      <c r="A2206" s="317"/>
      <c r="B2206" s="317"/>
      <c r="C2206" s="316"/>
      <c r="D2206" s="307" t="s">
        <v>3113</v>
      </c>
      <c r="E2206" s="355" t="s">
        <v>3114</v>
      </c>
      <c r="F2206" s="317">
        <v>1</v>
      </c>
      <c r="G2206" s="326">
        <v>46002</v>
      </c>
      <c r="H2206" s="264"/>
      <c r="I2206" s="327"/>
      <c r="J2206" s="245"/>
      <c r="BJ2206" s="246"/>
    </row>
    <row r="2207" spans="1:123" ht="39.75" customHeight="1">
      <c r="A2207" s="317"/>
      <c r="B2207" s="317"/>
      <c r="C2207" s="316"/>
      <c r="D2207" s="307" t="s">
        <v>3115</v>
      </c>
      <c r="E2207" s="307" t="s">
        <v>3236</v>
      </c>
      <c r="F2207" s="317">
        <v>1</v>
      </c>
      <c r="G2207" s="326">
        <v>46002</v>
      </c>
      <c r="H2207" s="264"/>
      <c r="I2207" s="327"/>
      <c r="J2207" s="245"/>
      <c r="BJ2207" s="246"/>
    </row>
    <row r="2208" spans="1:123" ht="39.75" customHeight="1">
      <c r="A2208" s="317"/>
      <c r="B2208" s="317"/>
      <c r="C2208" s="316"/>
      <c r="D2208" s="307" t="s">
        <v>3116</v>
      </c>
      <c r="E2208" s="307" t="s">
        <v>3237</v>
      </c>
      <c r="F2208" s="317">
        <v>1</v>
      </c>
      <c r="G2208" s="326">
        <v>46002</v>
      </c>
      <c r="H2208" s="264"/>
      <c r="I2208" s="327"/>
      <c r="J2208" s="245"/>
      <c r="BJ2208" s="246"/>
    </row>
    <row r="2209" spans="1:62" ht="39.75" customHeight="1">
      <c r="A2209" s="317"/>
      <c r="B2209" s="317"/>
      <c r="C2209" s="316"/>
      <c r="D2209" s="307" t="s">
        <v>3240</v>
      </c>
      <c r="E2209" s="307" t="s">
        <v>3238</v>
      </c>
      <c r="F2209" s="317">
        <v>1</v>
      </c>
      <c r="G2209" s="326">
        <v>46002</v>
      </c>
      <c r="H2209" s="264"/>
      <c r="I2209" s="327"/>
      <c r="J2209" s="245"/>
      <c r="BJ2209" s="246"/>
    </row>
    <row r="2210" spans="1:62" ht="39.75" customHeight="1">
      <c r="A2210" s="317"/>
      <c r="B2210" s="317"/>
      <c r="C2210" s="316"/>
      <c r="D2210" s="307" t="s">
        <v>3117</v>
      </c>
      <c r="E2210" s="307" t="s">
        <v>3239</v>
      </c>
      <c r="F2210" s="317">
        <v>1</v>
      </c>
      <c r="G2210" s="326">
        <v>46002</v>
      </c>
      <c r="H2210" s="264"/>
      <c r="I2210" s="327"/>
      <c r="J2210" s="245"/>
      <c r="BJ2210" s="246"/>
    </row>
    <row r="2211" spans="1:62" ht="39.75" customHeight="1">
      <c r="A2211" s="317"/>
      <c r="B2211" s="317"/>
      <c r="C2211" s="316"/>
      <c r="D2211" s="307" t="s">
        <v>3241</v>
      </c>
      <c r="E2211" s="355" t="s">
        <v>3242</v>
      </c>
      <c r="F2211" s="317">
        <v>1</v>
      </c>
      <c r="G2211" s="326">
        <v>46002</v>
      </c>
      <c r="H2211" s="264"/>
      <c r="I2211" s="327"/>
      <c r="J2211" s="245"/>
      <c r="BJ2211" s="246"/>
    </row>
    <row r="2212" spans="1:62" ht="39.75" customHeight="1">
      <c r="A2212" s="317"/>
      <c r="B2212" s="317"/>
      <c r="C2212" s="316"/>
      <c r="D2212" s="307" t="s">
        <v>3243</v>
      </c>
      <c r="E2212" s="355" t="s">
        <v>3245</v>
      </c>
      <c r="F2212" s="317">
        <v>1</v>
      </c>
      <c r="G2212" s="326">
        <v>46002</v>
      </c>
      <c r="H2212" s="264"/>
      <c r="I2212" s="327"/>
      <c r="J2212" s="245"/>
      <c r="BJ2212" s="246"/>
    </row>
    <row r="2213" spans="1:62" ht="39.75" customHeight="1">
      <c r="A2213" s="317"/>
      <c r="B2213" s="317"/>
      <c r="C2213" s="316"/>
      <c r="D2213" s="307" t="s">
        <v>3244</v>
      </c>
      <c r="E2213" s="355" t="s">
        <v>3246</v>
      </c>
      <c r="F2213" s="317">
        <v>2</v>
      </c>
      <c r="G2213" s="326">
        <v>46002</v>
      </c>
      <c r="H2213" s="264"/>
      <c r="I2213" s="327"/>
      <c r="J2213" s="245"/>
      <c r="BJ2213" s="246"/>
    </row>
    <row r="2214" spans="1:62" ht="39.75" customHeight="1">
      <c r="A2214" s="317"/>
      <c r="B2214" s="317"/>
      <c r="C2214" s="316"/>
      <c r="D2214" s="307" t="s">
        <v>3247</v>
      </c>
      <c r="E2214" s="355" t="s">
        <v>3248</v>
      </c>
      <c r="F2214" s="317">
        <v>2</v>
      </c>
      <c r="G2214" s="326">
        <v>46002</v>
      </c>
      <c r="H2214" s="264"/>
      <c r="I2214" s="327"/>
      <c r="J2214" s="245"/>
      <c r="BJ2214" s="246"/>
    </row>
    <row r="2215" spans="1:62" ht="39.75" customHeight="1">
      <c r="A2215" s="317"/>
      <c r="B2215" s="317"/>
      <c r="C2215" s="316"/>
      <c r="D2215" s="307" t="s">
        <v>3249</v>
      </c>
      <c r="E2215" s="369" t="s">
        <v>3250</v>
      </c>
      <c r="F2215" s="317">
        <v>2</v>
      </c>
      <c r="G2215" s="326">
        <v>46002</v>
      </c>
      <c r="H2215" s="264"/>
      <c r="I2215" s="327"/>
      <c r="J2215" s="245"/>
      <c r="BJ2215" s="246"/>
    </row>
    <row r="2216" spans="1:62" ht="39.75" customHeight="1">
      <c r="A2216" s="317"/>
      <c r="B2216" s="317"/>
      <c r="C2216" s="316"/>
      <c r="D2216" s="307" t="s">
        <v>3251</v>
      </c>
      <c r="E2216" s="355" t="s">
        <v>3252</v>
      </c>
      <c r="F2216" s="317">
        <v>1</v>
      </c>
      <c r="G2216" s="326">
        <v>46002</v>
      </c>
      <c r="H2216" s="264"/>
      <c r="I2216" s="327"/>
      <c r="J2216" s="245"/>
      <c r="BJ2216" s="246"/>
    </row>
    <row r="2217" spans="1:62" ht="39.75" customHeight="1">
      <c r="A2217" s="317"/>
      <c r="B2217" s="317"/>
      <c r="C2217" s="316"/>
      <c r="D2217" s="307" t="s">
        <v>3253</v>
      </c>
      <c r="E2217" s="355" t="s">
        <v>3254</v>
      </c>
      <c r="F2217" s="317">
        <v>1</v>
      </c>
      <c r="G2217" s="326">
        <v>46002</v>
      </c>
      <c r="H2217" s="264"/>
      <c r="I2217" s="327"/>
      <c r="J2217" s="245"/>
      <c r="BJ2217" s="246"/>
    </row>
    <row r="2218" spans="1:62" ht="39.75" customHeight="1">
      <c r="A2218" s="317"/>
      <c r="B2218" s="317"/>
      <c r="C2218" s="316"/>
      <c r="D2218" s="307" t="s">
        <v>3255</v>
      </c>
      <c r="E2218" s="355" t="s">
        <v>3256</v>
      </c>
      <c r="F2218" s="317">
        <v>2</v>
      </c>
      <c r="G2218" s="326">
        <v>46002</v>
      </c>
      <c r="H2218" s="264"/>
      <c r="I2218" s="327"/>
      <c r="J2218" s="245"/>
      <c r="BJ2218" s="246"/>
    </row>
    <row r="2219" spans="1:62" ht="39.75" customHeight="1">
      <c r="A2219" s="317"/>
      <c r="B2219" s="317"/>
      <c r="C2219" s="316"/>
      <c r="D2219" s="307" t="s">
        <v>3257</v>
      </c>
      <c r="E2219" s="355" t="s">
        <v>3258</v>
      </c>
      <c r="F2219" s="317">
        <v>1</v>
      </c>
      <c r="G2219" s="326">
        <v>46002</v>
      </c>
      <c r="H2219" s="264"/>
      <c r="I2219" s="327"/>
      <c r="J2219" s="245"/>
      <c r="BJ2219" s="246"/>
    </row>
    <row r="2220" spans="1:62" ht="39.75" customHeight="1">
      <c r="A2220" s="317"/>
      <c r="B2220" s="317"/>
      <c r="C2220" s="316"/>
      <c r="D2220" s="307" t="s">
        <v>3259</v>
      </c>
      <c r="E2220" s="355" t="s">
        <v>3260</v>
      </c>
      <c r="F2220" s="317">
        <v>1</v>
      </c>
      <c r="G2220" s="326">
        <v>46002</v>
      </c>
      <c r="H2220" s="264"/>
      <c r="I2220" s="327"/>
      <c r="J2220" s="245"/>
      <c r="BJ2220" s="246"/>
    </row>
    <row r="2221" spans="1:62" ht="39.75" customHeight="1">
      <c r="A2221" s="317"/>
      <c r="B2221" s="317"/>
      <c r="C2221" s="316"/>
      <c r="D2221" s="307" t="s">
        <v>3261</v>
      </c>
      <c r="E2221" s="355" t="s">
        <v>3262</v>
      </c>
      <c r="F2221" s="317">
        <v>1</v>
      </c>
      <c r="G2221" s="326">
        <v>46002</v>
      </c>
      <c r="H2221" s="264"/>
      <c r="I2221" s="327"/>
      <c r="J2221" s="245"/>
      <c r="BJ2221" s="246"/>
    </row>
    <row r="2222" spans="1:62" ht="39.75" customHeight="1">
      <c r="A2222" s="317"/>
      <c r="B2222" s="317"/>
      <c r="C2222" s="316"/>
      <c r="D2222" s="307" t="s">
        <v>3263</v>
      </c>
      <c r="E2222" s="355" t="s">
        <v>3264</v>
      </c>
      <c r="F2222" s="317">
        <v>2</v>
      </c>
      <c r="G2222" s="326">
        <v>46002</v>
      </c>
      <c r="H2222" s="264"/>
      <c r="I2222" s="327"/>
      <c r="J2222" s="245"/>
      <c r="BJ2222" s="246"/>
    </row>
    <row r="2223" spans="1:62" ht="39.75" customHeight="1">
      <c r="A2223" s="317"/>
      <c r="B2223" s="317"/>
      <c r="C2223" s="316"/>
      <c r="D2223" s="307" t="s">
        <v>3265</v>
      </c>
      <c r="E2223" s="355" t="s">
        <v>3266</v>
      </c>
      <c r="F2223" s="317">
        <v>1</v>
      </c>
      <c r="G2223" s="326">
        <v>46002</v>
      </c>
      <c r="H2223" s="264"/>
      <c r="I2223" s="327"/>
      <c r="J2223" s="245"/>
      <c r="BJ2223" s="246"/>
    </row>
    <row r="2224" spans="1:62" ht="39.75" customHeight="1">
      <c r="A2224" s="317"/>
      <c r="B2224" s="317"/>
      <c r="C2224" s="316"/>
      <c r="D2224" s="307" t="s">
        <v>3267</v>
      </c>
      <c r="E2224" s="355" t="s">
        <v>3268</v>
      </c>
      <c r="F2224" s="317">
        <v>2</v>
      </c>
      <c r="G2224" s="326">
        <v>46002</v>
      </c>
      <c r="H2224" s="264"/>
      <c r="I2224" s="327"/>
      <c r="J2224" s="245"/>
      <c r="BJ2224" s="246"/>
    </row>
    <row r="2225" spans="1:122" ht="39.75" customHeight="1">
      <c r="A2225" s="317"/>
      <c r="B2225" s="317"/>
      <c r="C2225" s="316"/>
      <c r="D2225" s="307" t="s">
        <v>3269</v>
      </c>
      <c r="E2225" s="355" t="s">
        <v>3270</v>
      </c>
      <c r="F2225" s="317">
        <v>1</v>
      </c>
      <c r="G2225" s="326">
        <v>46002</v>
      </c>
      <c r="H2225" s="264"/>
      <c r="I2225" s="327"/>
      <c r="J2225" s="245"/>
      <c r="BJ2225" s="246"/>
    </row>
    <row r="2226" spans="1:122" ht="39.75" customHeight="1">
      <c r="A2226" s="317"/>
      <c r="B2226" s="317"/>
      <c r="C2226" s="316"/>
      <c r="D2226" s="307" t="s">
        <v>3271</v>
      </c>
      <c r="E2226" s="355" t="s">
        <v>3272</v>
      </c>
      <c r="F2226" s="317">
        <v>1</v>
      </c>
      <c r="G2226" s="326">
        <v>46002</v>
      </c>
      <c r="H2226" s="264"/>
      <c r="I2226" s="327"/>
      <c r="J2226" s="245"/>
      <c r="BJ2226" s="246"/>
    </row>
    <row r="2227" spans="1:122" ht="39.75" customHeight="1">
      <c r="A2227" s="317"/>
      <c r="B2227" s="317"/>
      <c r="C2227" s="316"/>
      <c r="D2227" s="307" t="s">
        <v>3273</v>
      </c>
      <c r="E2227" s="355" t="s">
        <v>3274</v>
      </c>
      <c r="F2227" s="317">
        <v>4</v>
      </c>
      <c r="G2227" s="326">
        <v>46002</v>
      </c>
      <c r="H2227" s="264"/>
      <c r="I2227" s="327"/>
      <c r="J2227" s="245"/>
      <c r="BJ2227" s="246"/>
    </row>
    <row r="2228" spans="1:122" ht="39.75" customHeight="1">
      <c r="A2228" s="317"/>
      <c r="B2228" s="317"/>
      <c r="C2228" s="316"/>
      <c r="D2228" s="307" t="s">
        <v>3276</v>
      </c>
      <c r="E2228" s="355" t="s">
        <v>3275</v>
      </c>
      <c r="F2228" s="317">
        <v>1</v>
      </c>
      <c r="G2228" s="326">
        <v>46002</v>
      </c>
      <c r="H2228" s="264"/>
      <c r="I2228" s="327"/>
      <c r="J2228" s="245"/>
      <c r="BJ2228" s="246"/>
    </row>
    <row r="2229" spans="1:122" ht="39.75" customHeight="1">
      <c r="A2229" s="317"/>
      <c r="B2229" s="317"/>
      <c r="C2229" s="316"/>
      <c r="D2229" s="307" t="s">
        <v>3277</v>
      </c>
      <c r="E2229" s="355" t="s">
        <v>3278</v>
      </c>
      <c r="F2229" s="317">
        <v>1</v>
      </c>
      <c r="G2229" s="326">
        <v>46002</v>
      </c>
      <c r="H2229" s="264"/>
      <c r="I2229" s="327"/>
      <c r="J2229" s="245"/>
      <c r="BJ2229" s="246"/>
    </row>
    <row r="2230" spans="1:122" ht="39.75" customHeight="1">
      <c r="A2230" s="317"/>
      <c r="B2230" s="317"/>
      <c r="C2230" s="316"/>
      <c r="D2230" s="307" t="s">
        <v>3279</v>
      </c>
      <c r="E2230" s="355" t="s">
        <v>3280</v>
      </c>
      <c r="F2230" s="317">
        <v>1</v>
      </c>
      <c r="G2230" s="326">
        <v>46002</v>
      </c>
      <c r="H2230" s="264"/>
      <c r="I2230" s="327"/>
      <c r="J2230" s="245"/>
      <c r="BJ2230" s="246"/>
    </row>
    <row r="2231" spans="1:122" ht="39.75" customHeight="1">
      <c r="A2231" s="317"/>
      <c r="B2231" s="317"/>
      <c r="C2231" s="316"/>
      <c r="D2231" s="307" t="s">
        <v>1324</v>
      </c>
      <c r="E2231" s="355" t="s">
        <v>3281</v>
      </c>
      <c r="F2231" s="317">
        <v>1</v>
      </c>
      <c r="G2231" s="326">
        <v>46002</v>
      </c>
      <c r="H2231" s="264"/>
      <c r="I2231" s="327"/>
      <c r="J2231" s="245"/>
      <c r="BJ2231" s="246"/>
    </row>
    <row r="2232" spans="1:122" ht="39.75" customHeight="1">
      <c r="A2232" s="317"/>
      <c r="B2232" s="317"/>
      <c r="C2232" s="316"/>
      <c r="D2232" s="307" t="s">
        <v>1182</v>
      </c>
      <c r="E2232" s="355" t="s">
        <v>3282</v>
      </c>
      <c r="F2232" s="317">
        <v>1</v>
      </c>
      <c r="G2232" s="326">
        <v>46002</v>
      </c>
      <c r="H2232" s="264"/>
      <c r="I2232" s="327"/>
      <c r="J2232" s="245"/>
      <c r="BJ2232" s="246"/>
    </row>
    <row r="2233" spans="1:122" ht="39.75" customHeight="1">
      <c r="A2233" s="333">
        <v>72646</v>
      </c>
      <c r="B2233" s="333" t="s">
        <v>3103</v>
      </c>
      <c r="C2233" s="318" t="s">
        <v>20</v>
      </c>
      <c r="D2233" s="332" t="s">
        <v>3180</v>
      </c>
      <c r="E2233" s="353" t="s">
        <v>3179</v>
      </c>
      <c r="F2233" s="333">
        <v>1</v>
      </c>
      <c r="G2233" s="352">
        <v>46002</v>
      </c>
      <c r="H2233" s="264"/>
      <c r="I2233" s="327" t="s">
        <v>3211</v>
      </c>
      <c r="J2233" s="245"/>
      <c r="BJ2233" s="246"/>
      <c r="DK2233" s="243" t="s">
        <v>2339</v>
      </c>
      <c r="DL2233" s="243" t="s">
        <v>2339</v>
      </c>
      <c r="DM2233" s="243" t="s">
        <v>2339</v>
      </c>
      <c r="DN2233" s="243" t="s">
        <v>2339</v>
      </c>
      <c r="DO2233" s="243" t="s">
        <v>2339</v>
      </c>
      <c r="DP2233" s="243" t="s">
        <v>2427</v>
      </c>
      <c r="DQ2233" s="243" t="s">
        <v>2427</v>
      </c>
      <c r="DR2233" s="243" t="s">
        <v>2427</v>
      </c>
    </row>
    <row r="2234" spans="1:122" ht="39.75" customHeight="1">
      <c r="A2234" s="317"/>
      <c r="B2234" s="317"/>
      <c r="C2234" s="316"/>
      <c r="D2234" s="307" t="s">
        <v>3181</v>
      </c>
      <c r="E2234" s="364" t="s">
        <v>3182</v>
      </c>
      <c r="F2234" s="317">
        <v>1</v>
      </c>
      <c r="G2234" s="326">
        <v>46002</v>
      </c>
      <c r="H2234" s="264"/>
      <c r="I2234" s="327"/>
      <c r="J2234" s="245"/>
      <c r="BJ2234" s="246"/>
    </row>
    <row r="2235" spans="1:122" ht="39.75" customHeight="1">
      <c r="A2235" s="317"/>
      <c r="B2235" s="317"/>
      <c r="C2235" s="316"/>
      <c r="D2235" s="307" t="s">
        <v>3183</v>
      </c>
      <c r="E2235" s="364" t="s">
        <v>3184</v>
      </c>
      <c r="F2235" s="317">
        <v>1</v>
      </c>
      <c r="G2235" s="326">
        <v>46002</v>
      </c>
      <c r="H2235" s="264"/>
      <c r="I2235" s="327"/>
      <c r="J2235" s="245"/>
      <c r="BJ2235" s="246"/>
    </row>
    <row r="2236" spans="1:122" ht="39.75" customHeight="1">
      <c r="A2236" s="317"/>
      <c r="B2236" s="317"/>
      <c r="C2236" s="316"/>
      <c r="D2236" s="307" t="s">
        <v>3185</v>
      </c>
      <c r="E2236" s="364" t="s">
        <v>3186</v>
      </c>
      <c r="F2236" s="317">
        <v>1</v>
      </c>
      <c r="G2236" s="326">
        <v>46002</v>
      </c>
      <c r="H2236" s="264"/>
      <c r="I2236" s="327"/>
      <c r="J2236" s="245"/>
      <c r="BJ2236" s="246"/>
    </row>
    <row r="2237" spans="1:122" ht="39.75" customHeight="1">
      <c r="A2237" s="317"/>
      <c r="B2237" s="317"/>
      <c r="C2237" s="316"/>
      <c r="D2237" s="307" t="s">
        <v>1244</v>
      </c>
      <c r="E2237" s="364" t="s">
        <v>3189</v>
      </c>
      <c r="F2237" s="317">
        <v>2</v>
      </c>
      <c r="G2237" s="326">
        <v>46002</v>
      </c>
      <c r="H2237" s="264"/>
      <c r="I2237" s="327"/>
      <c r="J2237" s="245"/>
      <c r="BJ2237" s="246"/>
    </row>
    <row r="2238" spans="1:122" ht="39.75" customHeight="1">
      <c r="A2238" s="317"/>
      <c r="B2238" s="317"/>
      <c r="C2238" s="316"/>
      <c r="D2238" s="307" t="s">
        <v>3187</v>
      </c>
      <c r="E2238" s="364" t="s">
        <v>3188</v>
      </c>
      <c r="F2238" s="317">
        <v>1</v>
      </c>
      <c r="G2238" s="326">
        <v>46002</v>
      </c>
      <c r="H2238" s="264"/>
      <c r="I2238" s="327"/>
      <c r="J2238" s="245"/>
      <c r="BJ2238" s="246"/>
    </row>
    <row r="2239" spans="1:122" ht="39.75" customHeight="1">
      <c r="A2239" s="317"/>
      <c r="B2239" s="317"/>
      <c r="C2239" s="316"/>
      <c r="D2239" s="307" t="s">
        <v>3190</v>
      </c>
      <c r="E2239" s="364" t="s">
        <v>3191</v>
      </c>
      <c r="F2239" s="317">
        <v>1</v>
      </c>
      <c r="G2239" s="326">
        <v>46002</v>
      </c>
      <c r="H2239" s="264"/>
      <c r="I2239" s="327"/>
      <c r="J2239" s="245"/>
      <c r="BJ2239" s="246"/>
    </row>
    <row r="2240" spans="1:122" ht="39.75" customHeight="1">
      <c r="A2240" s="317"/>
      <c r="B2240" s="317"/>
      <c r="C2240" s="316"/>
      <c r="D2240" s="307" t="s">
        <v>3192</v>
      </c>
      <c r="E2240" s="364" t="s">
        <v>3193</v>
      </c>
      <c r="F2240" s="317">
        <v>1</v>
      </c>
      <c r="G2240" s="326">
        <v>46002</v>
      </c>
      <c r="H2240" s="264"/>
      <c r="I2240" s="327"/>
      <c r="J2240" s="245"/>
      <c r="BJ2240" s="246"/>
    </row>
    <row r="2241" spans="1:123" ht="39.75" customHeight="1">
      <c r="A2241" s="317"/>
      <c r="B2241" s="317"/>
      <c r="C2241" s="316"/>
      <c r="D2241" s="307" t="s">
        <v>3194</v>
      </c>
      <c r="E2241" s="364" t="s">
        <v>3195</v>
      </c>
      <c r="F2241" s="317">
        <v>1</v>
      </c>
      <c r="G2241" s="326">
        <v>46002</v>
      </c>
      <c r="H2241" s="264"/>
      <c r="I2241" s="327"/>
      <c r="J2241" s="245"/>
      <c r="BJ2241" s="246"/>
    </row>
    <row r="2242" spans="1:123" ht="39.75" customHeight="1">
      <c r="A2242" s="317"/>
      <c r="B2242" s="317"/>
      <c r="C2242" s="316"/>
      <c r="D2242" s="307" t="s">
        <v>3196</v>
      </c>
      <c r="E2242" s="364" t="s">
        <v>3197</v>
      </c>
      <c r="F2242" s="317">
        <v>1</v>
      </c>
      <c r="G2242" s="326">
        <v>46002</v>
      </c>
      <c r="H2242" s="264"/>
      <c r="I2242" s="327"/>
      <c r="J2242" s="245"/>
      <c r="BJ2242" s="246"/>
    </row>
    <row r="2243" spans="1:123" ht="39.75" customHeight="1">
      <c r="A2243" s="317"/>
      <c r="B2243" s="317"/>
      <c r="C2243" s="316"/>
      <c r="D2243" s="307" t="s">
        <v>1325</v>
      </c>
      <c r="E2243" s="355" t="s">
        <v>3200</v>
      </c>
      <c r="F2243" s="317">
        <v>1</v>
      </c>
      <c r="G2243" s="326">
        <v>46002</v>
      </c>
      <c r="H2243" s="264"/>
      <c r="I2243" s="327"/>
      <c r="J2243" s="245"/>
      <c r="BJ2243" s="246"/>
    </row>
    <row r="2244" spans="1:123" ht="39.75" customHeight="1">
      <c r="A2244" s="317"/>
      <c r="B2244" s="317"/>
      <c r="C2244" s="316"/>
      <c r="D2244" s="307" t="s">
        <v>1842</v>
      </c>
      <c r="E2244" s="355" t="s">
        <v>3201</v>
      </c>
      <c r="F2244" s="317">
        <v>1</v>
      </c>
      <c r="G2244" s="326">
        <v>46002</v>
      </c>
      <c r="H2244" s="264"/>
      <c r="I2244" s="327"/>
      <c r="J2244" s="245"/>
      <c r="BJ2244" s="246"/>
    </row>
    <row r="2245" spans="1:123" ht="39.75" customHeight="1">
      <c r="A2245" s="317"/>
      <c r="B2245" s="317"/>
      <c r="C2245" s="316"/>
      <c r="D2245" s="307" t="s">
        <v>3198</v>
      </c>
      <c r="E2245" s="355" t="s">
        <v>3199</v>
      </c>
      <c r="F2245" s="317">
        <v>1</v>
      </c>
      <c r="G2245" s="326">
        <v>46002</v>
      </c>
      <c r="H2245" s="264"/>
      <c r="I2245" s="327"/>
      <c r="J2245" s="245"/>
      <c r="BJ2245" s="246"/>
    </row>
    <row r="2246" spans="1:123" ht="39.75" customHeight="1">
      <c r="A2246" s="317"/>
      <c r="B2246" s="317"/>
      <c r="C2246" s="316"/>
      <c r="D2246" s="307" t="s">
        <v>3202</v>
      </c>
      <c r="E2246" s="355" t="s">
        <v>3203</v>
      </c>
      <c r="F2246" s="317">
        <v>1</v>
      </c>
      <c r="G2246" s="326">
        <v>46002</v>
      </c>
      <c r="H2246" s="264"/>
      <c r="I2246" s="327"/>
      <c r="J2246" s="245"/>
      <c r="BJ2246" s="246"/>
    </row>
    <row r="2247" spans="1:123" ht="39.75" customHeight="1">
      <c r="A2247" s="317"/>
      <c r="B2247" s="317"/>
      <c r="C2247" s="316"/>
      <c r="D2247" s="307" t="s">
        <v>3204</v>
      </c>
      <c r="E2247" s="355" t="s">
        <v>3205</v>
      </c>
      <c r="F2247" s="317">
        <v>2</v>
      </c>
      <c r="G2247" s="326">
        <v>46002</v>
      </c>
      <c r="H2247" s="283" t="s">
        <v>3208</v>
      </c>
      <c r="I2247" s="327" t="s">
        <v>2637</v>
      </c>
      <c r="J2247" s="245"/>
      <c r="BJ2247" s="246"/>
      <c r="CH2247" s="243" t="s">
        <v>2637</v>
      </c>
      <c r="CI2247" s="243" t="s">
        <v>2637</v>
      </c>
      <c r="CJ2247" s="243" t="s">
        <v>2637</v>
      </c>
      <c r="CK2247" s="243" t="s">
        <v>2637</v>
      </c>
      <c r="CL2247" s="243" t="s">
        <v>2637</v>
      </c>
      <c r="CM2247" s="243" t="s">
        <v>2637</v>
      </c>
      <c r="CN2247" s="243" t="s">
        <v>2389</v>
      </c>
      <c r="CO2247" s="243" t="s">
        <v>2225</v>
      </c>
      <c r="CP2247" s="243" t="s">
        <v>3209</v>
      </c>
      <c r="CQ2247" s="243" t="s">
        <v>3209</v>
      </c>
      <c r="CR2247" s="243" t="s">
        <v>3209</v>
      </c>
      <c r="CS2247" s="243" t="s">
        <v>3209</v>
      </c>
      <c r="CT2247" s="243" t="s">
        <v>3209</v>
      </c>
      <c r="CU2247" s="243" t="s">
        <v>2196</v>
      </c>
      <c r="CV2247" s="243" t="s">
        <v>2225</v>
      </c>
      <c r="CW2247" s="243" t="s">
        <v>2182</v>
      </c>
      <c r="CX2247" s="243" t="s">
        <v>2182</v>
      </c>
      <c r="CY2247" s="243" t="s">
        <v>2225</v>
      </c>
      <c r="CZ2247" s="243" t="s">
        <v>3210</v>
      </c>
      <c r="DA2247" s="243" t="s">
        <v>3210</v>
      </c>
      <c r="DB2247" s="243" t="s">
        <v>3210</v>
      </c>
      <c r="DC2247" s="243" t="s">
        <v>3210</v>
      </c>
      <c r="DD2247" s="243" t="s">
        <v>3210</v>
      </c>
      <c r="DE2247" s="243" t="s">
        <v>3210</v>
      </c>
      <c r="DF2247" s="243" t="s">
        <v>3210</v>
      </c>
      <c r="DG2247" s="243" t="s">
        <v>2196</v>
      </c>
      <c r="DH2247" s="243" t="s">
        <v>2427</v>
      </c>
      <c r="DI2247" s="243" t="s">
        <v>2427</v>
      </c>
      <c r="DJ2247" s="243" t="s">
        <v>2427</v>
      </c>
    </row>
    <row r="2248" spans="1:123" ht="39.75" customHeight="1">
      <c r="A2248" s="317"/>
      <c r="B2248" s="317"/>
      <c r="C2248" s="316"/>
      <c r="D2248" s="307" t="s">
        <v>3206</v>
      </c>
      <c r="E2248" s="355" t="s">
        <v>3207</v>
      </c>
      <c r="F2248" s="317">
        <v>2</v>
      </c>
      <c r="G2248" s="326">
        <v>46002</v>
      </c>
      <c r="H2248" s="264"/>
      <c r="I2248" s="327"/>
      <c r="J2248" s="245"/>
      <c r="BJ2248" s="246"/>
    </row>
    <row r="2249" spans="1:123" ht="39.75" customHeight="1">
      <c r="A2249" s="333">
        <v>72647</v>
      </c>
      <c r="B2249" s="333" t="s">
        <v>3103</v>
      </c>
      <c r="C2249" s="318" t="s">
        <v>20</v>
      </c>
      <c r="D2249" s="332" t="s">
        <v>3212</v>
      </c>
      <c r="E2249" s="353" t="s">
        <v>3213</v>
      </c>
      <c r="F2249" s="333">
        <v>1</v>
      </c>
      <c r="G2249" s="352">
        <v>46002</v>
      </c>
      <c r="H2249" s="264"/>
      <c r="I2249" s="327" t="s">
        <v>3211</v>
      </c>
      <c r="J2249" s="245"/>
      <c r="BJ2249" s="246"/>
      <c r="DK2249" s="243" t="s">
        <v>2339</v>
      </c>
      <c r="DL2249" s="243" t="s">
        <v>2339</v>
      </c>
      <c r="DM2249" s="243" t="s">
        <v>2339</v>
      </c>
      <c r="DN2249" s="243" t="s">
        <v>2339</v>
      </c>
      <c r="DO2249" s="243" t="s">
        <v>2339</v>
      </c>
      <c r="DP2249" s="243" t="s">
        <v>2437</v>
      </c>
      <c r="DQ2249" s="243" t="s">
        <v>2427</v>
      </c>
      <c r="DR2249" s="243" t="s">
        <v>2427</v>
      </c>
      <c r="DS2249" s="243" t="s">
        <v>2427</v>
      </c>
    </row>
    <row r="2250" spans="1:123" ht="39.75" customHeight="1">
      <c r="A2250" s="365"/>
      <c r="B2250" s="365"/>
      <c r="C2250" s="366"/>
      <c r="D2250" s="367" t="s">
        <v>1176</v>
      </c>
      <c r="E2250" s="364" t="s">
        <v>3227</v>
      </c>
      <c r="F2250" s="365">
        <v>1</v>
      </c>
      <c r="G2250" s="326">
        <v>46002</v>
      </c>
      <c r="H2250" s="264"/>
      <c r="I2250" s="327"/>
      <c r="J2250" s="245"/>
      <c r="BJ2250" s="246"/>
    </row>
    <row r="2251" spans="1:123" ht="39.75" customHeight="1">
      <c r="A2251" s="365"/>
      <c r="B2251" s="365"/>
      <c r="C2251" s="366"/>
      <c r="D2251" s="367" t="s">
        <v>3214</v>
      </c>
      <c r="E2251" s="364" t="s">
        <v>3215</v>
      </c>
      <c r="F2251" s="365">
        <v>1</v>
      </c>
      <c r="G2251" s="326">
        <v>46002</v>
      </c>
      <c r="H2251" s="264"/>
      <c r="I2251" s="327"/>
      <c r="J2251" s="245"/>
      <c r="BJ2251" s="246"/>
    </row>
    <row r="2252" spans="1:123" ht="39.75" customHeight="1">
      <c r="A2252" s="365"/>
      <c r="B2252" s="365"/>
      <c r="C2252" s="366"/>
      <c r="D2252" s="367" t="s">
        <v>3216</v>
      </c>
      <c r="E2252" s="368" t="s">
        <v>3228</v>
      </c>
      <c r="F2252" s="365">
        <v>1</v>
      </c>
      <c r="G2252" s="326">
        <v>46002</v>
      </c>
      <c r="H2252" s="264"/>
      <c r="I2252" s="327"/>
      <c r="J2252" s="245"/>
      <c r="BJ2252" s="246"/>
    </row>
    <row r="2253" spans="1:123" ht="39.75" customHeight="1">
      <c r="A2253" s="365"/>
      <c r="B2253" s="365"/>
      <c r="C2253" s="366"/>
      <c r="D2253" s="367" t="s">
        <v>3217</v>
      </c>
      <c r="E2253" s="364" t="s">
        <v>3229</v>
      </c>
      <c r="F2253" s="365">
        <v>1</v>
      </c>
      <c r="G2253" s="326">
        <v>46002</v>
      </c>
      <c r="H2253" s="264"/>
      <c r="I2253" s="327"/>
      <c r="J2253" s="245"/>
      <c r="BJ2253" s="246"/>
    </row>
    <row r="2254" spans="1:123" ht="39.75" customHeight="1">
      <c r="A2254" s="365"/>
      <c r="B2254" s="365"/>
      <c r="C2254" s="366"/>
      <c r="D2254" s="367" t="s">
        <v>3218</v>
      </c>
      <c r="E2254" s="364" t="s">
        <v>3230</v>
      </c>
      <c r="F2254" s="365">
        <v>1</v>
      </c>
      <c r="G2254" s="326">
        <v>46002</v>
      </c>
      <c r="H2254" s="264"/>
      <c r="I2254" s="327"/>
      <c r="J2254" s="245"/>
      <c r="BJ2254" s="246"/>
    </row>
    <row r="2255" spans="1:123" ht="39.75" customHeight="1">
      <c r="A2255" s="365"/>
      <c r="B2255" s="365"/>
      <c r="C2255" s="366"/>
      <c r="D2255" s="367" t="s">
        <v>3219</v>
      </c>
      <c r="E2255" s="364" t="s">
        <v>3231</v>
      </c>
      <c r="F2255" s="365">
        <v>1</v>
      </c>
      <c r="G2255" s="326">
        <v>46002</v>
      </c>
      <c r="H2255" s="264"/>
      <c r="I2255" s="327"/>
      <c r="J2255" s="245"/>
      <c r="BJ2255" s="246"/>
    </row>
    <row r="2256" spans="1:123" ht="39.75" customHeight="1">
      <c r="A2256" s="365"/>
      <c r="B2256" s="365"/>
      <c r="C2256" s="366"/>
      <c r="D2256" s="367" t="s">
        <v>3220</v>
      </c>
      <c r="E2256" s="364" t="s">
        <v>3232</v>
      </c>
      <c r="F2256" s="365">
        <v>1</v>
      </c>
      <c r="G2256" s="326">
        <v>46002</v>
      </c>
      <c r="H2256" s="264"/>
      <c r="I2256" s="327"/>
      <c r="J2256" s="245"/>
      <c r="BJ2256" s="246"/>
    </row>
    <row r="2257" spans="1:105" ht="39.75" customHeight="1">
      <c r="A2257" s="365"/>
      <c r="B2257" s="365"/>
      <c r="C2257" s="366"/>
      <c r="D2257" s="367" t="s">
        <v>3221</v>
      </c>
      <c r="E2257" s="364" t="s">
        <v>3233</v>
      </c>
      <c r="F2257" s="365">
        <v>1</v>
      </c>
      <c r="G2257" s="326">
        <v>46002</v>
      </c>
      <c r="H2257" s="264"/>
      <c r="I2257" s="327"/>
      <c r="J2257" s="245"/>
      <c r="BJ2257" s="246"/>
    </row>
    <row r="2258" spans="1:105" ht="39.75" customHeight="1">
      <c r="A2258" s="365"/>
      <c r="B2258" s="365"/>
      <c r="C2258" s="366"/>
      <c r="D2258" s="367" t="s">
        <v>3222</v>
      </c>
      <c r="E2258" s="364" t="s">
        <v>3234</v>
      </c>
      <c r="F2258" s="365">
        <v>1</v>
      </c>
      <c r="G2258" s="326">
        <v>46002</v>
      </c>
      <c r="H2258" s="264"/>
      <c r="I2258" s="327"/>
      <c r="J2258" s="245"/>
      <c r="BJ2258" s="246"/>
    </row>
    <row r="2259" spans="1:105" ht="39.75" customHeight="1">
      <c r="A2259" s="365"/>
      <c r="B2259" s="365"/>
      <c r="C2259" s="366"/>
      <c r="D2259" s="367" t="s">
        <v>1563</v>
      </c>
      <c r="E2259" s="364" t="s">
        <v>3235</v>
      </c>
      <c r="F2259" s="365">
        <v>1</v>
      </c>
      <c r="G2259" s="326">
        <v>46002</v>
      </c>
      <c r="H2259" s="264"/>
      <c r="I2259" s="327"/>
      <c r="J2259" s="245"/>
      <c r="BJ2259" s="246"/>
    </row>
    <row r="2260" spans="1:105" ht="39.75" customHeight="1">
      <c r="A2260" s="365"/>
      <c r="B2260" s="365"/>
      <c r="C2260" s="366"/>
      <c r="D2260" s="367" t="s">
        <v>3223</v>
      </c>
      <c r="E2260" s="364" t="s">
        <v>3224</v>
      </c>
      <c r="F2260" s="365">
        <v>1</v>
      </c>
      <c r="G2260" s="326">
        <v>46002</v>
      </c>
      <c r="H2260" s="264"/>
      <c r="I2260" s="327"/>
      <c r="J2260" s="245"/>
      <c r="BJ2260" s="246"/>
    </row>
    <row r="2261" spans="1:105" ht="39.75" customHeight="1">
      <c r="A2261" s="365"/>
      <c r="B2261" s="365"/>
      <c r="C2261" s="366"/>
      <c r="D2261" s="367" t="s">
        <v>3225</v>
      </c>
      <c r="E2261" s="364" t="s">
        <v>3226</v>
      </c>
      <c r="F2261" s="365">
        <v>1</v>
      </c>
      <c r="G2261" s="326">
        <v>46002</v>
      </c>
      <c r="H2261" s="264"/>
      <c r="I2261" s="327"/>
      <c r="J2261" s="245"/>
      <c r="BJ2261" s="246"/>
    </row>
    <row r="2262" spans="1:105" ht="39.75" customHeight="1">
      <c r="A2262" s="317">
        <v>72648</v>
      </c>
      <c r="B2262" s="317" t="s">
        <v>2735</v>
      </c>
      <c r="C2262" s="316" t="s">
        <v>20</v>
      </c>
      <c r="D2262" s="307" t="s">
        <v>2736</v>
      </c>
      <c r="E2262" s="307" t="s">
        <v>2737</v>
      </c>
      <c r="F2262" s="317">
        <v>10</v>
      </c>
      <c r="G2262" s="326">
        <v>45915</v>
      </c>
      <c r="H2262" s="264"/>
      <c r="I2262" s="327" t="s">
        <v>2340</v>
      </c>
      <c r="J2262" s="245"/>
      <c r="BC2262" s="243" t="s">
        <v>2428</v>
      </c>
      <c r="BI2262" s="243" t="s">
        <v>2394</v>
      </c>
      <c r="BJ2262" s="243" t="s">
        <v>2340</v>
      </c>
      <c r="BK2262" s="243" t="s">
        <v>2340</v>
      </c>
      <c r="BL2262" s="243" t="s">
        <v>2389</v>
      </c>
      <c r="BM2262" s="243" t="s">
        <v>2427</v>
      </c>
      <c r="BN2262" s="246" t="s">
        <v>2427</v>
      </c>
      <c r="BO2262" s="246" t="s">
        <v>2426</v>
      </c>
      <c r="BP2262" s="246" t="s">
        <v>2208</v>
      </c>
      <c r="BQ2262" s="246"/>
      <c r="BR2262" s="246"/>
      <c r="BS2262" s="246"/>
      <c r="BT2262" s="246"/>
    </row>
    <row r="2263" spans="1:105" ht="39.75" customHeight="1">
      <c r="A2263" s="317">
        <v>72649</v>
      </c>
      <c r="B2263" s="317" t="s">
        <v>3147</v>
      </c>
      <c r="C2263" s="316" t="s">
        <v>20</v>
      </c>
      <c r="D2263" s="307" t="s">
        <v>3148</v>
      </c>
      <c r="E2263" s="307" t="s">
        <v>3149</v>
      </c>
      <c r="F2263" s="317">
        <v>1</v>
      </c>
      <c r="G2263" s="326">
        <v>45954</v>
      </c>
      <c r="H2263" s="264"/>
      <c r="I2263" s="327" t="s">
        <v>3160</v>
      </c>
      <c r="J2263" s="245"/>
      <c r="BN2263" s="246"/>
      <c r="BO2263" s="246"/>
      <c r="BP2263" s="246"/>
      <c r="BQ2263" s="246"/>
      <c r="BR2263" s="246"/>
      <c r="BS2263" s="246"/>
      <c r="BT2263" s="246"/>
      <c r="CH2263" s="243" t="s">
        <v>3160</v>
      </c>
      <c r="CI2263" s="243" t="s">
        <v>3160</v>
      </c>
      <c r="CJ2263" s="243" t="s">
        <v>3160</v>
      </c>
      <c r="CK2263" s="243" t="s">
        <v>3160</v>
      </c>
      <c r="CL2263" s="243" t="s">
        <v>3160</v>
      </c>
      <c r="CM2263" s="243" t="s">
        <v>3160</v>
      </c>
      <c r="CN2263" s="243" t="s">
        <v>3160</v>
      </c>
    </row>
    <row r="2264" spans="1:105" ht="39.75" customHeight="1">
      <c r="A2264" s="317">
        <v>72655</v>
      </c>
      <c r="B2264" s="317">
        <v>211252397</v>
      </c>
      <c r="C2264" s="316" t="s">
        <v>3097</v>
      </c>
      <c r="D2264" s="307" t="s">
        <v>3098</v>
      </c>
      <c r="E2264" s="307">
        <v>3371285</v>
      </c>
      <c r="F2264" s="317">
        <v>1</v>
      </c>
      <c r="G2264" s="326">
        <v>45960</v>
      </c>
      <c r="H2264" s="264" t="s">
        <v>2715</v>
      </c>
      <c r="I2264" s="327" t="s">
        <v>3161</v>
      </c>
      <c r="J2264" s="245"/>
      <c r="BN2264" s="246"/>
      <c r="BO2264" s="246"/>
      <c r="BP2264" s="246"/>
      <c r="BQ2264" s="246"/>
      <c r="BR2264" s="246"/>
      <c r="BS2264" s="246"/>
      <c r="BT2264" s="246"/>
      <c r="BZ2264" s="243" t="s">
        <v>2528</v>
      </c>
      <c r="CA2264" s="243" t="s">
        <v>2558</v>
      </c>
      <c r="CB2264" s="243" t="s">
        <v>2558</v>
      </c>
      <c r="CC2264" s="243" t="s">
        <v>2558</v>
      </c>
      <c r="CD2264" s="243" t="s">
        <v>2558</v>
      </c>
      <c r="CE2264" s="243" t="s">
        <v>2558</v>
      </c>
      <c r="CF2264" s="243" t="s">
        <v>2558</v>
      </c>
      <c r="CG2264" s="243" t="s">
        <v>3099</v>
      </c>
      <c r="CH2264" s="243" t="s">
        <v>2555</v>
      </c>
      <c r="CI2264" s="243" t="s">
        <v>2555</v>
      </c>
      <c r="CJ2264" s="243" t="s">
        <v>2555</v>
      </c>
      <c r="CK2264" s="243" t="s">
        <v>2555</v>
      </c>
      <c r="CL2264" s="243" t="s">
        <v>2555</v>
      </c>
      <c r="CM2264" s="243" t="s">
        <v>3100</v>
      </c>
      <c r="CN2264" s="243" t="s">
        <v>3100</v>
      </c>
      <c r="CO2264" s="243" t="s">
        <v>3100</v>
      </c>
      <c r="CP2264" s="243" t="s">
        <v>3101</v>
      </c>
      <c r="CQ2264" s="243" t="s">
        <v>3101</v>
      </c>
      <c r="CR2264" s="243" t="s">
        <v>3101</v>
      </c>
      <c r="CS2264" s="243" t="s">
        <v>3101</v>
      </c>
      <c r="CT2264" s="243" t="s">
        <v>2225</v>
      </c>
      <c r="CU2264" s="243" t="s">
        <v>2225</v>
      </c>
      <c r="CV2264" s="243" t="s">
        <v>2225</v>
      </c>
      <c r="CW2264" s="243" t="s">
        <v>2398</v>
      </c>
      <c r="CX2264" s="243" t="s">
        <v>2398</v>
      </c>
      <c r="CY2264" s="243" t="s">
        <v>2398</v>
      </c>
      <c r="CZ2264" s="243" t="s">
        <v>2426</v>
      </c>
      <c r="DA2264" s="243" t="s">
        <v>2208</v>
      </c>
    </row>
    <row r="2265" spans="1:105" ht="39.75" customHeight="1">
      <c r="A2265" s="317">
        <v>72674</v>
      </c>
      <c r="B2265" s="317">
        <v>280103799</v>
      </c>
      <c r="C2265" s="316" t="s">
        <v>167</v>
      </c>
      <c r="D2265" s="307" t="s">
        <v>3162</v>
      </c>
      <c r="E2265" s="307" t="s">
        <v>3163</v>
      </c>
      <c r="F2265" s="317">
        <v>1</v>
      </c>
      <c r="G2265" s="326">
        <v>45968</v>
      </c>
      <c r="H2265" s="264"/>
      <c r="I2265" s="327" t="s">
        <v>3164</v>
      </c>
      <c r="J2265" s="245"/>
      <c r="BN2265" s="246"/>
      <c r="BO2265" s="246"/>
      <c r="BP2265" s="246"/>
      <c r="BQ2265" s="246"/>
      <c r="BR2265" s="246"/>
      <c r="BS2265" s="246"/>
      <c r="BT2265" s="246"/>
    </row>
    <row r="2266" spans="1:105" ht="39.75" customHeight="1">
      <c r="A2266" s="317"/>
      <c r="B2266" s="317"/>
      <c r="C2266" s="316"/>
      <c r="D2266" s="307"/>
      <c r="E2266" s="307"/>
      <c r="F2266" s="317"/>
      <c r="G2266" s="326"/>
      <c r="H2266" s="264"/>
      <c r="I2266" s="327"/>
      <c r="J2266" s="245"/>
      <c r="BN2266" s="246"/>
      <c r="BO2266" s="246"/>
      <c r="BP2266" s="246"/>
      <c r="BQ2266" s="246"/>
      <c r="BR2266" s="246"/>
      <c r="BS2266" s="246"/>
      <c r="BT2266" s="246"/>
    </row>
    <row r="2267" spans="1:105" ht="39.75" customHeight="1">
      <c r="A2267" s="317"/>
      <c r="B2267" s="317"/>
      <c r="C2267" s="316"/>
      <c r="D2267" s="307"/>
      <c r="E2267" s="307"/>
      <c r="F2267" s="317"/>
      <c r="G2267" s="326"/>
      <c r="H2267" s="264"/>
      <c r="I2267" s="327"/>
      <c r="J2267" s="245"/>
      <c r="BN2267" s="246"/>
      <c r="BO2267" s="246"/>
      <c r="BP2267" s="246"/>
      <c r="BQ2267" s="246"/>
      <c r="BR2267" s="246"/>
      <c r="BS2267" s="246"/>
      <c r="BT2267" s="246"/>
    </row>
    <row r="2268" spans="1:105" ht="39.75" customHeight="1">
      <c r="A2268" s="317"/>
      <c r="B2268" s="317"/>
      <c r="C2268" s="316"/>
      <c r="D2268" s="307"/>
      <c r="E2268" s="307"/>
      <c r="F2268" s="317"/>
      <c r="G2268" s="326"/>
      <c r="H2268" s="264"/>
      <c r="I2268" s="327"/>
      <c r="J2268" s="245"/>
      <c r="BN2268" s="246"/>
      <c r="BO2268" s="246"/>
      <c r="BP2268" s="246"/>
      <c r="BQ2268" s="246"/>
      <c r="BR2268" s="246"/>
      <c r="BS2268" s="246"/>
      <c r="BT2268" s="246"/>
    </row>
    <row r="2269" spans="1:105" ht="39.75" customHeight="1">
      <c r="A2269" s="317"/>
      <c r="B2269" s="317"/>
      <c r="C2269" s="316"/>
      <c r="D2269" s="307"/>
      <c r="E2269" s="307"/>
      <c r="F2269" s="317"/>
      <c r="G2269" s="326"/>
      <c r="H2269" s="264"/>
      <c r="I2269" s="327"/>
      <c r="J2269" s="245"/>
      <c r="BN2269" s="246"/>
      <c r="BO2269" s="246"/>
      <c r="BP2269" s="246"/>
      <c r="BQ2269" s="246"/>
      <c r="BR2269" s="246"/>
      <c r="BS2269" s="246"/>
      <c r="BT2269" s="246"/>
    </row>
    <row r="2270" spans="1:105" ht="39.75" customHeight="1">
      <c r="A2270" s="317"/>
      <c r="B2270" s="317"/>
      <c r="C2270" s="316"/>
      <c r="D2270" s="307"/>
      <c r="E2270" s="307"/>
      <c r="F2270" s="317"/>
      <c r="G2270" s="326"/>
      <c r="H2270" s="264"/>
      <c r="I2270" s="327"/>
      <c r="J2270" s="245"/>
      <c r="BN2270" s="246"/>
      <c r="BO2270" s="246"/>
      <c r="BP2270" s="246"/>
      <c r="BQ2270" s="246"/>
      <c r="BR2270" s="246"/>
      <c r="BS2270" s="246"/>
      <c r="BT2270" s="246"/>
    </row>
    <row r="2271" spans="1:105" ht="39.75" customHeight="1">
      <c r="A2271" s="317"/>
      <c r="B2271" s="317"/>
      <c r="C2271" s="316"/>
      <c r="D2271" s="307"/>
      <c r="E2271" s="307"/>
      <c r="F2271" s="317"/>
      <c r="G2271" s="326"/>
      <c r="H2271" s="264"/>
      <c r="I2271" s="327"/>
      <c r="J2271" s="245"/>
      <c r="BN2271" s="246"/>
      <c r="BO2271" s="246"/>
      <c r="BP2271" s="246"/>
      <c r="BQ2271" s="246"/>
      <c r="BR2271" s="246"/>
      <c r="BS2271" s="246"/>
      <c r="BT2271" s="246"/>
    </row>
    <row r="2272" spans="1:105" ht="39.75" customHeight="1">
      <c r="A2272" s="317"/>
      <c r="B2272" s="317"/>
      <c r="C2272" s="316"/>
      <c r="D2272" s="307"/>
      <c r="E2272" s="307"/>
      <c r="F2272" s="317"/>
      <c r="G2272" s="326"/>
      <c r="H2272" s="264"/>
      <c r="I2272" s="327"/>
      <c r="J2272" s="245"/>
      <c r="BN2272" s="246"/>
      <c r="BO2272" s="246"/>
      <c r="BP2272" s="246"/>
      <c r="BQ2272" s="246"/>
      <c r="BR2272" s="246"/>
      <c r="BS2272" s="246"/>
      <c r="BT2272" s="246"/>
    </row>
    <row r="2273" spans="1:87" ht="39.75" customHeight="1">
      <c r="A2273" s="317"/>
      <c r="B2273" s="317"/>
      <c r="C2273" s="316"/>
      <c r="D2273" s="307"/>
      <c r="E2273" s="307"/>
      <c r="F2273" s="317"/>
      <c r="G2273" s="326"/>
      <c r="H2273" s="264"/>
      <c r="I2273" s="327"/>
      <c r="J2273" s="245"/>
      <c r="BN2273" s="246"/>
      <c r="BO2273" s="246"/>
      <c r="BP2273" s="246"/>
      <c r="BQ2273" s="246"/>
      <c r="BR2273" s="246"/>
      <c r="BS2273" s="246"/>
      <c r="BT2273" s="246"/>
    </row>
    <row r="2274" spans="1:87" ht="39.75" customHeight="1">
      <c r="A2274" s="317"/>
      <c r="B2274" s="317"/>
      <c r="C2274" s="316"/>
      <c r="D2274" s="307"/>
      <c r="E2274" s="307"/>
      <c r="F2274" s="317"/>
      <c r="G2274" s="326"/>
      <c r="H2274" s="264"/>
      <c r="I2274" s="327"/>
      <c r="J2274" s="245"/>
      <c r="BN2274" s="246"/>
      <c r="BO2274" s="246"/>
      <c r="BP2274" s="246"/>
      <c r="BQ2274" s="246"/>
      <c r="BR2274" s="246"/>
      <c r="BS2274" s="246"/>
      <c r="BT2274" s="246"/>
    </row>
    <row r="2275" spans="1:87" ht="39.75" customHeight="1">
      <c r="A2275" s="317"/>
      <c r="B2275" s="317"/>
      <c r="C2275" s="316"/>
      <c r="D2275" s="307"/>
      <c r="E2275" s="307"/>
      <c r="F2275" s="317"/>
      <c r="G2275" s="326"/>
      <c r="H2275" s="264"/>
      <c r="I2275" s="327"/>
      <c r="J2275" s="245"/>
      <c r="BN2275" s="246"/>
      <c r="BO2275" s="246"/>
      <c r="BP2275" s="246"/>
      <c r="BQ2275" s="246"/>
      <c r="BR2275" s="246"/>
      <c r="BS2275" s="246"/>
      <c r="BT2275" s="246"/>
    </row>
    <row r="2276" spans="1:87" ht="39.75" customHeight="1">
      <c r="A2276" s="317"/>
      <c r="B2276" s="317"/>
      <c r="C2276" s="316"/>
      <c r="D2276" s="307"/>
      <c r="E2276" s="307"/>
      <c r="F2276" s="317"/>
      <c r="G2276" s="326"/>
      <c r="H2276" s="264"/>
      <c r="I2276" s="327"/>
      <c r="J2276" s="245"/>
      <c r="BN2276" s="246"/>
      <c r="BO2276" s="246"/>
      <c r="BP2276" s="246"/>
      <c r="BQ2276" s="246"/>
      <c r="BR2276" s="246"/>
      <c r="BS2276" s="246"/>
      <c r="BT2276" s="246"/>
    </row>
    <row r="2277" spans="1:87" ht="39.75" customHeight="1">
      <c r="A2277" s="317"/>
      <c r="B2277" s="317"/>
      <c r="C2277" s="316"/>
      <c r="D2277" s="307"/>
      <c r="E2277" s="307"/>
      <c r="F2277" s="317"/>
      <c r="G2277" s="326"/>
      <c r="H2277" s="264"/>
      <c r="I2277" s="327"/>
      <c r="J2277" s="245"/>
      <c r="BN2277" s="246"/>
      <c r="BO2277" s="246"/>
      <c r="BP2277" s="246"/>
      <c r="BQ2277" s="246"/>
      <c r="BR2277" s="246"/>
      <c r="BS2277" s="246"/>
      <c r="BT2277" s="246"/>
    </row>
    <row r="2278" spans="1:87" ht="39.75" customHeight="1">
      <c r="A2278" s="317"/>
      <c r="B2278" s="317"/>
      <c r="C2278" s="316"/>
      <c r="D2278" s="307"/>
      <c r="E2278" s="307"/>
      <c r="F2278" s="317"/>
      <c r="G2278" s="326"/>
      <c r="H2278" s="264"/>
      <c r="I2278" s="327"/>
      <c r="J2278" s="245"/>
      <c r="BN2278" s="246"/>
      <c r="BO2278" s="246"/>
      <c r="BP2278" s="246"/>
      <c r="BQ2278" s="246"/>
      <c r="BR2278" s="246"/>
      <c r="BS2278" s="246"/>
      <c r="BT2278" s="246"/>
    </row>
    <row r="2279" spans="1:87" ht="39.75" customHeight="1">
      <c r="A2279" s="317"/>
      <c r="B2279" s="317"/>
      <c r="C2279" s="316"/>
      <c r="D2279" s="307"/>
      <c r="E2279" s="307"/>
      <c r="F2279" s="317"/>
      <c r="G2279" s="326"/>
      <c r="H2279" s="264"/>
      <c r="I2279" s="327"/>
      <c r="J2279" s="245"/>
      <c r="BN2279" s="246"/>
      <c r="BO2279" s="246"/>
      <c r="BP2279" s="246"/>
      <c r="BQ2279" s="246"/>
      <c r="BR2279" s="246"/>
      <c r="BS2279" s="246"/>
      <c r="BT2279" s="246"/>
    </row>
    <row r="2280" spans="1:87" ht="39.75" customHeight="1">
      <c r="A2280" s="317">
        <v>72676</v>
      </c>
      <c r="B2280" s="317">
        <v>280103799</v>
      </c>
      <c r="C2280" s="316" t="s">
        <v>167</v>
      </c>
      <c r="D2280" s="307" t="s">
        <v>2817</v>
      </c>
      <c r="E2280" s="307" t="s">
        <v>2818</v>
      </c>
      <c r="F2280" s="317">
        <v>1</v>
      </c>
      <c r="G2280" s="326">
        <v>45968</v>
      </c>
      <c r="H2280" s="264"/>
      <c r="I2280" s="327" t="s">
        <v>2394</v>
      </c>
      <c r="J2280" s="245"/>
      <c r="BH2280" s="243" t="s">
        <v>2394</v>
      </c>
      <c r="BJ2280" s="243" t="s">
        <v>2340</v>
      </c>
      <c r="BK2280" s="243" t="s">
        <v>2340</v>
      </c>
      <c r="BL2280" s="243" t="s">
        <v>2331</v>
      </c>
      <c r="BM2280" s="243" t="s">
        <v>2331</v>
      </c>
      <c r="BN2280" s="246" t="s">
        <v>2389</v>
      </c>
      <c r="BO2280" s="246" t="s">
        <v>2427</v>
      </c>
      <c r="BP2280" s="246" t="s">
        <v>2427</v>
      </c>
      <c r="BQ2280" s="246" t="s">
        <v>2426</v>
      </c>
      <c r="BR2280" s="246"/>
      <c r="BS2280" s="246"/>
      <c r="BT2280" s="246"/>
    </row>
    <row r="2281" spans="1:87" ht="39.75" customHeight="1">
      <c r="A2281" s="317">
        <v>72677</v>
      </c>
      <c r="B2281" s="317">
        <v>280103799</v>
      </c>
      <c r="C2281" s="316" t="s">
        <v>167</v>
      </c>
      <c r="D2281" s="307" t="s">
        <v>2816</v>
      </c>
      <c r="E2281" s="307" t="s">
        <v>2815</v>
      </c>
      <c r="F2281" s="317">
        <v>1</v>
      </c>
      <c r="G2281" s="326">
        <v>45968</v>
      </c>
      <c r="H2281" s="264"/>
      <c r="I2281" s="327" t="s">
        <v>2394</v>
      </c>
      <c r="J2281" s="245"/>
      <c r="BH2281" s="243" t="s">
        <v>2394</v>
      </c>
      <c r="BJ2281" s="243" t="s">
        <v>2340</v>
      </c>
      <c r="BK2281" s="243" t="s">
        <v>2340</v>
      </c>
      <c r="BL2281" s="243" t="s">
        <v>2417</v>
      </c>
      <c r="BM2281" s="243" t="s">
        <v>2417</v>
      </c>
      <c r="BN2281" s="246" t="s">
        <v>2389</v>
      </c>
      <c r="BO2281" s="246" t="s">
        <v>2427</v>
      </c>
      <c r="BP2281" s="246" t="s">
        <v>2427</v>
      </c>
      <c r="BQ2281" s="246" t="s">
        <v>2426</v>
      </c>
      <c r="BR2281" s="246"/>
      <c r="BS2281" s="246"/>
      <c r="BT2281" s="246"/>
    </row>
    <row r="2282" spans="1:87" ht="62.25">
      <c r="A2282" s="317">
        <v>72680</v>
      </c>
      <c r="B2282" s="317">
        <v>7000545635</v>
      </c>
      <c r="C2282" s="264" t="s">
        <v>2718</v>
      </c>
      <c r="D2282" s="264" t="s">
        <v>2719</v>
      </c>
      <c r="E2282" s="316" t="s">
        <v>2720</v>
      </c>
      <c r="F2282" s="317">
        <v>1</v>
      </c>
      <c r="G2282" s="265">
        <v>45905</v>
      </c>
      <c r="H2282" s="283" t="s">
        <v>2762</v>
      </c>
      <c r="I2282" s="308" t="s">
        <v>2340</v>
      </c>
      <c r="J2282" s="245"/>
      <c r="BD2282" s="243" t="s">
        <v>2428</v>
      </c>
      <c r="BI2282" s="243" t="s">
        <v>2394</v>
      </c>
      <c r="BJ2282" s="243" t="s">
        <v>2340</v>
      </c>
      <c r="BK2282" s="243" t="s">
        <v>2340</v>
      </c>
      <c r="BL2282" s="243" t="s">
        <v>2389</v>
      </c>
      <c r="BM2282" s="243" t="s">
        <v>2553</v>
      </c>
      <c r="BN2282" s="243" t="s">
        <v>2553</v>
      </c>
      <c r="BO2282" s="243" t="s">
        <v>2225</v>
      </c>
      <c r="BP2282" s="243" t="s">
        <v>2225</v>
      </c>
      <c r="BQ2282" s="243" t="s">
        <v>2426</v>
      </c>
      <c r="BR2282" s="243" t="s">
        <v>2208</v>
      </c>
    </row>
    <row r="2283" spans="1:87">
      <c r="A2283" s="317">
        <v>72682</v>
      </c>
      <c r="B2283" s="317"/>
      <c r="C2283" s="264" t="s">
        <v>164</v>
      </c>
      <c r="D2283" s="264" t="s">
        <v>2767</v>
      </c>
      <c r="E2283" s="307">
        <v>700790168</v>
      </c>
      <c r="F2283" s="317">
        <v>1</v>
      </c>
      <c r="G2283" s="265">
        <v>45898</v>
      </c>
      <c r="H2283" s="283"/>
      <c r="I2283" s="308" t="s">
        <v>2386</v>
      </c>
      <c r="J2283" s="245"/>
      <c r="BG2283" s="243" t="s">
        <v>2386</v>
      </c>
      <c r="BI2283" s="243" t="s">
        <v>2528</v>
      </c>
      <c r="BJ2283" s="243" t="s">
        <v>2528</v>
      </c>
      <c r="BK2283" s="243" t="s">
        <v>2417</v>
      </c>
      <c r="BL2283" s="243" t="s">
        <v>2417</v>
      </c>
      <c r="BM2283" s="243" t="s">
        <v>2558</v>
      </c>
      <c r="BN2283" s="243" t="s">
        <v>2558</v>
      </c>
      <c r="BO2283" s="243" t="s">
        <v>2525</v>
      </c>
      <c r="BP2283" s="243" t="s">
        <v>2525</v>
      </c>
      <c r="BQ2283" s="243" t="s">
        <v>2768</v>
      </c>
      <c r="BR2283" s="243" t="s">
        <v>2768</v>
      </c>
      <c r="BS2283" s="243" t="s">
        <v>2389</v>
      </c>
      <c r="BT2283" s="243" t="s">
        <v>2389</v>
      </c>
      <c r="BU2283" s="243" t="s">
        <v>2225</v>
      </c>
      <c r="BV2283" s="243" t="s">
        <v>2339</v>
      </c>
      <c r="BW2283" s="243" t="s">
        <v>2339</v>
      </c>
      <c r="BX2283" s="243" t="s">
        <v>2225</v>
      </c>
      <c r="BY2283" s="243" t="s">
        <v>2225</v>
      </c>
      <c r="BZ2283" s="243" t="s">
        <v>2426</v>
      </c>
      <c r="CA2283" s="243" t="s">
        <v>2769</v>
      </c>
      <c r="CB2283" s="243" t="s">
        <v>2769</v>
      </c>
      <c r="CC2283" s="243" t="s">
        <v>2769</v>
      </c>
      <c r="CD2283" s="243" t="s">
        <v>2769</v>
      </c>
      <c r="CE2283" s="243" t="s">
        <v>2769</v>
      </c>
      <c r="CF2283" s="243" t="s">
        <v>2769</v>
      </c>
      <c r="CG2283" s="243" t="s">
        <v>2769</v>
      </c>
      <c r="CH2283" s="243" t="s">
        <v>2426</v>
      </c>
      <c r="CI2283" s="243" t="s">
        <v>2208</v>
      </c>
    </row>
    <row r="2284" spans="1:87">
      <c r="A2284" s="317"/>
      <c r="B2284" s="317"/>
      <c r="C2284" s="264"/>
      <c r="D2284" s="264" t="s">
        <v>2770</v>
      </c>
      <c r="E2284" s="307">
        <v>700709292</v>
      </c>
      <c r="F2284" s="317">
        <v>1</v>
      </c>
      <c r="G2284" s="265">
        <v>45861</v>
      </c>
      <c r="H2284" s="283"/>
      <c r="I2284" s="308" t="s">
        <v>2389</v>
      </c>
      <c r="J2284" s="245"/>
      <c r="BG2284" s="243" t="s">
        <v>2389</v>
      </c>
      <c r="BI2284" s="243" t="s">
        <v>2225</v>
      </c>
      <c r="BJ2284" s="243" t="s">
        <v>2225</v>
      </c>
    </row>
    <row r="2285" spans="1:87">
      <c r="A2285" s="317"/>
      <c r="B2285" s="317"/>
      <c r="C2285" s="264"/>
      <c r="D2285" s="264" t="s">
        <v>2810</v>
      </c>
      <c r="E2285" s="307">
        <v>700710259</v>
      </c>
      <c r="F2285" s="317">
        <v>1</v>
      </c>
      <c r="G2285" s="265">
        <v>45861</v>
      </c>
      <c r="H2285" s="283"/>
      <c r="I2285" s="308" t="s">
        <v>2637</v>
      </c>
      <c r="J2285" s="245"/>
      <c r="BF2285" s="243" t="s">
        <v>2366</v>
      </c>
      <c r="BG2285" s="243" t="s">
        <v>2637</v>
      </c>
      <c r="BH2285" s="243" t="s">
        <v>2637</v>
      </c>
      <c r="BI2285" s="243" t="s">
        <v>2637</v>
      </c>
      <c r="BJ2285" s="243" t="s">
        <v>2389</v>
      </c>
      <c r="BK2285" s="243" t="s">
        <v>2225</v>
      </c>
      <c r="BL2285" s="243" t="s">
        <v>2225</v>
      </c>
    </row>
    <row r="2286" spans="1:87">
      <c r="A2286" s="317">
        <v>72683</v>
      </c>
      <c r="B2286" s="317" t="s">
        <v>2728</v>
      </c>
      <c r="C2286" s="264" t="s">
        <v>42</v>
      </c>
      <c r="D2286" s="264" t="s">
        <v>2729</v>
      </c>
      <c r="E2286" s="316" t="s">
        <v>253</v>
      </c>
      <c r="F2286" s="317">
        <v>1</v>
      </c>
      <c r="G2286" s="265">
        <v>45909</v>
      </c>
      <c r="H2286" s="264"/>
      <c r="I2286" s="308" t="s">
        <v>2340</v>
      </c>
      <c r="J2286" s="245"/>
      <c r="BG2286" s="243" t="s">
        <v>2331</v>
      </c>
      <c r="BI2286" s="243" t="s">
        <v>2389</v>
      </c>
      <c r="BJ2286" s="243" t="s">
        <v>2225</v>
      </c>
      <c r="BK2286" s="243" t="s">
        <v>2225</v>
      </c>
      <c r="BL2286" s="243" t="s">
        <v>2730</v>
      </c>
      <c r="BM2286" s="243" t="s">
        <v>2339</v>
      </c>
      <c r="BN2286" s="243" t="s">
        <v>2339</v>
      </c>
      <c r="BO2286" s="243" t="s">
        <v>2253</v>
      </c>
      <c r="BP2286" s="243" t="s">
        <v>2225</v>
      </c>
      <c r="BQ2286" s="243" t="s">
        <v>2225</v>
      </c>
      <c r="BR2286" s="243" t="s">
        <v>2340</v>
      </c>
      <c r="BS2286" s="243" t="s">
        <v>2731</v>
      </c>
      <c r="BT2286" s="243" t="s">
        <v>2389</v>
      </c>
      <c r="BU2286" s="243" t="s">
        <v>2225</v>
      </c>
      <c r="BV2286" s="243" t="s">
        <v>2225</v>
      </c>
      <c r="BW2286" s="243" t="s">
        <v>2426</v>
      </c>
      <c r="BX2286" s="243" t="s">
        <v>2208</v>
      </c>
    </row>
    <row r="2287" spans="1:87">
      <c r="A2287" s="317">
        <v>72684</v>
      </c>
      <c r="B2287" s="317">
        <v>4590038772</v>
      </c>
      <c r="C2287" s="264" t="s">
        <v>338</v>
      </c>
      <c r="D2287" s="264" t="s">
        <v>2899</v>
      </c>
      <c r="E2287" s="316" t="s">
        <v>2900</v>
      </c>
      <c r="F2287" s="317">
        <v>1</v>
      </c>
      <c r="G2287" s="265">
        <v>45920</v>
      </c>
      <c r="H2287" s="264"/>
      <c r="I2287" s="308" t="s">
        <v>2196</v>
      </c>
      <c r="J2287" s="245"/>
      <c r="BH2287" s="243" t="s">
        <v>2196</v>
      </c>
      <c r="BJ2287" s="243" t="s">
        <v>2394</v>
      </c>
      <c r="BK2287" s="243" t="s">
        <v>2394</v>
      </c>
      <c r="BL2287" s="243" t="s">
        <v>2225</v>
      </c>
      <c r="BM2287" s="243" t="s">
        <v>2417</v>
      </c>
      <c r="BN2287" s="243" t="s">
        <v>2417</v>
      </c>
      <c r="BO2287" s="243" t="s">
        <v>2389</v>
      </c>
      <c r="BP2287" s="243" t="s">
        <v>2225</v>
      </c>
      <c r="BQ2287" s="243" t="s">
        <v>2225</v>
      </c>
      <c r="BR2287" s="243" t="s">
        <v>2426</v>
      </c>
      <c r="BS2287" s="243" t="s">
        <v>2208</v>
      </c>
    </row>
    <row r="2288" spans="1:87">
      <c r="A2288" s="317">
        <v>72685</v>
      </c>
      <c r="B2288" s="317">
        <v>4590038772</v>
      </c>
      <c r="C2288" s="264" t="s">
        <v>338</v>
      </c>
      <c r="D2288" s="264" t="s">
        <v>2800</v>
      </c>
      <c r="E2288" s="316" t="s">
        <v>2801</v>
      </c>
      <c r="F2288" s="317">
        <v>1</v>
      </c>
      <c r="G2288" s="265">
        <v>45920</v>
      </c>
      <c r="H2288" s="264"/>
      <c r="I2288" s="308" t="s">
        <v>2196</v>
      </c>
      <c r="J2288" s="245"/>
      <c r="BH2288" s="243" t="s">
        <v>2196</v>
      </c>
      <c r="BJ2288" s="243" t="s">
        <v>2394</v>
      </c>
      <c r="BK2288" s="243" t="s">
        <v>2394</v>
      </c>
      <c r="BL2288" s="243" t="s">
        <v>2225</v>
      </c>
      <c r="BM2288" s="243" t="s">
        <v>2417</v>
      </c>
      <c r="BN2288" s="243" t="s">
        <v>2417</v>
      </c>
      <c r="BO2288" s="243" t="s">
        <v>2225</v>
      </c>
      <c r="BP2288" s="243" t="s">
        <v>2225</v>
      </c>
      <c r="BQ2288" s="243" t="s">
        <v>2426</v>
      </c>
      <c r="BR2288" s="243" t="s">
        <v>2208</v>
      </c>
    </row>
    <row r="2289" spans="1:103">
      <c r="A2289" s="317"/>
      <c r="B2289" s="317"/>
      <c r="C2289" s="264"/>
      <c r="D2289" s="264" t="s">
        <v>2804</v>
      </c>
      <c r="E2289" s="316" t="s">
        <v>2805</v>
      </c>
      <c r="F2289" s="317">
        <v>1</v>
      </c>
      <c r="G2289" s="265">
        <v>45920</v>
      </c>
      <c r="H2289" s="264"/>
      <c r="I2289" s="308" t="s">
        <v>2196</v>
      </c>
      <c r="J2289" s="245"/>
      <c r="BH2289" s="243" t="s">
        <v>2196</v>
      </c>
      <c r="BJ2289" s="243" t="s">
        <v>2394</v>
      </c>
      <c r="BK2289" s="243" t="s">
        <v>2394</v>
      </c>
      <c r="BL2289" s="243" t="s">
        <v>2225</v>
      </c>
      <c r="BM2289" s="243" t="s">
        <v>2417</v>
      </c>
      <c r="BN2289" s="243" t="s">
        <v>2417</v>
      </c>
      <c r="BO2289" s="243" t="s">
        <v>2225</v>
      </c>
      <c r="BP2289" s="243" t="s">
        <v>2225</v>
      </c>
      <c r="BQ2289" s="243" t="s">
        <v>2426</v>
      </c>
      <c r="BR2289" s="243" t="s">
        <v>2208</v>
      </c>
    </row>
    <row r="2290" spans="1:103">
      <c r="A2290" s="317"/>
      <c r="B2290" s="317"/>
      <c r="C2290" s="264"/>
      <c r="D2290" s="264" t="s">
        <v>2802</v>
      </c>
      <c r="E2290" s="316" t="s">
        <v>2803</v>
      </c>
      <c r="F2290" s="317">
        <v>2</v>
      </c>
      <c r="G2290" s="265">
        <v>45920</v>
      </c>
      <c r="H2290" s="264"/>
      <c r="I2290" s="308" t="s">
        <v>2196</v>
      </c>
      <c r="J2290" s="245"/>
      <c r="BH2290" s="243" t="s">
        <v>2196</v>
      </c>
      <c r="BJ2290" s="243" t="s">
        <v>2394</v>
      </c>
      <c r="BK2290" s="243" t="s">
        <v>2394</v>
      </c>
      <c r="BL2290" s="243" t="s">
        <v>2225</v>
      </c>
      <c r="BM2290" s="243" t="s">
        <v>2331</v>
      </c>
      <c r="BN2290" s="243" t="s">
        <v>2331</v>
      </c>
      <c r="BO2290" s="243" t="s">
        <v>2225</v>
      </c>
      <c r="BP2290" s="243" t="s">
        <v>2225</v>
      </c>
      <c r="BQ2290" s="243" t="s">
        <v>2426</v>
      </c>
    </row>
    <row r="2291" spans="1:103">
      <c r="A2291" s="317"/>
      <c r="B2291" s="317"/>
      <c r="C2291" s="264"/>
      <c r="D2291" s="264" t="s">
        <v>2881</v>
      </c>
      <c r="E2291" s="316" t="s">
        <v>2880</v>
      </c>
      <c r="F2291" s="317">
        <v>1</v>
      </c>
      <c r="G2291" s="265">
        <v>45920</v>
      </c>
      <c r="H2291" s="264"/>
      <c r="I2291" s="308" t="s">
        <v>2394</v>
      </c>
      <c r="J2291" s="245"/>
      <c r="BK2291" s="243" t="s">
        <v>2394</v>
      </c>
      <c r="BL2291" s="243" t="s">
        <v>2417</v>
      </c>
      <c r="BM2291" s="243" t="s">
        <v>2417</v>
      </c>
      <c r="BN2291" s="243" t="s">
        <v>2389</v>
      </c>
      <c r="BO2291" s="243" t="s">
        <v>2225</v>
      </c>
      <c r="BP2291" s="243" t="s">
        <v>2225</v>
      </c>
      <c r="BQ2291" s="243" t="s">
        <v>2426</v>
      </c>
    </row>
    <row r="2292" spans="1:103">
      <c r="A2292" s="317">
        <v>72686</v>
      </c>
      <c r="B2292" s="317">
        <v>4590038772</v>
      </c>
      <c r="C2292" s="264" t="s">
        <v>338</v>
      </c>
      <c r="D2292" s="264" t="s">
        <v>2877</v>
      </c>
      <c r="E2292" s="316" t="s">
        <v>2878</v>
      </c>
      <c r="F2292" s="317">
        <v>1</v>
      </c>
      <c r="G2292" s="265">
        <v>45920</v>
      </c>
      <c r="H2292" s="264"/>
      <c r="I2292" s="308" t="s">
        <v>2394</v>
      </c>
      <c r="J2292" s="245"/>
      <c r="BK2292" s="243" t="s">
        <v>2394</v>
      </c>
      <c r="BL2292" s="243" t="s">
        <v>2225</v>
      </c>
      <c r="BM2292" s="243" t="s">
        <v>2761</v>
      </c>
      <c r="BN2292" s="243" t="s">
        <v>2761</v>
      </c>
      <c r="BO2292" s="243" t="s">
        <v>2331</v>
      </c>
      <c r="BP2292" s="243" t="s">
        <v>2331</v>
      </c>
      <c r="BQ2292" s="243" t="s">
        <v>2389</v>
      </c>
      <c r="BR2292" s="243" t="s">
        <v>2225</v>
      </c>
      <c r="BS2292" s="243" t="s">
        <v>2225</v>
      </c>
    </row>
    <row r="2293" spans="1:103">
      <c r="A2293" s="317"/>
      <c r="B2293" s="317"/>
      <c r="C2293" s="264"/>
      <c r="D2293" s="264" t="s">
        <v>495</v>
      </c>
      <c r="E2293" s="316" t="s">
        <v>2879</v>
      </c>
      <c r="F2293" s="317">
        <v>1</v>
      </c>
      <c r="G2293" s="265">
        <v>45920</v>
      </c>
      <c r="H2293" s="264"/>
      <c r="I2293" s="308" t="s">
        <v>2394</v>
      </c>
      <c r="J2293" s="245"/>
      <c r="BK2293" s="243" t="s">
        <v>2394</v>
      </c>
      <c r="BL2293" s="243" t="s">
        <v>2225</v>
      </c>
      <c r="BM2293" s="243" t="s">
        <v>2340</v>
      </c>
      <c r="BN2293" s="243" t="s">
        <v>2340</v>
      </c>
      <c r="BO2293" s="243" t="s">
        <v>2331</v>
      </c>
      <c r="BP2293" s="243" t="s">
        <v>2331</v>
      </c>
      <c r="BQ2293" s="243" t="s">
        <v>2389</v>
      </c>
      <c r="BR2293" s="243" t="s">
        <v>2225</v>
      </c>
      <c r="BS2293" s="243" t="s">
        <v>2225</v>
      </c>
    </row>
    <row r="2294" spans="1:103">
      <c r="A2294" s="317">
        <v>72687</v>
      </c>
      <c r="B2294" s="317" t="s">
        <v>2792</v>
      </c>
      <c r="C2294" s="264" t="s">
        <v>2222</v>
      </c>
      <c r="D2294" s="264" t="s">
        <v>2793</v>
      </c>
      <c r="E2294" s="316" t="s">
        <v>2794</v>
      </c>
      <c r="F2294" s="317">
        <v>5</v>
      </c>
      <c r="G2294" s="265">
        <v>45926</v>
      </c>
      <c r="H2294" s="264"/>
      <c r="I2294" s="308" t="s">
        <v>2196</v>
      </c>
      <c r="J2294" s="245"/>
      <c r="BG2294" s="243" t="s">
        <v>2488</v>
      </c>
      <c r="BH2294" s="243" t="s">
        <v>2196</v>
      </c>
      <c r="BI2294" s="243" t="s">
        <v>2394</v>
      </c>
      <c r="BJ2294" s="243" t="s">
        <v>2340</v>
      </c>
      <c r="BK2294" s="243" t="s">
        <v>2340</v>
      </c>
      <c r="BL2294" s="243" t="s">
        <v>2331</v>
      </c>
      <c r="BM2294" s="243" t="s">
        <v>2331</v>
      </c>
      <c r="BN2294" s="243" t="s">
        <v>2389</v>
      </c>
      <c r="BO2294" s="243" t="s">
        <v>2225</v>
      </c>
      <c r="BP2294" s="243" t="s">
        <v>2205</v>
      </c>
      <c r="BQ2294" s="243" t="s">
        <v>2339</v>
      </c>
      <c r="BR2294" s="243" t="s">
        <v>2339</v>
      </c>
      <c r="BS2294" s="243" t="s">
        <v>2253</v>
      </c>
      <c r="BT2294" s="243" t="s">
        <v>2795</v>
      </c>
      <c r="BU2294" s="243" t="s">
        <v>2427</v>
      </c>
      <c r="BV2294" s="243" t="s">
        <v>2427</v>
      </c>
      <c r="BY2294" s="243" t="s">
        <v>3093</v>
      </c>
      <c r="BZ2294" s="243" t="s">
        <v>3093</v>
      </c>
      <c r="CA2294" s="243" t="s">
        <v>2196</v>
      </c>
      <c r="CB2294" s="243" t="s">
        <v>2427</v>
      </c>
      <c r="CC2294" s="243" t="s">
        <v>2427</v>
      </c>
      <c r="CD2294" s="243" t="s">
        <v>2426</v>
      </c>
      <c r="CE2294" s="243" t="s">
        <v>2208</v>
      </c>
    </row>
    <row r="2295" spans="1:103">
      <c r="A2295" s="317">
        <v>72688</v>
      </c>
      <c r="B2295" s="341" t="s">
        <v>2798</v>
      </c>
      <c r="C2295" s="264" t="s">
        <v>2222</v>
      </c>
      <c r="D2295" s="264" t="s">
        <v>2797</v>
      </c>
      <c r="E2295" s="340" t="s">
        <v>2796</v>
      </c>
      <c r="F2295" s="317">
        <v>5</v>
      </c>
      <c r="G2295" s="265">
        <v>45923</v>
      </c>
      <c r="H2295" s="264"/>
      <c r="I2295" s="308" t="s">
        <v>2389</v>
      </c>
      <c r="J2295" s="245"/>
      <c r="BG2295" s="243" t="s">
        <v>2488</v>
      </c>
      <c r="BH2295" s="243" t="s">
        <v>2196</v>
      </c>
      <c r="BI2295" s="243" t="s">
        <v>2394</v>
      </c>
      <c r="BJ2295" s="243" t="s">
        <v>2366</v>
      </c>
      <c r="BK2295" s="243" t="s">
        <v>2331</v>
      </c>
      <c r="BL2295" s="243" t="s">
        <v>2331</v>
      </c>
      <c r="BM2295" s="243" t="s">
        <v>2389</v>
      </c>
      <c r="BN2295" s="243" t="s">
        <v>2225</v>
      </c>
      <c r="BO2295" s="243" t="s">
        <v>2205</v>
      </c>
      <c r="BP2295" s="243" t="s">
        <v>2558</v>
      </c>
      <c r="BQ2295" s="243" t="s">
        <v>2558</v>
      </c>
      <c r="BR2295" s="243" t="s">
        <v>2389</v>
      </c>
      <c r="BS2295" s="243" t="s">
        <v>2225</v>
      </c>
      <c r="BT2295" s="243" t="s">
        <v>2331</v>
      </c>
      <c r="BU2295" s="243" t="s">
        <v>2331</v>
      </c>
      <c r="BV2295" s="243" t="s">
        <v>2331</v>
      </c>
      <c r="BW2295" s="243" t="s">
        <v>2331</v>
      </c>
      <c r="BX2295" s="243" t="s">
        <v>2389</v>
      </c>
      <c r="BY2295" s="243" t="s">
        <v>2389</v>
      </c>
      <c r="BZ2295" s="243" t="s">
        <v>2426</v>
      </c>
    </row>
    <row r="2296" spans="1:103">
      <c r="A2296" s="317">
        <v>72709</v>
      </c>
      <c r="B2296" s="333" t="s">
        <v>2902</v>
      </c>
      <c r="C2296" s="281" t="s">
        <v>20</v>
      </c>
      <c r="D2296" s="281" t="s">
        <v>2903</v>
      </c>
      <c r="E2296" s="318" t="s">
        <v>2904</v>
      </c>
      <c r="F2296" s="333">
        <v>2</v>
      </c>
      <c r="G2296" s="282">
        <v>45933</v>
      </c>
      <c r="H2296" s="281"/>
      <c r="I2296" s="312"/>
      <c r="J2296" s="245"/>
      <c r="BO2296" s="243" t="s">
        <v>2196</v>
      </c>
      <c r="BY2296" s="243" t="s">
        <v>2205</v>
      </c>
      <c r="BZ2296" s="243" t="s">
        <v>2905</v>
      </c>
      <c r="CA2296" s="243" t="s">
        <v>2339</v>
      </c>
      <c r="CB2296" s="243" t="s">
        <v>2339</v>
      </c>
      <c r="CC2296" s="243" t="s">
        <v>2339</v>
      </c>
      <c r="CD2296" s="243" t="s">
        <v>2437</v>
      </c>
      <c r="CE2296" s="243" t="s">
        <v>2437</v>
      </c>
      <c r="CF2296" s="243" t="s">
        <v>2225</v>
      </c>
      <c r="CG2296" s="243" t="s">
        <v>2225</v>
      </c>
      <c r="CH2296" s="243" t="s">
        <v>2906</v>
      </c>
      <c r="CI2296" s="243" t="s">
        <v>2906</v>
      </c>
      <c r="CJ2296" s="243" t="s">
        <v>2426</v>
      </c>
      <c r="CK2296" s="243" t="s">
        <v>2208</v>
      </c>
    </row>
    <row r="2297" spans="1:103">
      <c r="A2297" s="264"/>
      <c r="B2297" s="264"/>
      <c r="C2297" s="264"/>
      <c r="D2297" s="264" t="s">
        <v>2912</v>
      </c>
      <c r="E2297" s="316" t="s">
        <v>2911</v>
      </c>
      <c r="F2297" s="317">
        <v>2</v>
      </c>
      <c r="G2297" s="265">
        <v>45933</v>
      </c>
      <c r="H2297" s="264"/>
      <c r="I2297" s="308" t="s">
        <v>2613</v>
      </c>
      <c r="J2297" s="245"/>
      <c r="BN2297" s="243" t="s">
        <v>2613</v>
      </c>
      <c r="BO2297" s="243" t="s">
        <v>2351</v>
      </c>
      <c r="BP2297" s="243" t="s">
        <v>2351</v>
      </c>
      <c r="BQ2297" s="243" t="s">
        <v>2366</v>
      </c>
      <c r="BR2297" s="243" t="s">
        <v>2366</v>
      </c>
      <c r="BS2297" s="243" t="s">
        <v>2340</v>
      </c>
      <c r="BT2297" s="243" t="s">
        <v>2340</v>
      </c>
      <c r="BU2297" s="243" t="s">
        <v>2417</v>
      </c>
      <c r="BV2297" s="243" t="s">
        <v>2417</v>
      </c>
      <c r="BW2297" s="243" t="s">
        <v>2389</v>
      </c>
      <c r="BX2297" s="243" t="s">
        <v>2427</v>
      </c>
      <c r="BY2297" s="243" t="s">
        <v>2427</v>
      </c>
      <c r="BZ2297" s="243" t="s">
        <v>2907</v>
      </c>
      <c r="CA2297" s="243" t="s">
        <v>2907</v>
      </c>
      <c r="CB2297" s="243" t="s">
        <v>2427</v>
      </c>
      <c r="CC2297" s="243" t="s">
        <v>2427</v>
      </c>
      <c r="CD2297" s="243" t="s">
        <v>2340</v>
      </c>
      <c r="CE2297" s="243" t="s">
        <v>2340</v>
      </c>
      <c r="CF2297" s="243" t="s">
        <v>2331</v>
      </c>
      <c r="CG2297" s="243" t="s">
        <v>2331</v>
      </c>
      <c r="CH2297" s="243" t="s">
        <v>2427</v>
      </c>
      <c r="CI2297" s="243" t="s">
        <v>2427</v>
      </c>
    </row>
    <row r="2298" spans="1:103">
      <c r="A2298" s="3"/>
      <c r="B2298" s="3"/>
      <c r="C2298" s="1"/>
      <c r="D2298" s="307" t="s">
        <v>2908</v>
      </c>
      <c r="E2298" s="307" t="s">
        <v>2909</v>
      </c>
      <c r="F2298" s="343">
        <v>2</v>
      </c>
      <c r="G2298" s="326">
        <v>45933</v>
      </c>
      <c r="H2298" s="343"/>
      <c r="I2298" s="344"/>
      <c r="J2298" s="245"/>
      <c r="BO2298" s="243" t="s">
        <v>2196</v>
      </c>
      <c r="BP2298" s="243" t="s">
        <v>2910</v>
      </c>
      <c r="BQ2298" s="243" t="s">
        <v>2910</v>
      </c>
      <c r="BR2298" s="243" t="s">
        <v>2340</v>
      </c>
      <c r="BS2298" s="243" t="s">
        <v>2340</v>
      </c>
      <c r="BT2298" s="243" t="s">
        <v>2529</v>
      </c>
      <c r="BU2298" s="243" t="s">
        <v>2529</v>
      </c>
      <c r="BV2298" s="243" t="s">
        <v>2417</v>
      </c>
      <c r="BW2298" s="243" t="s">
        <v>2417</v>
      </c>
      <c r="BX2298" s="243" t="s">
        <v>2389</v>
      </c>
      <c r="BY2298" s="243" t="s">
        <v>2427</v>
      </c>
      <c r="BZ2298" s="243" t="s">
        <v>2427</v>
      </c>
      <c r="CA2298" s="243" t="s">
        <v>2907</v>
      </c>
      <c r="CB2298" s="243" t="s">
        <v>2907</v>
      </c>
      <c r="CD2298" s="243" t="s">
        <v>2427</v>
      </c>
      <c r="CE2298" s="243" t="s">
        <v>2427</v>
      </c>
    </row>
    <row r="2299" spans="1:103">
      <c r="A2299" s="239">
        <v>72746</v>
      </c>
      <c r="B2299" s="239" t="s">
        <v>3118</v>
      </c>
      <c r="C2299" s="264" t="s">
        <v>2222</v>
      </c>
      <c r="D2299" s="264" t="s">
        <v>3119</v>
      </c>
      <c r="E2299" s="316" t="s">
        <v>3120</v>
      </c>
      <c r="F2299" s="239">
        <v>1</v>
      </c>
      <c r="G2299" s="265">
        <v>45926</v>
      </c>
      <c r="H2299" s="264"/>
      <c r="I2299" s="308" t="s">
        <v>2613</v>
      </c>
      <c r="J2299" s="245"/>
      <c r="CA2299" s="243" t="s">
        <v>2394</v>
      </c>
      <c r="CB2299" s="243" t="s">
        <v>3121</v>
      </c>
      <c r="CC2299" s="243" t="s">
        <v>2417</v>
      </c>
      <c r="CD2299" s="243" t="s">
        <v>2389</v>
      </c>
      <c r="CE2299" s="243" t="s">
        <v>2225</v>
      </c>
      <c r="CF2299" s="243" t="s">
        <v>2764</v>
      </c>
      <c r="CG2299" s="243" t="s">
        <v>2764</v>
      </c>
      <c r="CH2299" s="243" t="s">
        <v>2764</v>
      </c>
      <c r="CI2299" s="243" t="s">
        <v>2764</v>
      </c>
      <c r="CJ2299" s="243" t="s">
        <v>2764</v>
      </c>
      <c r="CK2299" s="243" t="s">
        <v>2428</v>
      </c>
      <c r="CL2299" s="243" t="s">
        <v>2437</v>
      </c>
      <c r="CM2299" s="243" t="s">
        <v>2225</v>
      </c>
      <c r="CN2299" s="243" t="s">
        <v>2426</v>
      </c>
      <c r="CO2299" s="243" t="s">
        <v>2208</v>
      </c>
    </row>
    <row r="2300" spans="1:103">
      <c r="A2300" s="239">
        <v>72748</v>
      </c>
      <c r="B2300" s="239" t="s">
        <v>3122</v>
      </c>
      <c r="C2300" s="264" t="s">
        <v>2222</v>
      </c>
      <c r="D2300" s="264" t="s">
        <v>3123</v>
      </c>
      <c r="E2300" s="316" t="s">
        <v>3124</v>
      </c>
      <c r="F2300" s="239">
        <v>1</v>
      </c>
      <c r="G2300" s="265">
        <v>45926</v>
      </c>
      <c r="H2300" s="264"/>
      <c r="I2300" s="308" t="s">
        <v>2613</v>
      </c>
      <c r="J2300" s="245"/>
      <c r="CA2300" s="243" t="s">
        <v>2394</v>
      </c>
      <c r="CB2300" s="243" t="s">
        <v>3121</v>
      </c>
      <c r="CC2300" s="243" t="s">
        <v>2389</v>
      </c>
      <c r="CD2300" s="243" t="s">
        <v>2225</v>
      </c>
      <c r="CF2300" s="243" t="s">
        <v>2764</v>
      </c>
      <c r="CG2300" s="243" t="s">
        <v>2764</v>
      </c>
      <c r="CH2300" s="243" t="s">
        <v>2764</v>
      </c>
      <c r="CI2300" s="243" t="s">
        <v>2764</v>
      </c>
      <c r="CJ2300" s="243" t="s">
        <v>2764</v>
      </c>
      <c r="CK2300" s="243" t="s">
        <v>2428</v>
      </c>
      <c r="CL2300" s="243" t="s">
        <v>2795</v>
      </c>
      <c r="CM2300" s="243" t="s">
        <v>2225</v>
      </c>
      <c r="CN2300" s="243" t="s">
        <v>2426</v>
      </c>
      <c r="CO2300" s="243" t="s">
        <v>2208</v>
      </c>
    </row>
    <row r="2301" spans="1:103">
      <c r="A2301" s="239">
        <v>72765</v>
      </c>
      <c r="B2301" s="239" t="s">
        <v>3125</v>
      </c>
      <c r="C2301" s="264" t="s">
        <v>2222</v>
      </c>
      <c r="D2301" s="264" t="s">
        <v>3126</v>
      </c>
      <c r="E2301" s="316" t="s">
        <v>3127</v>
      </c>
      <c r="F2301" s="239">
        <v>1</v>
      </c>
      <c r="G2301" s="265">
        <v>45940</v>
      </c>
      <c r="H2301" s="264"/>
      <c r="I2301" s="308" t="s">
        <v>2613</v>
      </c>
      <c r="J2301" s="245"/>
      <c r="CA2301" s="243" t="s">
        <v>2394</v>
      </c>
      <c r="CB2301" s="243" t="s">
        <v>2334</v>
      </c>
      <c r="CC2301" s="243" t="s">
        <v>2389</v>
      </c>
      <c r="CD2301" s="243" t="s">
        <v>2225</v>
      </c>
      <c r="CF2301" s="243" t="s">
        <v>2764</v>
      </c>
      <c r="CG2301" s="243" t="s">
        <v>2764</v>
      </c>
      <c r="CH2301" s="243" t="s">
        <v>2764</v>
      </c>
      <c r="CI2301" s="243" t="s">
        <v>2764</v>
      </c>
      <c r="CJ2301" s="243" t="s">
        <v>2764</v>
      </c>
      <c r="CK2301" s="243" t="s">
        <v>2428</v>
      </c>
      <c r="CL2301" s="243" t="s">
        <v>2795</v>
      </c>
      <c r="CM2301" s="243" t="s">
        <v>2225</v>
      </c>
      <c r="CN2301" s="243" t="s">
        <v>2426</v>
      </c>
      <c r="CO2301" s="243" t="s">
        <v>2208</v>
      </c>
    </row>
    <row r="2302" spans="1:103">
      <c r="A2302" s="239">
        <v>72766</v>
      </c>
      <c r="B2302" s="239" t="s">
        <v>3128</v>
      </c>
      <c r="C2302" s="264" t="s">
        <v>2222</v>
      </c>
      <c r="D2302" s="264" t="s">
        <v>3129</v>
      </c>
      <c r="E2302" s="316" t="s">
        <v>3130</v>
      </c>
      <c r="F2302" s="239">
        <v>1</v>
      </c>
      <c r="G2302" s="265">
        <v>45940</v>
      </c>
      <c r="H2302" s="264"/>
      <c r="I2302" s="308" t="s">
        <v>2613</v>
      </c>
      <c r="J2302" s="245"/>
      <c r="CA2302" s="243" t="s">
        <v>2394</v>
      </c>
      <c r="CB2302" s="243" t="s">
        <v>2340</v>
      </c>
      <c r="CC2302" s="243" t="s">
        <v>2389</v>
      </c>
      <c r="CD2302" s="243" t="s">
        <v>2225</v>
      </c>
      <c r="CE2302" s="243" t="s">
        <v>2769</v>
      </c>
      <c r="CF2302" s="243" t="s">
        <v>2769</v>
      </c>
      <c r="CG2302" s="243" t="s">
        <v>2769</v>
      </c>
      <c r="CH2302" s="243" t="s">
        <v>2769</v>
      </c>
      <c r="CI2302" s="243" t="s">
        <v>2769</v>
      </c>
      <c r="CJ2302" s="243" t="s">
        <v>2196</v>
      </c>
      <c r="CK2302" s="243" t="s">
        <v>2795</v>
      </c>
      <c r="CL2302" s="243" t="s">
        <v>2225</v>
      </c>
      <c r="CM2302" s="243" t="s">
        <v>2426</v>
      </c>
      <c r="CN2302" s="243" t="s">
        <v>2208</v>
      </c>
    </row>
    <row r="2303" spans="1:103" ht="120">
      <c r="A2303" s="317">
        <v>72769</v>
      </c>
      <c r="B2303" s="317" t="s">
        <v>3134</v>
      </c>
      <c r="C2303" s="264" t="s">
        <v>164</v>
      </c>
      <c r="D2303" s="264" t="s">
        <v>3135</v>
      </c>
      <c r="E2303" s="307">
        <v>700623210</v>
      </c>
      <c r="F2303" s="317">
        <v>6</v>
      </c>
      <c r="G2303" s="326">
        <v>45912</v>
      </c>
      <c r="H2303" s="360" t="s">
        <v>3139</v>
      </c>
      <c r="I2303" s="308" t="s">
        <v>2196</v>
      </c>
      <c r="J2303" s="245"/>
      <c r="CB2303" s="243" t="s">
        <v>2196</v>
      </c>
      <c r="CC2303" s="243" t="s">
        <v>2394</v>
      </c>
      <c r="CD2303" s="246" t="s">
        <v>3137</v>
      </c>
      <c r="CE2303" s="246" t="s">
        <v>3138</v>
      </c>
      <c r="CF2303" s="246" t="s">
        <v>3136</v>
      </c>
      <c r="CG2303" s="246" t="s">
        <v>3136</v>
      </c>
      <c r="CH2303" s="243" t="s">
        <v>2389</v>
      </c>
      <c r="CI2303" s="243" t="s">
        <v>2225</v>
      </c>
      <c r="CJ2303" s="243" t="s">
        <v>2205</v>
      </c>
      <c r="CK2303" s="243" t="s">
        <v>2558</v>
      </c>
      <c r="CL2303" s="243" t="s">
        <v>2558</v>
      </c>
      <c r="CM2303" s="243" t="s">
        <v>2558</v>
      </c>
      <c r="CN2303" s="243" t="s">
        <v>2389</v>
      </c>
      <c r="CO2303" s="243" t="s">
        <v>2225</v>
      </c>
      <c r="CP2303" s="243" t="s">
        <v>2553</v>
      </c>
      <c r="CQ2303" s="243" t="s">
        <v>2398</v>
      </c>
      <c r="CR2303" s="243" t="s">
        <v>2398</v>
      </c>
      <c r="CS2303" s="243" t="s">
        <v>2427</v>
      </c>
      <c r="CT2303" s="243" t="s">
        <v>2427</v>
      </c>
      <c r="CU2303" s="243" t="s">
        <v>2427</v>
      </c>
      <c r="CV2303" s="243" t="s">
        <v>2517</v>
      </c>
      <c r="CW2303" s="243" t="s">
        <v>2517</v>
      </c>
      <c r="CX2303" s="243" t="s">
        <v>2426</v>
      </c>
      <c r="CY2303" s="243" t="s">
        <v>2208</v>
      </c>
    </row>
    <row r="2304" spans="1:103">
      <c r="A2304" s="361">
        <v>72795</v>
      </c>
      <c r="B2304" s="3"/>
      <c r="C2304" s="264" t="s">
        <v>167</v>
      </c>
      <c r="D2304" s="1"/>
      <c r="E2304" s="316" t="s">
        <v>3153</v>
      </c>
      <c r="F2304" s="343">
        <v>1</v>
      </c>
      <c r="G2304" s="2"/>
      <c r="H2304" s="3"/>
      <c r="I2304" s="237"/>
      <c r="J2304" s="245"/>
    </row>
    <row r="2305" spans="1:106">
      <c r="A2305" s="361">
        <v>72796</v>
      </c>
      <c r="B2305" s="3"/>
      <c r="C2305" s="264" t="s">
        <v>167</v>
      </c>
      <c r="D2305" s="1"/>
      <c r="E2305" s="316" t="s">
        <v>3153</v>
      </c>
      <c r="F2305" s="362"/>
      <c r="G2305" s="2"/>
      <c r="H2305" s="3"/>
      <c r="I2305" s="237"/>
      <c r="J2305" s="245"/>
    </row>
    <row r="2306" spans="1:106">
      <c r="A2306" s="361">
        <v>72797</v>
      </c>
      <c r="B2306" s="3"/>
      <c r="C2306" s="264" t="s">
        <v>167</v>
      </c>
      <c r="D2306" s="1"/>
      <c r="E2306" s="4"/>
      <c r="F2306" s="3"/>
      <c r="G2306" s="2"/>
      <c r="H2306" s="3"/>
      <c r="I2306" s="237"/>
      <c r="J2306" s="245"/>
    </row>
    <row r="2307" spans="1:106">
      <c r="A2307" s="361">
        <v>72798</v>
      </c>
      <c r="B2307" s="3"/>
      <c r="C2307" s="264" t="s">
        <v>167</v>
      </c>
      <c r="D2307" s="1"/>
      <c r="E2307" s="4"/>
      <c r="F2307" s="3"/>
      <c r="G2307" s="2"/>
      <c r="H2307" s="3"/>
      <c r="I2307" s="237"/>
      <c r="J2307" s="245"/>
    </row>
    <row r="2308" spans="1:106">
      <c r="A2308" s="361">
        <v>72799</v>
      </c>
      <c r="B2308" s="3"/>
      <c r="C2308" s="264" t="s">
        <v>167</v>
      </c>
      <c r="D2308" s="1"/>
      <c r="E2308" s="4"/>
      <c r="F2308" s="3"/>
      <c r="G2308" s="2"/>
      <c r="H2308" s="3"/>
      <c r="I2308" s="237"/>
      <c r="J2308" s="245"/>
    </row>
    <row r="2309" spans="1:106">
      <c r="A2309" s="3"/>
      <c r="B2309" s="3"/>
      <c r="C2309" s="1"/>
      <c r="D2309" s="1"/>
      <c r="E2309" s="4"/>
      <c r="F2309" s="3"/>
      <c r="G2309" s="2"/>
      <c r="H2309" s="3"/>
      <c r="I2309" s="237"/>
      <c r="J2309" s="245"/>
    </row>
    <row r="2310" spans="1:106" ht="90">
      <c r="A2310" s="317">
        <v>72800</v>
      </c>
      <c r="B2310" s="317" t="s">
        <v>3156</v>
      </c>
      <c r="C2310" s="307" t="s">
        <v>2222</v>
      </c>
      <c r="D2310" s="307" t="s">
        <v>3158</v>
      </c>
      <c r="E2310" s="307">
        <v>4038641</v>
      </c>
      <c r="F2310" s="317">
        <v>1</v>
      </c>
      <c r="G2310" s="326">
        <v>45961</v>
      </c>
      <c r="H2310" s="3"/>
      <c r="I2310" s="237"/>
      <c r="J2310" s="245"/>
      <c r="CG2310" s="243" t="s">
        <v>2366</v>
      </c>
      <c r="CH2310" s="243" t="s">
        <v>2331</v>
      </c>
      <c r="CI2310" s="246" t="s">
        <v>3154</v>
      </c>
      <c r="CJ2310" s="246" t="s">
        <v>3155</v>
      </c>
      <c r="CK2310" s="243" t="s">
        <v>2417</v>
      </c>
      <c r="CL2310" s="243" t="s">
        <v>2389</v>
      </c>
      <c r="CM2310" s="243" t="s">
        <v>2225</v>
      </c>
      <c r="CN2310" s="243" t="s">
        <v>2225</v>
      </c>
      <c r="CO2310" s="243" t="s">
        <v>2764</v>
      </c>
      <c r="CP2310" s="243" t="s">
        <v>2764</v>
      </c>
      <c r="CQ2310" s="243" t="s">
        <v>2764</v>
      </c>
      <c r="CR2310" s="243" t="s">
        <v>2764</v>
      </c>
      <c r="CS2310" s="243" t="s">
        <v>2764</v>
      </c>
      <c r="CT2310" s="243" t="s">
        <v>2764</v>
      </c>
      <c r="CU2310" s="243" t="s">
        <v>2764</v>
      </c>
      <c r="CV2310" s="243" t="s">
        <v>2196</v>
      </c>
      <c r="CW2310" s="243" t="s">
        <v>2339</v>
      </c>
      <c r="CX2310" s="243" t="s">
        <v>2437</v>
      </c>
      <c r="CY2310" s="243" t="s">
        <v>2225</v>
      </c>
      <c r="CZ2310" s="243" t="s">
        <v>2225</v>
      </c>
      <c r="DA2310" s="243" t="s">
        <v>2426</v>
      </c>
      <c r="DB2310" s="243" t="s">
        <v>2208</v>
      </c>
    </row>
    <row r="2311" spans="1:106">
      <c r="A2311" s="239">
        <v>72801</v>
      </c>
      <c r="B2311" s="239" t="s">
        <v>3157</v>
      </c>
      <c r="C2311" s="307" t="s">
        <v>2222</v>
      </c>
      <c r="D2311" s="363" t="s">
        <v>3159</v>
      </c>
      <c r="E2311" s="307">
        <v>4038642</v>
      </c>
      <c r="F2311" s="317">
        <v>1</v>
      </c>
      <c r="G2311" s="326">
        <v>45961</v>
      </c>
      <c r="H2311" s="3"/>
      <c r="I2311" s="1"/>
    </row>
    <row r="2312" spans="1:106">
      <c r="A2312" s="3"/>
      <c r="B2312" s="3"/>
      <c r="C2312" s="1"/>
      <c r="D2312" s="1"/>
      <c r="E2312" s="4"/>
      <c r="F2312" s="3"/>
      <c r="G2312" s="2"/>
      <c r="H2312" s="3"/>
      <c r="I2312" s="1"/>
    </row>
    <row r="2313" spans="1:106">
      <c r="A2313" s="317">
        <v>72808</v>
      </c>
      <c r="B2313" s="317">
        <v>280104654</v>
      </c>
      <c r="C2313" s="264" t="s">
        <v>167</v>
      </c>
      <c r="D2313" s="264" t="s">
        <v>3290</v>
      </c>
      <c r="E2313" s="316" t="s">
        <v>3287</v>
      </c>
      <c r="F2313" s="317">
        <v>2</v>
      </c>
      <c r="G2313" s="265">
        <v>45959</v>
      </c>
      <c r="H2313" s="3"/>
      <c r="I2313" s="1"/>
    </row>
    <row r="2314" spans="1:106">
      <c r="A2314" s="317">
        <v>72809</v>
      </c>
      <c r="B2314" s="317">
        <v>280104654</v>
      </c>
      <c r="C2314" s="264" t="s">
        <v>167</v>
      </c>
      <c r="D2314" s="264" t="s">
        <v>3291</v>
      </c>
      <c r="E2314" s="316" t="s">
        <v>3288</v>
      </c>
      <c r="F2314" s="317">
        <v>4</v>
      </c>
      <c r="G2314" s="265">
        <v>45959</v>
      </c>
      <c r="H2314" s="3"/>
      <c r="I2314" s="1"/>
    </row>
    <row r="2315" spans="1:106">
      <c r="A2315" s="317">
        <v>72810</v>
      </c>
      <c r="B2315" s="317">
        <v>280104654</v>
      </c>
      <c r="C2315" s="264" t="s">
        <v>167</v>
      </c>
      <c r="D2315" s="264" t="s">
        <v>3292</v>
      </c>
      <c r="E2315" s="264" t="s">
        <v>3289</v>
      </c>
      <c r="F2315" s="317">
        <v>4</v>
      </c>
      <c r="G2315" s="265">
        <v>45959</v>
      </c>
      <c r="H2315" s="3"/>
      <c r="I2315" s="1"/>
    </row>
    <row r="2316" spans="1:106">
      <c r="A2316" s="3"/>
      <c r="B2316" s="3"/>
      <c r="C2316" s="1"/>
      <c r="D2316" s="1"/>
      <c r="E2316" s="1"/>
      <c r="F2316" s="3"/>
      <c r="G2316" s="2"/>
      <c r="H2316" s="3"/>
      <c r="I2316" s="1"/>
    </row>
    <row r="2317" spans="1:106">
      <c r="A2317" s="3"/>
      <c r="B2317" s="3"/>
      <c r="C2317" s="1"/>
      <c r="D2317" s="3"/>
      <c r="E2317" s="1"/>
      <c r="F2317" s="3"/>
      <c r="G2317" s="2"/>
      <c r="H2317" s="3"/>
    </row>
  </sheetData>
  <autoFilter ref="A1:EX131" xr:uid="{DF2FCDBE-7EAA-4992-B679-D1137D9705E5}"/>
  <hyperlinks>
    <hyperlink ref="AS1516" r:id="rId1" xr:uid="{82548F6C-BF46-4786-866B-D1719624C47A}"/>
    <hyperlink ref="E2202" r:id="rId2" xr:uid="{A4D8B300-A955-4E2C-B5F9-632368A90161}"/>
    <hyperlink ref="E2203" r:id="rId3" xr:uid="{30D3F663-B8BE-4FEB-B46A-1D0DB1200792}"/>
    <hyperlink ref="E2204" r:id="rId4" xr:uid="{69C6306A-A932-4741-876B-2D8775060D52}"/>
    <hyperlink ref="E2205" r:id="rId5" xr:uid="{45D0AD21-2040-43C4-9061-2195694F41FF}"/>
    <hyperlink ref="E2206" r:id="rId6" xr:uid="{E0D76B61-586F-4B29-90E4-4A95B08AB45C}"/>
    <hyperlink ref="E1762" r:id="rId7" xr:uid="{4B3E8DA0-3472-492B-B6BB-EEB1F922F770}"/>
    <hyperlink ref="E1763" r:id="rId8" xr:uid="{09620C9A-E9BD-486F-947A-C28D1C2F9B59}"/>
    <hyperlink ref="E2195" r:id="rId9" display="\\rtdnas2\Drawings\ATS (Automation Tooling Systems)\RFQ No 16 Record Tech\700465157-AA-00.000-ATS1247319-004.PDF" xr:uid="{4DD9D910-7512-4C06-9A93-C11EEA160818}"/>
    <hyperlink ref="E2198" r:id="rId10" xr:uid="{3F20591B-9CCB-4338-A67D-D9CC45583B6F}"/>
    <hyperlink ref="E2197" r:id="rId11" xr:uid="{A5634F7E-9B7B-474E-B198-F2122A7F3326}"/>
    <hyperlink ref="E2196" r:id="rId12" xr:uid="{2426DB5A-DBF7-43B4-953E-B86187913CC9}"/>
    <hyperlink ref="E2233" r:id="rId13" xr:uid="{260717D0-BCD7-4097-8C23-F6B63EB64F36}"/>
    <hyperlink ref="E2234" r:id="rId14" xr:uid="{C1235FE9-08D0-4BF6-9E2F-165109A332F6}"/>
    <hyperlink ref="E2235" r:id="rId15" xr:uid="{451A0612-BB59-46CA-9613-C516344CEE43}"/>
    <hyperlink ref="E2236" r:id="rId16" xr:uid="{05FE5B62-B2E0-446A-96FA-2C93AB44B350}"/>
    <hyperlink ref="E2237" r:id="rId17" xr:uid="{8E0FBD8E-BD65-45EF-8D1D-24072AC8A3F7}"/>
    <hyperlink ref="E2238" r:id="rId18" xr:uid="{F1E7DC6D-EAC0-4437-A076-F17C3A31960C}"/>
    <hyperlink ref="E2239" r:id="rId19" xr:uid="{1B59CA6B-FABA-4C20-A019-4DA1057B78B5}"/>
    <hyperlink ref="E2240" r:id="rId20" xr:uid="{BE87939E-FC48-47E1-8F52-2BD60D46BE73}"/>
    <hyperlink ref="E2241" r:id="rId21" xr:uid="{141A2BAA-62A6-4240-B818-61816F1884B0}"/>
    <hyperlink ref="E2242" r:id="rId22" xr:uid="{82D50B78-B01A-422A-A483-B9CD25D9CB18}"/>
    <hyperlink ref="E2243" r:id="rId23" xr:uid="{96C5B0DC-F923-4FF0-8454-CB811C6465C6}"/>
    <hyperlink ref="E2244" r:id="rId24" xr:uid="{3540FB5B-FEBF-4517-8D97-6A43353AB9F2}"/>
    <hyperlink ref="E2245" r:id="rId25" xr:uid="{3F700293-CCCF-4912-A184-E79FE8925F48}"/>
    <hyperlink ref="E2246" r:id="rId26" xr:uid="{82C2C9A1-BAB0-4986-834C-C5D5AACBAE13}"/>
    <hyperlink ref="E2247" r:id="rId27" xr:uid="{5CF935E0-66FF-4CCB-AD3A-29251B07E64D}"/>
    <hyperlink ref="E2248" r:id="rId28" xr:uid="{E3304706-EE29-4BA6-961F-46EA246B8EE5}"/>
    <hyperlink ref="E2249" r:id="rId29" xr:uid="{00EA6801-1221-4F83-9075-2E64D4648D48}"/>
    <hyperlink ref="E2250" r:id="rId30" xr:uid="{FC19E947-499A-4653-86E5-E551AE773212}"/>
    <hyperlink ref="E2251" r:id="rId31" xr:uid="{E136370D-6433-41BF-94A7-46F07690ABC2}"/>
    <hyperlink ref="E2253" r:id="rId32" xr:uid="{5C62DF76-54A3-4F10-9C9A-DE5FD83D7D6D}"/>
    <hyperlink ref="E2254" r:id="rId33" xr:uid="{20846D56-E409-4515-9E5D-ACFA63E132AD}"/>
    <hyperlink ref="E2255" r:id="rId34" xr:uid="{9804D0C1-FE81-4687-9021-BF1B1CB8E0F2}"/>
    <hyperlink ref="E2256" r:id="rId35" xr:uid="{10673FD8-67F8-4C37-A043-351277B9E583}"/>
    <hyperlink ref="E2257" r:id="rId36" xr:uid="{27375D86-5EE4-485A-8612-39B003C6F2B9}"/>
    <hyperlink ref="E2258" r:id="rId37" xr:uid="{FCC15C51-0EA3-4DE2-81AE-054793678E3E}"/>
    <hyperlink ref="E2259" r:id="rId38" xr:uid="{80B27624-1812-4BE9-A0D3-D4D146DF813C}"/>
    <hyperlink ref="E2260" r:id="rId39" xr:uid="{39772588-1173-46C3-BBA4-3DDDC6C8F988}"/>
    <hyperlink ref="E2261" r:id="rId40" xr:uid="{34F14231-FD7B-4903-89C8-3455680CDA20}"/>
    <hyperlink ref="E2211" r:id="rId41" xr:uid="{6CE5FD6D-347D-4C84-B9A1-4823F453753A}"/>
    <hyperlink ref="E2212" r:id="rId42" xr:uid="{7C71892E-9716-4CD3-B4EB-4CE6C174EA6E}"/>
    <hyperlink ref="E2213" r:id="rId43" xr:uid="{DA103FEC-D1D7-4A1A-BA98-6B5B0456F091}"/>
    <hyperlink ref="E2214" r:id="rId44" xr:uid="{76DF76E6-8E43-41A6-ABD8-5CD2EBBE37D9}"/>
    <hyperlink ref="E2215" r:id="rId45" xr:uid="{321D8C7E-9166-420B-9DEF-50DDAE7A32B6}"/>
    <hyperlink ref="E2216" r:id="rId46" xr:uid="{E99EF99A-12E7-4BCB-A624-2F7C593C9034}"/>
    <hyperlink ref="E2217" r:id="rId47" xr:uid="{5AAC570F-9C14-4AEC-B300-B61411D9E0E9}"/>
    <hyperlink ref="E2218" r:id="rId48" xr:uid="{76F86718-A703-47C4-90DB-60AD62AD5B13}"/>
    <hyperlink ref="E2219" r:id="rId49" xr:uid="{12054FC7-0414-4389-9919-8110DF21E1D6}"/>
    <hyperlink ref="E2220" r:id="rId50" xr:uid="{FB9D3539-B6BA-4A35-999D-D65F664DAF41}"/>
    <hyperlink ref="E2221" r:id="rId51" xr:uid="{26E8CA11-70EA-42D5-ADF5-FDEF3D4CD3F2}"/>
    <hyperlink ref="E2222" r:id="rId52" xr:uid="{1CA53065-0C6E-4725-8AE6-8C8E6DF71A5D}"/>
    <hyperlink ref="E2223" r:id="rId53" xr:uid="{8EE33746-F23A-4B87-9414-6400F9C2B6B7}"/>
    <hyperlink ref="E2224" r:id="rId54" xr:uid="{40008AE4-5997-497B-919F-C2C929C35250}"/>
    <hyperlink ref="E2225" r:id="rId55" xr:uid="{03273177-147D-40C9-850A-639BE62319C1}"/>
    <hyperlink ref="E2226" r:id="rId56" xr:uid="{4EF639DA-AF38-4533-AAA0-FC65818B20F1}"/>
    <hyperlink ref="E2227" r:id="rId57" xr:uid="{519D05C7-D23A-4B89-A01B-CBAFBD5C51F2}"/>
    <hyperlink ref="E2228" r:id="rId58" xr:uid="{3CD97457-EB8B-457E-9E8A-105ACF72C2AE}"/>
    <hyperlink ref="E2229" r:id="rId59" xr:uid="{345E1FD4-4980-42B0-9A9A-0BDCB4A499FD}"/>
    <hyperlink ref="E2230" r:id="rId60" xr:uid="{7C8DF46A-E585-4CF5-AC1E-56E289CDC322}"/>
    <hyperlink ref="E2231" r:id="rId61" xr:uid="{795FA32B-DB6B-46A7-AEEA-5DADAD6ED8DB}"/>
    <hyperlink ref="E2232" r:id="rId62" xr:uid="{92D25014-D3F6-4015-8C6B-ABFF2B23C46C}"/>
  </hyperlinks>
  <pageMargins left="0.25" right="0.25" top="0.75" bottom="0.75" header="0.3" footer="0.3"/>
  <pageSetup paperSize="3" scale="10" fitToHeight="0" orientation="landscape" r:id="rId6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7967-6D1B-4EC6-BCE8-AF8DF3FF3856}">
  <sheetPr codeName="Sheet1">
    <tabColor rgb="FF66FF33"/>
  </sheetPr>
  <dimension ref="A1:VD1952"/>
  <sheetViews>
    <sheetView zoomScaleNormal="100" zoomScaleSheetLayoutView="100" workbookViewId="0">
      <pane ySplit="3" topLeftCell="A309" activePane="bottomLeft" state="frozen"/>
      <selection pane="bottomLeft" activeCell="B314" sqref="B314"/>
    </sheetView>
  </sheetViews>
  <sheetFormatPr defaultColWidth="8.85546875" defaultRowHeight="18" customHeight="1"/>
  <cols>
    <col min="1" max="1" width="9.85546875" style="57" customWidth="1"/>
    <col min="2" max="2" width="10.140625" style="69" customWidth="1"/>
    <col min="3" max="3" width="14.42578125" style="59" customWidth="1"/>
    <col min="4" max="4" width="8.85546875" style="60" customWidth="1"/>
    <col min="5" max="5" width="31.5703125" style="59" customWidth="1"/>
    <col min="6" max="6" width="7.85546875" style="61" customWidth="1"/>
    <col min="7" max="7" width="18.140625" style="59" customWidth="1"/>
    <col min="8" max="8" width="12.85546875" style="62" customWidth="1"/>
    <col min="9" max="9" width="7.5703125" style="60" customWidth="1"/>
    <col min="10" max="10" width="40.140625" style="59" customWidth="1"/>
    <col min="11" max="11" width="17.42578125" style="63" customWidth="1"/>
    <col min="12" max="12" width="24.140625" style="60" customWidth="1"/>
    <col min="13" max="13" width="10.5703125" style="64" customWidth="1"/>
    <col min="14" max="14" width="7.140625" style="57" customWidth="1"/>
    <col min="15" max="15" width="11.7109375" style="65" customWidth="1"/>
    <col min="16" max="16" width="23.85546875" style="70" customWidth="1"/>
    <col min="17" max="17" width="14.5703125" style="67" customWidth="1"/>
    <col min="18" max="18" width="10.5703125" style="57" customWidth="1"/>
    <col min="19" max="19" width="9.42578125" style="234" customWidth="1"/>
    <col min="20" max="20" width="8.5703125" style="22" customWidth="1"/>
    <col min="21" max="21" width="9.5703125" style="22" hidden="1" customWidth="1"/>
    <col min="22" max="22" width="8.5703125" style="22" customWidth="1"/>
    <col min="23" max="23" width="10" style="22" customWidth="1"/>
    <col min="24" max="24" width="9.5703125" style="22" customWidth="1"/>
    <col min="25" max="25" width="9.42578125" style="22" customWidth="1"/>
    <col min="26" max="26" width="8.5703125" style="22" customWidth="1"/>
    <col min="27" max="27" width="9.5703125" style="22" customWidth="1"/>
    <col min="28" max="28" width="10.5703125" style="22" customWidth="1"/>
    <col min="29" max="29" width="9.42578125" style="22" customWidth="1"/>
    <col min="30" max="30" width="8.42578125" style="22" customWidth="1"/>
    <col min="31" max="31" width="10" style="22" bestFit="1" customWidth="1"/>
    <col min="32" max="32" width="10.5703125" style="22" bestFit="1" customWidth="1"/>
    <col min="33" max="33" width="10.5703125" style="22" customWidth="1"/>
    <col min="34" max="34" width="8.85546875" style="22"/>
    <col min="35" max="35" width="8.42578125" style="22" customWidth="1"/>
    <col min="36" max="36" width="10" style="22" bestFit="1" customWidth="1"/>
    <col min="37" max="37" width="8.85546875" style="22"/>
    <col min="38" max="38" width="10.5703125" style="22" customWidth="1"/>
    <col min="39" max="40" width="8.85546875" style="22"/>
    <col min="41" max="41" width="11.42578125" style="22" bestFit="1" customWidth="1"/>
    <col min="42" max="42" width="8.85546875" style="22"/>
    <col min="43" max="43" width="10.5703125" style="22" customWidth="1"/>
    <col min="44" max="45" width="8.85546875" style="22"/>
    <col min="46" max="46" width="11.42578125" style="22" bestFit="1" customWidth="1"/>
    <col min="47" max="47" width="8.85546875" style="22"/>
    <col min="48" max="48" width="11.42578125" style="22" customWidth="1"/>
    <col min="49" max="16384" width="8.85546875" style="22"/>
  </cols>
  <sheetData>
    <row r="1" spans="1:50" s="21" customFormat="1" ht="50.25" customHeight="1">
      <c r="A1" s="5"/>
      <c r="B1" s="6" t="s">
        <v>765</v>
      </c>
      <c r="C1" s="7"/>
      <c r="D1" s="8"/>
      <c r="E1" s="9"/>
      <c r="F1" s="10"/>
      <c r="G1" s="9"/>
      <c r="H1" s="11"/>
      <c r="I1" s="12"/>
      <c r="J1" s="9"/>
      <c r="K1" s="13"/>
      <c r="L1" s="14"/>
      <c r="M1" s="15"/>
      <c r="N1" s="16"/>
      <c r="O1" s="17"/>
      <c r="P1" s="18"/>
      <c r="Q1" s="19"/>
      <c r="R1" s="20"/>
      <c r="U1" s="22"/>
    </row>
    <row r="2" spans="1:50" s="31" customFormat="1" ht="48" customHeight="1" thickBot="1">
      <c r="A2" s="23"/>
      <c r="B2" s="23"/>
      <c r="C2" s="24"/>
      <c r="D2" s="8"/>
      <c r="E2" s="24"/>
      <c r="F2" s="25"/>
      <c r="G2" s="24"/>
      <c r="H2" s="26"/>
      <c r="I2" s="8"/>
      <c r="J2" s="24"/>
      <c r="K2" s="27"/>
      <c r="L2" s="8"/>
      <c r="M2" s="15"/>
      <c r="N2" s="23"/>
      <c r="O2" s="17"/>
      <c r="P2" s="28"/>
      <c r="Q2" s="19"/>
      <c r="R2" s="23"/>
      <c r="S2" s="29"/>
      <c r="T2" s="30"/>
      <c r="V2" s="32"/>
      <c r="W2" s="33"/>
      <c r="X2" s="33"/>
      <c r="Y2" s="33"/>
      <c r="Z2" s="34"/>
      <c r="AA2" s="33"/>
      <c r="AB2" s="33"/>
      <c r="AC2" s="33"/>
      <c r="AD2" s="33"/>
      <c r="AE2" s="34"/>
      <c r="AF2" s="33"/>
      <c r="AG2" s="33"/>
      <c r="AH2" s="33"/>
      <c r="AI2" s="33"/>
      <c r="AJ2" s="34"/>
      <c r="AK2" s="33"/>
      <c r="AL2" s="33"/>
      <c r="AM2" s="33"/>
      <c r="AN2" s="33"/>
      <c r="AO2" s="35"/>
      <c r="AT2" s="35"/>
    </row>
    <row r="3" spans="1:50" s="56" customFormat="1" ht="22.5" customHeight="1">
      <c r="A3" s="36" t="s">
        <v>766</v>
      </c>
      <c r="B3" s="37" t="s">
        <v>767</v>
      </c>
      <c r="C3" s="38" t="s">
        <v>768</v>
      </c>
      <c r="D3" s="39" t="s">
        <v>769</v>
      </c>
      <c r="E3" s="38" t="s">
        <v>604</v>
      </c>
      <c r="F3" s="40" t="s">
        <v>770</v>
      </c>
      <c r="G3" s="38" t="s">
        <v>771</v>
      </c>
      <c r="H3" s="41" t="s">
        <v>772</v>
      </c>
      <c r="I3" s="39" t="s">
        <v>773</v>
      </c>
      <c r="J3" s="38" t="s">
        <v>774</v>
      </c>
      <c r="K3" s="42" t="s">
        <v>775</v>
      </c>
      <c r="L3" s="39" t="s">
        <v>776</v>
      </c>
      <c r="M3" s="43" t="s">
        <v>777</v>
      </c>
      <c r="N3" s="37" t="s">
        <v>769</v>
      </c>
      <c r="O3" s="44" t="s">
        <v>778</v>
      </c>
      <c r="P3" s="45" t="s">
        <v>598</v>
      </c>
      <c r="Q3" s="46" t="s">
        <v>779</v>
      </c>
      <c r="R3" s="47" t="s">
        <v>780</v>
      </c>
      <c r="S3" s="48"/>
      <c r="T3" s="49"/>
      <c r="U3" s="50"/>
      <c r="V3" s="51"/>
      <c r="W3" s="51"/>
      <c r="X3" s="51"/>
      <c r="Y3" s="51"/>
      <c r="Z3" s="52"/>
      <c r="AA3" s="53"/>
      <c r="AB3" s="53"/>
      <c r="AC3" s="53"/>
      <c r="AD3" s="53"/>
      <c r="AE3" s="52"/>
      <c r="AF3" s="53"/>
      <c r="AG3" s="53"/>
      <c r="AH3" s="53"/>
      <c r="AI3" s="53"/>
      <c r="AJ3" s="52"/>
      <c r="AK3" s="53"/>
      <c r="AL3" s="53"/>
      <c r="AM3" s="53"/>
      <c r="AN3" s="53"/>
      <c r="AO3" s="52"/>
      <c r="AP3" s="53"/>
      <c r="AQ3" s="53"/>
      <c r="AR3" s="53"/>
      <c r="AS3" s="53"/>
      <c r="AT3" s="54"/>
      <c r="AU3" s="55"/>
      <c r="AV3" s="55"/>
      <c r="AW3" s="55"/>
      <c r="AX3" s="55"/>
    </row>
    <row r="4" spans="1:50" ht="18" customHeight="1">
      <c r="A4" s="57">
        <v>37721</v>
      </c>
      <c r="B4" s="58">
        <v>69279</v>
      </c>
      <c r="C4" s="59" t="s">
        <v>781</v>
      </c>
      <c r="D4" s="60">
        <v>40</v>
      </c>
      <c r="E4" s="59" t="s">
        <v>782</v>
      </c>
      <c r="G4" s="59" t="s">
        <v>783</v>
      </c>
      <c r="H4" s="62">
        <v>45022</v>
      </c>
      <c r="I4" s="60">
        <v>2</v>
      </c>
      <c r="J4" s="59" t="s">
        <v>784</v>
      </c>
      <c r="K4" s="63">
        <v>523.72</v>
      </c>
      <c r="L4" s="60">
        <v>51001</v>
      </c>
      <c r="P4" s="66">
        <v>45358</v>
      </c>
      <c r="R4" s="68" t="str">
        <f t="shared" ref="R4:R35" si="0">IF(SUM(Q4)&gt;0,SUM(Q4-P4),"")</f>
        <v/>
      </c>
      <c r="S4" s="22"/>
    </row>
    <row r="5" spans="1:50" ht="18" customHeight="1">
      <c r="A5" s="57">
        <v>37721</v>
      </c>
      <c r="B5" s="58">
        <v>69279</v>
      </c>
      <c r="C5" s="59" t="s">
        <v>781</v>
      </c>
      <c r="D5" s="60">
        <v>40</v>
      </c>
      <c r="E5" s="59" t="s">
        <v>785</v>
      </c>
      <c r="G5" s="59" t="s">
        <v>783</v>
      </c>
      <c r="H5" s="62">
        <v>45022</v>
      </c>
      <c r="I5" s="60">
        <v>4</v>
      </c>
      <c r="J5" s="59" t="s">
        <v>784</v>
      </c>
      <c r="K5" s="63">
        <v>523.72</v>
      </c>
      <c r="L5" s="60">
        <v>51001</v>
      </c>
      <c r="P5" s="66">
        <v>45358</v>
      </c>
      <c r="R5" s="68" t="str">
        <f t="shared" si="0"/>
        <v/>
      </c>
      <c r="S5" s="22"/>
    </row>
    <row r="6" spans="1:50" ht="18" customHeight="1">
      <c r="R6" s="68" t="str">
        <f t="shared" si="0"/>
        <v/>
      </c>
      <c r="S6" s="22"/>
    </row>
    <row r="7" spans="1:50" ht="18" customHeight="1">
      <c r="A7" s="57">
        <v>37832</v>
      </c>
      <c r="B7" s="71">
        <v>69605</v>
      </c>
      <c r="C7" s="59" t="s">
        <v>453</v>
      </c>
      <c r="D7" s="60">
        <v>2850</v>
      </c>
      <c r="E7" s="59" t="s">
        <v>786</v>
      </c>
      <c r="F7" s="72" t="s">
        <v>787</v>
      </c>
      <c r="G7" s="59" t="s">
        <v>788</v>
      </c>
      <c r="H7" s="62">
        <v>45089</v>
      </c>
      <c r="I7" s="60">
        <v>1</v>
      </c>
      <c r="J7" s="59" t="s">
        <v>789</v>
      </c>
      <c r="K7" s="63">
        <v>20.260000000000002</v>
      </c>
      <c r="L7" s="60" t="s">
        <v>790</v>
      </c>
      <c r="P7" s="70">
        <v>45135</v>
      </c>
      <c r="R7" s="68" t="str">
        <f t="shared" si="0"/>
        <v/>
      </c>
      <c r="S7" s="22"/>
    </row>
    <row r="8" spans="1:50" ht="18" customHeight="1">
      <c r="A8" s="57">
        <v>37832</v>
      </c>
      <c r="B8" s="71">
        <v>69605</v>
      </c>
      <c r="C8" s="59" t="s">
        <v>453</v>
      </c>
      <c r="D8" s="60">
        <v>2850</v>
      </c>
      <c r="E8" s="59" t="s">
        <v>786</v>
      </c>
      <c r="F8" s="72" t="s">
        <v>787</v>
      </c>
      <c r="G8" s="59" t="s">
        <v>788</v>
      </c>
      <c r="H8" s="62">
        <v>45089</v>
      </c>
      <c r="I8" s="60">
        <v>2</v>
      </c>
      <c r="J8" s="59" t="s">
        <v>789</v>
      </c>
      <c r="K8" s="63">
        <v>20.260000000000002</v>
      </c>
      <c r="L8" s="60" t="s">
        <v>790</v>
      </c>
      <c r="P8" s="70">
        <v>37498</v>
      </c>
      <c r="R8" s="68" t="str">
        <f t="shared" si="0"/>
        <v/>
      </c>
      <c r="S8" s="22"/>
    </row>
    <row r="9" spans="1:50" ht="18" customHeight="1">
      <c r="A9" s="57">
        <v>37832</v>
      </c>
      <c r="B9" s="71">
        <v>69605</v>
      </c>
      <c r="C9" s="59" t="s">
        <v>453</v>
      </c>
      <c r="D9" s="60">
        <v>2850</v>
      </c>
      <c r="E9" s="59" t="s">
        <v>786</v>
      </c>
      <c r="F9" s="72" t="s">
        <v>787</v>
      </c>
      <c r="G9" s="59" t="s">
        <v>788</v>
      </c>
      <c r="H9" s="62">
        <v>45089</v>
      </c>
      <c r="I9" s="60">
        <v>3</v>
      </c>
      <c r="J9" s="59" t="s">
        <v>789</v>
      </c>
      <c r="K9" s="63">
        <v>20.260000000000002</v>
      </c>
      <c r="L9" s="60" t="s">
        <v>790</v>
      </c>
      <c r="P9" s="70">
        <v>45198</v>
      </c>
      <c r="R9" s="68" t="str">
        <f t="shared" si="0"/>
        <v/>
      </c>
      <c r="S9" s="22"/>
    </row>
    <row r="10" spans="1:50" ht="18" customHeight="1">
      <c r="A10" s="57">
        <v>37832</v>
      </c>
      <c r="B10" s="71">
        <v>69605</v>
      </c>
      <c r="C10" s="59" t="s">
        <v>453</v>
      </c>
      <c r="D10" s="60">
        <v>2850</v>
      </c>
      <c r="E10" s="59" t="s">
        <v>786</v>
      </c>
      <c r="F10" s="72" t="s">
        <v>787</v>
      </c>
      <c r="G10" s="59" t="s">
        <v>788</v>
      </c>
      <c r="H10" s="62">
        <v>45089</v>
      </c>
      <c r="I10" s="60">
        <v>4</v>
      </c>
      <c r="J10" s="59" t="s">
        <v>789</v>
      </c>
      <c r="K10" s="63">
        <v>20.260000000000002</v>
      </c>
      <c r="L10" s="60" t="s">
        <v>790</v>
      </c>
      <c r="P10" s="70">
        <v>45229</v>
      </c>
      <c r="R10" s="68" t="str">
        <f t="shared" si="0"/>
        <v/>
      </c>
      <c r="S10" s="22"/>
    </row>
    <row r="11" spans="1:50" ht="18" customHeight="1">
      <c r="A11" s="57">
        <v>37832</v>
      </c>
      <c r="B11" s="71">
        <v>69605</v>
      </c>
      <c r="C11" s="59" t="s">
        <v>453</v>
      </c>
      <c r="D11" s="60">
        <v>2850</v>
      </c>
      <c r="E11" s="59" t="s">
        <v>786</v>
      </c>
      <c r="F11" s="72" t="s">
        <v>787</v>
      </c>
      <c r="G11" s="59" t="s">
        <v>788</v>
      </c>
      <c r="H11" s="62">
        <v>45089</v>
      </c>
      <c r="I11" s="60">
        <v>5</v>
      </c>
      <c r="J11" s="59" t="s">
        <v>789</v>
      </c>
      <c r="K11" s="63">
        <v>20.260000000000002</v>
      </c>
      <c r="L11" s="60" t="s">
        <v>790</v>
      </c>
      <c r="P11" s="70">
        <v>45260</v>
      </c>
      <c r="R11" s="68" t="str">
        <f t="shared" si="0"/>
        <v/>
      </c>
      <c r="S11" s="22"/>
    </row>
    <row r="12" spans="1:50" ht="18" customHeight="1">
      <c r="A12" s="57">
        <v>37832</v>
      </c>
      <c r="B12" s="71">
        <v>69605</v>
      </c>
      <c r="C12" s="59" t="s">
        <v>453</v>
      </c>
      <c r="D12" s="60">
        <v>2850</v>
      </c>
      <c r="E12" s="59" t="s">
        <v>786</v>
      </c>
      <c r="F12" s="72" t="s">
        <v>787</v>
      </c>
      <c r="G12" s="59" t="s">
        <v>788</v>
      </c>
      <c r="H12" s="62">
        <v>45089</v>
      </c>
      <c r="I12" s="60">
        <v>6</v>
      </c>
      <c r="J12" s="59" t="s">
        <v>789</v>
      </c>
      <c r="K12" s="63">
        <v>20.260000000000002</v>
      </c>
      <c r="L12" s="60" t="s">
        <v>790</v>
      </c>
      <c r="P12" s="70">
        <v>45282</v>
      </c>
      <c r="R12" s="68" t="str">
        <f t="shared" si="0"/>
        <v/>
      </c>
      <c r="S12" s="22"/>
    </row>
    <row r="13" spans="1:50" ht="18" customHeight="1">
      <c r="R13" s="68" t="str">
        <f t="shared" si="0"/>
        <v/>
      </c>
      <c r="S13" s="22"/>
    </row>
    <row r="14" spans="1:50" ht="18" customHeight="1">
      <c r="A14" s="57">
        <v>37979</v>
      </c>
      <c r="B14" s="69">
        <v>70131</v>
      </c>
      <c r="C14" s="59" t="s">
        <v>38</v>
      </c>
      <c r="D14" s="60">
        <v>1</v>
      </c>
      <c r="E14" s="59" t="s">
        <v>36</v>
      </c>
      <c r="F14" s="61" t="s">
        <v>791</v>
      </c>
      <c r="G14" s="59" t="s">
        <v>792</v>
      </c>
      <c r="H14" s="62">
        <v>45183</v>
      </c>
      <c r="I14" s="60">
        <v>1</v>
      </c>
      <c r="J14" s="59" t="s">
        <v>37</v>
      </c>
      <c r="K14" s="63">
        <v>2125</v>
      </c>
      <c r="L14" s="60" t="s">
        <v>35</v>
      </c>
      <c r="P14" s="70">
        <v>45204</v>
      </c>
      <c r="R14" s="68" t="str">
        <f t="shared" si="0"/>
        <v/>
      </c>
      <c r="S14" s="22"/>
    </row>
    <row r="15" spans="1:50" ht="18" customHeight="1">
      <c r="R15" s="68" t="str">
        <f t="shared" si="0"/>
        <v/>
      </c>
      <c r="S15" s="22"/>
    </row>
    <row r="16" spans="1:50" ht="18" customHeight="1">
      <c r="A16" s="57">
        <v>38123</v>
      </c>
      <c r="B16" s="73">
        <v>70586</v>
      </c>
      <c r="C16" s="59" t="s">
        <v>42</v>
      </c>
      <c r="D16" s="60">
        <v>1</v>
      </c>
      <c r="E16" s="59" t="s">
        <v>40</v>
      </c>
      <c r="F16" s="61">
        <v>1</v>
      </c>
      <c r="G16" s="59" t="s">
        <v>793</v>
      </c>
      <c r="H16" s="62">
        <v>45300</v>
      </c>
      <c r="I16" s="60">
        <v>21</v>
      </c>
      <c r="J16" s="59" t="s">
        <v>41</v>
      </c>
      <c r="K16" s="63">
        <v>1188</v>
      </c>
      <c r="L16" s="74" t="s">
        <v>794</v>
      </c>
      <c r="M16" s="75"/>
      <c r="P16" s="76">
        <v>45322</v>
      </c>
      <c r="R16" s="68" t="str">
        <f t="shared" si="0"/>
        <v/>
      </c>
      <c r="S16" s="22"/>
    </row>
    <row r="17" spans="1:19" ht="18" customHeight="1">
      <c r="R17" s="68" t="str">
        <f t="shared" si="0"/>
        <v/>
      </c>
      <c r="S17" s="22"/>
    </row>
    <row r="18" spans="1:19" ht="18" customHeight="1">
      <c r="A18" s="77">
        <v>38170</v>
      </c>
      <c r="B18" s="77">
        <v>70677</v>
      </c>
      <c r="C18" s="78" t="s">
        <v>795</v>
      </c>
      <c r="D18" s="79">
        <v>2</v>
      </c>
      <c r="E18" s="80" t="s">
        <v>796</v>
      </c>
      <c r="F18" s="81">
        <v>2</v>
      </c>
      <c r="G18" s="80" t="s">
        <v>797</v>
      </c>
      <c r="H18" s="82">
        <v>45330</v>
      </c>
      <c r="I18" s="79">
        <v>1</v>
      </c>
      <c r="J18" s="80" t="s">
        <v>798</v>
      </c>
      <c r="K18" s="83">
        <v>9840</v>
      </c>
      <c r="L18" s="79" t="s">
        <v>799</v>
      </c>
      <c r="N18" s="77"/>
      <c r="P18" s="84">
        <v>45379</v>
      </c>
      <c r="R18" s="68" t="str">
        <f t="shared" si="0"/>
        <v/>
      </c>
      <c r="S18" s="22"/>
    </row>
    <row r="19" spans="1:19" ht="18" customHeight="1">
      <c r="R19" s="68" t="str">
        <f t="shared" si="0"/>
        <v/>
      </c>
      <c r="S19" s="22"/>
    </row>
    <row r="20" spans="1:19" ht="18" customHeight="1">
      <c r="A20" s="85">
        <v>38457</v>
      </c>
      <c r="B20" s="86">
        <v>71276</v>
      </c>
      <c r="C20" s="22" t="s">
        <v>20</v>
      </c>
      <c r="D20" s="85">
        <v>3</v>
      </c>
      <c r="E20" s="87" t="s">
        <v>2</v>
      </c>
      <c r="F20" s="85">
        <v>3</v>
      </c>
      <c r="G20" s="22" t="s">
        <v>800</v>
      </c>
      <c r="H20" s="88">
        <v>45538</v>
      </c>
      <c r="I20" s="60">
        <v>1</v>
      </c>
      <c r="J20" s="22" t="s">
        <v>801</v>
      </c>
      <c r="K20" s="63">
        <v>3576</v>
      </c>
      <c r="L20" s="60" t="s">
        <v>802</v>
      </c>
      <c r="M20" s="89"/>
      <c r="N20" s="60"/>
      <c r="O20" s="90"/>
      <c r="P20" s="91">
        <v>45555</v>
      </c>
      <c r="Q20" s="92"/>
      <c r="R20" s="68" t="str">
        <f t="shared" si="0"/>
        <v/>
      </c>
      <c r="S20" s="22"/>
    </row>
    <row r="21" spans="1:19" ht="18" customHeight="1">
      <c r="A21" s="85"/>
      <c r="B21" s="86"/>
      <c r="C21" s="22"/>
      <c r="D21" s="85"/>
      <c r="E21" s="87"/>
      <c r="F21" s="85"/>
      <c r="G21" s="22"/>
      <c r="H21" s="88"/>
      <c r="J21" s="22"/>
      <c r="M21" s="89"/>
      <c r="N21" s="60"/>
      <c r="O21" s="90"/>
      <c r="P21" s="91"/>
      <c r="Q21" s="92"/>
      <c r="R21" s="68" t="str">
        <f t="shared" si="0"/>
        <v/>
      </c>
      <c r="S21" s="22"/>
    </row>
    <row r="22" spans="1:19" ht="18" customHeight="1">
      <c r="A22" s="85">
        <v>38502</v>
      </c>
      <c r="B22" s="86">
        <v>71374</v>
      </c>
      <c r="C22" s="22" t="s">
        <v>45</v>
      </c>
      <c r="D22" s="85">
        <v>3</v>
      </c>
      <c r="E22" s="87" t="s">
        <v>43</v>
      </c>
      <c r="F22" s="85"/>
      <c r="G22" s="22" t="s">
        <v>803</v>
      </c>
      <c r="H22" s="88">
        <v>45568</v>
      </c>
      <c r="I22" s="60">
        <v>1</v>
      </c>
      <c r="J22" s="22" t="s">
        <v>44</v>
      </c>
      <c r="K22" s="63">
        <v>675</v>
      </c>
      <c r="L22" s="60">
        <v>20030822</v>
      </c>
      <c r="M22" s="89"/>
      <c r="N22" s="60"/>
      <c r="O22" s="90"/>
      <c r="P22" s="91">
        <v>45590</v>
      </c>
      <c r="Q22" s="92"/>
      <c r="R22" s="68" t="str">
        <f t="shared" si="0"/>
        <v/>
      </c>
      <c r="S22" s="22"/>
    </row>
    <row r="23" spans="1:19" ht="18" customHeight="1">
      <c r="A23" s="85">
        <v>38502</v>
      </c>
      <c r="B23" s="86">
        <v>71375</v>
      </c>
      <c r="C23" s="22" t="s">
        <v>45</v>
      </c>
      <c r="D23" s="85">
        <v>3</v>
      </c>
      <c r="E23" s="87" t="s">
        <v>804</v>
      </c>
      <c r="F23" s="85" t="s">
        <v>603</v>
      </c>
      <c r="G23" s="22" t="s">
        <v>803</v>
      </c>
      <c r="H23" s="88">
        <v>45568</v>
      </c>
      <c r="I23" s="60">
        <v>2</v>
      </c>
      <c r="J23" s="22" t="s">
        <v>805</v>
      </c>
      <c r="K23" s="63">
        <v>1250</v>
      </c>
      <c r="L23" s="60">
        <v>20030822</v>
      </c>
      <c r="M23" s="89"/>
      <c r="N23" s="60"/>
      <c r="O23" s="90"/>
      <c r="P23" s="91">
        <v>45590</v>
      </c>
      <c r="Q23" s="92"/>
      <c r="R23" s="68" t="str">
        <f t="shared" si="0"/>
        <v/>
      </c>
      <c r="S23" s="22"/>
    </row>
    <row r="24" spans="1:19" ht="18" customHeight="1">
      <c r="A24" s="85"/>
      <c r="B24" s="86"/>
      <c r="C24" s="22"/>
      <c r="D24" s="85"/>
      <c r="E24" s="87"/>
      <c r="F24" s="85"/>
      <c r="G24" s="22"/>
      <c r="H24" s="88"/>
      <c r="J24" s="22"/>
      <c r="M24" s="89"/>
      <c r="N24" s="60"/>
      <c r="O24" s="90"/>
      <c r="P24" s="91"/>
      <c r="Q24" s="92"/>
      <c r="R24" s="68" t="str">
        <f t="shared" si="0"/>
        <v/>
      </c>
      <c r="S24" s="22"/>
    </row>
    <row r="25" spans="1:19" ht="18" customHeight="1">
      <c r="A25" s="85">
        <v>38539</v>
      </c>
      <c r="B25" s="86">
        <v>71480</v>
      </c>
      <c r="C25" s="22" t="s">
        <v>42</v>
      </c>
      <c r="D25" s="85">
        <v>5</v>
      </c>
      <c r="E25" s="93" t="s">
        <v>806</v>
      </c>
      <c r="F25" s="85">
        <v>0</v>
      </c>
      <c r="G25" s="22" t="s">
        <v>807</v>
      </c>
      <c r="H25" s="88">
        <v>45593</v>
      </c>
      <c r="I25" s="60">
        <v>1</v>
      </c>
      <c r="J25" s="22" t="s">
        <v>808</v>
      </c>
      <c r="K25" s="63">
        <v>700</v>
      </c>
      <c r="L25" s="94" t="s">
        <v>809</v>
      </c>
      <c r="M25" s="89"/>
      <c r="N25" s="60"/>
      <c r="O25" s="90"/>
      <c r="P25" s="91">
        <v>45607</v>
      </c>
      <c r="Q25" s="92"/>
      <c r="R25" s="68" t="str">
        <f t="shared" si="0"/>
        <v/>
      </c>
      <c r="S25" s="22"/>
    </row>
    <row r="26" spans="1:19" ht="18" customHeight="1">
      <c r="A26" s="85"/>
      <c r="B26" s="86"/>
      <c r="C26" s="22"/>
      <c r="D26" s="85"/>
      <c r="E26" s="87"/>
      <c r="F26" s="85"/>
      <c r="G26" s="22"/>
      <c r="H26" s="88"/>
      <c r="J26" s="22"/>
      <c r="M26" s="89"/>
      <c r="N26" s="60"/>
      <c r="O26" s="90"/>
      <c r="P26" s="91"/>
      <c r="Q26" s="92"/>
      <c r="R26" s="68" t="str">
        <f t="shared" si="0"/>
        <v/>
      </c>
      <c r="S26" s="22"/>
    </row>
    <row r="27" spans="1:19" ht="18" customHeight="1">
      <c r="A27" s="85">
        <v>38559</v>
      </c>
      <c r="B27" s="86">
        <v>71512</v>
      </c>
      <c r="C27" s="22" t="s">
        <v>49</v>
      </c>
      <c r="D27" s="85">
        <v>2</v>
      </c>
      <c r="E27" s="87" t="s">
        <v>47</v>
      </c>
      <c r="F27" s="85"/>
      <c r="G27" s="22" t="s">
        <v>810</v>
      </c>
      <c r="H27" s="88">
        <v>45597</v>
      </c>
      <c r="I27" s="60">
        <v>1</v>
      </c>
      <c r="J27" s="22" t="s">
        <v>48</v>
      </c>
      <c r="M27" s="89"/>
      <c r="N27" s="60"/>
      <c r="O27" s="90"/>
      <c r="P27" s="91">
        <v>45604</v>
      </c>
      <c r="Q27" s="92"/>
      <c r="R27" s="68" t="str">
        <f t="shared" si="0"/>
        <v/>
      </c>
      <c r="S27" s="22"/>
    </row>
    <row r="28" spans="1:19" ht="18" customHeight="1">
      <c r="A28" s="85"/>
      <c r="B28" s="86"/>
      <c r="C28" s="22"/>
      <c r="D28" s="85"/>
      <c r="E28" s="87"/>
      <c r="F28" s="85"/>
      <c r="G28" s="22"/>
      <c r="H28" s="88"/>
      <c r="J28" s="22"/>
      <c r="M28" s="89"/>
      <c r="N28" s="60"/>
      <c r="O28" s="90"/>
      <c r="P28" s="91"/>
      <c r="Q28" s="92"/>
      <c r="R28" s="68" t="str">
        <f t="shared" si="0"/>
        <v/>
      </c>
      <c r="S28" s="22"/>
    </row>
    <row r="29" spans="1:19" ht="18" customHeight="1">
      <c r="A29" s="85">
        <v>38608</v>
      </c>
      <c r="B29" s="86">
        <v>71609</v>
      </c>
      <c r="C29" s="22" t="s">
        <v>20</v>
      </c>
      <c r="D29" s="85">
        <v>46</v>
      </c>
      <c r="E29" s="87" t="s">
        <v>5</v>
      </c>
      <c r="F29" s="85">
        <v>5</v>
      </c>
      <c r="G29" s="22" t="s">
        <v>811</v>
      </c>
      <c r="H29" s="88">
        <v>45622</v>
      </c>
      <c r="I29" s="60">
        <v>1</v>
      </c>
      <c r="J29" s="22" t="s">
        <v>812</v>
      </c>
      <c r="K29" s="63">
        <v>269</v>
      </c>
      <c r="L29" s="60" t="s">
        <v>3</v>
      </c>
      <c r="M29" s="89"/>
      <c r="N29" s="60"/>
      <c r="O29" s="90"/>
      <c r="P29" s="91">
        <v>45761</v>
      </c>
      <c r="Q29" s="92"/>
      <c r="R29" s="68" t="str">
        <f t="shared" si="0"/>
        <v/>
      </c>
      <c r="S29" s="22"/>
    </row>
    <row r="30" spans="1:19" ht="18" customHeight="1">
      <c r="A30" s="85">
        <v>38608</v>
      </c>
      <c r="B30" s="86">
        <v>71610</v>
      </c>
      <c r="C30" s="22" t="s">
        <v>20</v>
      </c>
      <c r="D30" s="85">
        <v>65</v>
      </c>
      <c r="E30" s="87" t="s">
        <v>813</v>
      </c>
      <c r="F30" s="85">
        <v>3</v>
      </c>
      <c r="G30" s="22" t="s">
        <v>811</v>
      </c>
      <c r="H30" s="88">
        <v>45622</v>
      </c>
      <c r="I30" s="60">
        <v>2</v>
      </c>
      <c r="J30" s="22" t="s">
        <v>814</v>
      </c>
      <c r="K30" s="63">
        <v>265</v>
      </c>
      <c r="L30" s="60" t="s">
        <v>3</v>
      </c>
      <c r="M30" s="89"/>
      <c r="N30" s="60"/>
      <c r="O30" s="90"/>
      <c r="P30" s="91">
        <v>45761</v>
      </c>
      <c r="Q30" s="92"/>
      <c r="R30" s="68" t="str">
        <f t="shared" si="0"/>
        <v/>
      </c>
      <c r="S30" s="22"/>
    </row>
    <row r="31" spans="1:19" ht="18" customHeight="1">
      <c r="A31" s="85">
        <v>38608</v>
      </c>
      <c r="B31" s="86">
        <v>71611</v>
      </c>
      <c r="C31" s="22" t="s">
        <v>20</v>
      </c>
      <c r="D31" s="85">
        <v>1100</v>
      </c>
      <c r="E31" s="87" t="s">
        <v>10</v>
      </c>
      <c r="F31" s="85">
        <v>0</v>
      </c>
      <c r="G31" s="22" t="s">
        <v>811</v>
      </c>
      <c r="H31" s="88">
        <v>45622</v>
      </c>
      <c r="I31" s="60">
        <v>4</v>
      </c>
      <c r="J31" s="22" t="s">
        <v>815</v>
      </c>
      <c r="K31" s="63">
        <v>13.95</v>
      </c>
      <c r="L31" s="60" t="s">
        <v>3</v>
      </c>
      <c r="M31" s="89"/>
      <c r="N31" s="60"/>
      <c r="O31" s="90"/>
      <c r="P31" s="91">
        <v>45761</v>
      </c>
      <c r="Q31" s="92"/>
      <c r="R31" s="68" t="str">
        <f t="shared" si="0"/>
        <v/>
      </c>
      <c r="S31" s="22"/>
    </row>
    <row r="32" spans="1:19" ht="18" customHeight="1">
      <c r="A32" s="85">
        <v>38608</v>
      </c>
      <c r="B32" s="86">
        <v>71612</v>
      </c>
      <c r="C32" s="22" t="s">
        <v>20</v>
      </c>
      <c r="D32" s="85">
        <v>1600</v>
      </c>
      <c r="E32" s="87" t="s">
        <v>11</v>
      </c>
      <c r="F32" s="85">
        <v>0</v>
      </c>
      <c r="G32" s="22" t="s">
        <v>811</v>
      </c>
      <c r="H32" s="88">
        <v>45622</v>
      </c>
      <c r="I32" s="60">
        <v>5</v>
      </c>
      <c r="J32" s="22" t="s">
        <v>816</v>
      </c>
      <c r="K32" s="63">
        <v>14.49</v>
      </c>
      <c r="L32" s="60" t="s">
        <v>3</v>
      </c>
      <c r="M32" s="89"/>
      <c r="N32" s="60"/>
      <c r="O32" s="90"/>
      <c r="P32" s="91">
        <v>45761</v>
      </c>
      <c r="Q32" s="92"/>
      <c r="R32" s="68" t="str">
        <f t="shared" si="0"/>
        <v/>
      </c>
      <c r="S32" s="22"/>
    </row>
    <row r="33" spans="1:19" ht="18" customHeight="1">
      <c r="A33" s="85">
        <v>38608</v>
      </c>
      <c r="B33" s="86">
        <v>71613</v>
      </c>
      <c r="C33" s="22" t="s">
        <v>20</v>
      </c>
      <c r="D33" s="85">
        <v>3500</v>
      </c>
      <c r="E33" s="87" t="s">
        <v>12</v>
      </c>
      <c r="F33" s="85">
        <v>2</v>
      </c>
      <c r="G33" s="22" t="s">
        <v>811</v>
      </c>
      <c r="H33" s="88">
        <v>45622</v>
      </c>
      <c r="I33" s="60">
        <v>6</v>
      </c>
      <c r="J33" s="22" t="s">
        <v>817</v>
      </c>
      <c r="K33" s="63">
        <v>3.08</v>
      </c>
      <c r="L33" s="60" t="s">
        <v>3</v>
      </c>
      <c r="M33" s="89"/>
      <c r="N33" s="60"/>
      <c r="O33" s="90"/>
      <c r="P33" s="91">
        <v>45761</v>
      </c>
      <c r="Q33" s="92"/>
      <c r="R33" s="68" t="str">
        <f t="shared" si="0"/>
        <v/>
      </c>
      <c r="S33" s="22"/>
    </row>
    <row r="34" spans="1:19" ht="18" customHeight="1">
      <c r="A34" s="85"/>
      <c r="B34" s="86"/>
      <c r="C34" s="22"/>
      <c r="D34" s="85"/>
      <c r="E34" s="87"/>
      <c r="F34" s="85"/>
      <c r="G34" s="22"/>
      <c r="H34" s="88"/>
      <c r="J34" s="22"/>
      <c r="M34" s="89"/>
      <c r="N34" s="60"/>
      <c r="O34" s="90"/>
      <c r="P34" s="91"/>
      <c r="Q34" s="92"/>
      <c r="R34" s="68" t="str">
        <f t="shared" si="0"/>
        <v/>
      </c>
      <c r="S34" s="22"/>
    </row>
    <row r="35" spans="1:19" ht="18" customHeight="1">
      <c r="A35" s="95">
        <v>38615</v>
      </c>
      <c r="B35" s="225">
        <v>71635</v>
      </c>
      <c r="C35" s="96" t="s">
        <v>20</v>
      </c>
      <c r="D35" s="97">
        <v>1</v>
      </c>
      <c r="E35" s="98" t="s">
        <v>15</v>
      </c>
      <c r="F35" s="97">
        <v>0</v>
      </c>
      <c r="G35" s="99" t="s">
        <v>818</v>
      </c>
      <c r="H35" s="100">
        <v>45628</v>
      </c>
      <c r="I35" s="101">
        <v>1</v>
      </c>
      <c r="J35" s="96" t="s">
        <v>14</v>
      </c>
      <c r="K35" s="102">
        <v>12681</v>
      </c>
      <c r="L35" s="101" t="s">
        <v>819</v>
      </c>
      <c r="M35" s="103"/>
      <c r="N35" s="104"/>
      <c r="O35" s="105"/>
      <c r="P35" s="106">
        <v>45709</v>
      </c>
      <c r="Q35" s="92"/>
      <c r="R35" s="68" t="str">
        <f t="shared" si="0"/>
        <v/>
      </c>
      <c r="S35" s="22"/>
    </row>
    <row r="36" spans="1:19" ht="18" customHeight="1">
      <c r="A36" s="95">
        <v>38615</v>
      </c>
      <c r="B36" s="225">
        <v>71636</v>
      </c>
      <c r="C36" s="96" t="s">
        <v>20</v>
      </c>
      <c r="D36" s="97">
        <v>7</v>
      </c>
      <c r="E36" s="98" t="s">
        <v>51</v>
      </c>
      <c r="F36" s="97">
        <v>3</v>
      </c>
      <c r="G36" s="99" t="s">
        <v>818</v>
      </c>
      <c r="H36" s="100">
        <v>45628</v>
      </c>
      <c r="I36" s="101">
        <v>2</v>
      </c>
      <c r="J36" s="96" t="s">
        <v>52</v>
      </c>
      <c r="K36" s="102">
        <v>2548</v>
      </c>
      <c r="L36" s="101" t="s">
        <v>819</v>
      </c>
      <c r="M36" s="103"/>
      <c r="N36" s="104"/>
      <c r="O36" s="105"/>
      <c r="P36" s="106">
        <v>45709</v>
      </c>
      <c r="Q36" s="92"/>
      <c r="R36" s="68" t="str">
        <f t="shared" ref="R36:R99" si="1">IF(SUM(Q36)&gt;0,SUM(Q36-P36),"")</f>
        <v/>
      </c>
      <c r="S36" s="22"/>
    </row>
    <row r="37" spans="1:19" ht="18" customHeight="1">
      <c r="A37" s="95">
        <v>38615</v>
      </c>
      <c r="B37" s="97">
        <v>71637</v>
      </c>
      <c r="C37" s="96" t="s">
        <v>20</v>
      </c>
      <c r="D37" s="97">
        <v>2</v>
      </c>
      <c r="E37" s="98" t="s">
        <v>53</v>
      </c>
      <c r="F37" s="97">
        <v>1</v>
      </c>
      <c r="G37" s="99" t="s">
        <v>818</v>
      </c>
      <c r="H37" s="100">
        <v>45628</v>
      </c>
      <c r="I37" s="101">
        <v>3</v>
      </c>
      <c r="J37" s="96" t="s">
        <v>54</v>
      </c>
      <c r="K37" s="102">
        <v>1477</v>
      </c>
      <c r="L37" s="101" t="s">
        <v>819</v>
      </c>
      <c r="M37" s="103"/>
      <c r="N37" s="104"/>
      <c r="O37" s="105"/>
      <c r="P37" s="106">
        <v>45709</v>
      </c>
      <c r="Q37" s="92"/>
      <c r="R37" s="68" t="str">
        <f t="shared" si="1"/>
        <v/>
      </c>
      <c r="S37" s="22"/>
    </row>
    <row r="38" spans="1:19" ht="18" customHeight="1">
      <c r="A38" s="95">
        <v>38615</v>
      </c>
      <c r="B38" s="225">
        <v>71638</v>
      </c>
      <c r="C38" s="96" t="s">
        <v>20</v>
      </c>
      <c r="D38" s="97">
        <v>17</v>
      </c>
      <c r="E38" s="98" t="s">
        <v>55</v>
      </c>
      <c r="F38" s="97">
        <v>1</v>
      </c>
      <c r="G38" s="99" t="s">
        <v>818</v>
      </c>
      <c r="H38" s="100">
        <v>45628</v>
      </c>
      <c r="I38" s="101">
        <v>4</v>
      </c>
      <c r="J38" s="96" t="s">
        <v>56</v>
      </c>
      <c r="K38" s="102">
        <v>1799</v>
      </c>
      <c r="L38" s="101" t="s">
        <v>819</v>
      </c>
      <c r="M38" s="103"/>
      <c r="N38" s="104"/>
      <c r="O38" s="105"/>
      <c r="P38" s="106">
        <v>45709</v>
      </c>
      <c r="Q38" s="92"/>
      <c r="R38" s="68" t="str">
        <f t="shared" si="1"/>
        <v/>
      </c>
      <c r="S38" s="22"/>
    </row>
    <row r="39" spans="1:19" ht="18" customHeight="1">
      <c r="A39" s="95">
        <v>38615</v>
      </c>
      <c r="B39" s="97">
        <v>71639</v>
      </c>
      <c r="C39" s="96" t="s">
        <v>20</v>
      </c>
      <c r="D39" s="97">
        <v>4</v>
      </c>
      <c r="E39" s="98" t="s">
        <v>820</v>
      </c>
      <c r="F39" s="97"/>
      <c r="G39" s="99" t="s">
        <v>818</v>
      </c>
      <c r="H39" s="100">
        <v>45628</v>
      </c>
      <c r="I39" s="101">
        <v>5</v>
      </c>
      <c r="J39" s="96" t="s">
        <v>58</v>
      </c>
      <c r="K39" s="102">
        <v>62</v>
      </c>
      <c r="L39" s="101" t="s">
        <v>819</v>
      </c>
      <c r="M39" s="103"/>
      <c r="N39" s="104"/>
      <c r="O39" s="105"/>
      <c r="P39" s="106">
        <v>45709</v>
      </c>
      <c r="Q39" s="92"/>
      <c r="R39" s="68" t="str">
        <f t="shared" si="1"/>
        <v/>
      </c>
      <c r="S39" s="22"/>
    </row>
    <row r="40" spans="1:19" ht="18" customHeight="1">
      <c r="A40" s="95">
        <v>38615</v>
      </c>
      <c r="B40" s="97">
        <v>71640</v>
      </c>
      <c r="C40" s="96" t="s">
        <v>20</v>
      </c>
      <c r="D40" s="97">
        <v>2</v>
      </c>
      <c r="E40" s="98" t="s">
        <v>59</v>
      </c>
      <c r="F40" s="97">
        <v>1</v>
      </c>
      <c r="G40" s="99" t="s">
        <v>818</v>
      </c>
      <c r="H40" s="100">
        <v>45628</v>
      </c>
      <c r="I40" s="101">
        <v>6</v>
      </c>
      <c r="J40" s="96" t="s">
        <v>60</v>
      </c>
      <c r="K40" s="102">
        <v>2548</v>
      </c>
      <c r="L40" s="101" t="s">
        <v>819</v>
      </c>
      <c r="M40" s="103"/>
      <c r="N40" s="104"/>
      <c r="O40" s="105"/>
      <c r="P40" s="106">
        <v>45709</v>
      </c>
      <c r="Q40" s="92"/>
      <c r="R40" s="68" t="str">
        <f t="shared" si="1"/>
        <v/>
      </c>
      <c r="S40" s="22"/>
    </row>
    <row r="41" spans="1:19" ht="18" customHeight="1">
      <c r="A41" s="95">
        <v>38615</v>
      </c>
      <c r="B41" s="97">
        <v>71641</v>
      </c>
      <c r="C41" s="96" t="s">
        <v>20</v>
      </c>
      <c r="D41" s="97">
        <v>5</v>
      </c>
      <c r="E41" s="98" t="s">
        <v>821</v>
      </c>
      <c r="F41" s="97"/>
      <c r="G41" s="99" t="s">
        <v>818</v>
      </c>
      <c r="H41" s="100">
        <v>45628</v>
      </c>
      <c r="I41" s="101">
        <v>7</v>
      </c>
      <c r="J41" s="96" t="s">
        <v>16</v>
      </c>
      <c r="K41" s="102">
        <v>2199</v>
      </c>
      <c r="L41" s="101" t="s">
        <v>819</v>
      </c>
      <c r="M41" s="103"/>
      <c r="N41" s="104"/>
      <c r="O41" s="105"/>
      <c r="P41" s="106">
        <v>45709</v>
      </c>
      <c r="Q41" s="92"/>
      <c r="R41" s="68" t="str">
        <f t="shared" si="1"/>
        <v/>
      </c>
      <c r="S41" s="22"/>
    </row>
    <row r="42" spans="1:19" ht="18" customHeight="1">
      <c r="A42" s="95">
        <v>38615</v>
      </c>
      <c r="B42" s="97">
        <v>71642</v>
      </c>
      <c r="C42" s="96" t="s">
        <v>20</v>
      </c>
      <c r="D42" s="97">
        <v>2</v>
      </c>
      <c r="E42" s="98" t="s">
        <v>61</v>
      </c>
      <c r="F42" s="97">
        <v>1</v>
      </c>
      <c r="G42" s="99" t="s">
        <v>818</v>
      </c>
      <c r="H42" s="100">
        <v>45628</v>
      </c>
      <c r="I42" s="101">
        <v>8</v>
      </c>
      <c r="J42" s="96" t="s">
        <v>62</v>
      </c>
      <c r="K42" s="102">
        <v>2998</v>
      </c>
      <c r="L42" s="101" t="s">
        <v>819</v>
      </c>
      <c r="M42" s="103"/>
      <c r="N42" s="104"/>
      <c r="O42" s="105"/>
      <c r="P42" s="106">
        <v>45709</v>
      </c>
      <c r="Q42" s="92"/>
      <c r="R42" s="68" t="str">
        <f t="shared" si="1"/>
        <v/>
      </c>
      <c r="S42" s="22"/>
    </row>
    <row r="43" spans="1:19" ht="18" customHeight="1">
      <c r="A43" s="95">
        <v>38615</v>
      </c>
      <c r="B43" s="225">
        <v>71644</v>
      </c>
      <c r="C43" s="96" t="s">
        <v>20</v>
      </c>
      <c r="D43" s="97">
        <v>6</v>
      </c>
      <c r="E43" s="98" t="s">
        <v>18</v>
      </c>
      <c r="F43" s="97">
        <v>2</v>
      </c>
      <c r="G43" s="99" t="s">
        <v>818</v>
      </c>
      <c r="H43" s="100">
        <v>45628</v>
      </c>
      <c r="I43" s="101">
        <v>10</v>
      </c>
      <c r="J43" s="96" t="s">
        <v>19</v>
      </c>
      <c r="K43" s="102">
        <v>1799</v>
      </c>
      <c r="L43" s="101" t="s">
        <v>819</v>
      </c>
      <c r="M43" s="103"/>
      <c r="N43" s="104"/>
      <c r="O43" s="105"/>
      <c r="P43" s="106">
        <v>45709</v>
      </c>
      <c r="Q43" s="92"/>
      <c r="R43" s="68" t="str">
        <f t="shared" si="1"/>
        <v/>
      </c>
      <c r="S43" s="22"/>
    </row>
    <row r="44" spans="1:19" ht="18" customHeight="1">
      <c r="A44" s="85"/>
      <c r="B44" s="86"/>
      <c r="C44" s="22"/>
      <c r="D44" s="85"/>
      <c r="E44" s="87"/>
      <c r="F44" s="85"/>
      <c r="G44" s="22"/>
      <c r="H44" s="88"/>
      <c r="J44" s="22"/>
      <c r="M44" s="89"/>
      <c r="N44" s="60"/>
      <c r="O44" s="90"/>
      <c r="P44" s="91"/>
      <c r="Q44" s="92"/>
      <c r="R44" s="68" t="str">
        <f t="shared" si="1"/>
        <v/>
      </c>
      <c r="S44" s="22"/>
    </row>
    <row r="45" spans="1:19" ht="18" customHeight="1">
      <c r="A45" s="107">
        <v>38616</v>
      </c>
      <c r="B45" s="225">
        <v>71645</v>
      </c>
      <c r="C45" s="109" t="s">
        <v>20</v>
      </c>
      <c r="D45" s="107">
        <v>2</v>
      </c>
      <c r="E45" s="110" t="s">
        <v>22</v>
      </c>
      <c r="F45" s="107">
        <v>1</v>
      </c>
      <c r="G45" s="109" t="s">
        <v>822</v>
      </c>
      <c r="H45" s="111">
        <v>45628</v>
      </c>
      <c r="I45" s="112">
        <v>1</v>
      </c>
      <c r="J45" s="109" t="s">
        <v>823</v>
      </c>
      <c r="K45" s="113">
        <v>16293</v>
      </c>
      <c r="L45" s="112" t="s">
        <v>824</v>
      </c>
      <c r="M45" s="114"/>
      <c r="N45" s="112"/>
      <c r="O45" s="115"/>
      <c r="P45" s="116">
        <v>45758</v>
      </c>
      <c r="Q45" s="92"/>
      <c r="R45" s="68" t="str">
        <f t="shared" si="1"/>
        <v/>
      </c>
      <c r="S45" s="22"/>
    </row>
    <row r="46" spans="1:19" ht="18" customHeight="1">
      <c r="A46" s="107">
        <v>38616</v>
      </c>
      <c r="B46" s="225">
        <v>71646</v>
      </c>
      <c r="C46" s="109" t="s">
        <v>20</v>
      </c>
      <c r="D46" s="107">
        <v>16</v>
      </c>
      <c r="E46" s="110" t="s">
        <v>63</v>
      </c>
      <c r="F46" s="107"/>
      <c r="G46" s="109" t="s">
        <v>822</v>
      </c>
      <c r="H46" s="111">
        <v>45628</v>
      </c>
      <c r="I46" s="112">
        <v>2</v>
      </c>
      <c r="J46" s="109" t="s">
        <v>825</v>
      </c>
      <c r="K46" s="113">
        <v>1985</v>
      </c>
      <c r="L46" s="112" t="s">
        <v>824</v>
      </c>
      <c r="M46" s="114"/>
      <c r="N46" s="112"/>
      <c r="O46" s="115"/>
      <c r="P46" s="116">
        <v>45758</v>
      </c>
      <c r="Q46" s="92"/>
      <c r="R46" s="68" t="str">
        <f t="shared" si="1"/>
        <v/>
      </c>
      <c r="S46" s="22"/>
    </row>
    <row r="47" spans="1:19" ht="18" customHeight="1">
      <c r="A47" s="107">
        <v>38616</v>
      </c>
      <c r="B47" s="225">
        <v>71647</v>
      </c>
      <c r="C47" s="109" t="s">
        <v>20</v>
      </c>
      <c r="D47" s="107">
        <v>8</v>
      </c>
      <c r="E47" s="110" t="s">
        <v>25</v>
      </c>
      <c r="F47" s="107"/>
      <c r="G47" s="109" t="s">
        <v>822</v>
      </c>
      <c r="H47" s="111">
        <v>45628</v>
      </c>
      <c r="I47" s="112">
        <v>3</v>
      </c>
      <c r="J47" s="109" t="s">
        <v>24</v>
      </c>
      <c r="K47" s="113">
        <v>1935</v>
      </c>
      <c r="L47" s="112" t="s">
        <v>824</v>
      </c>
      <c r="M47" s="114"/>
      <c r="N47" s="112"/>
      <c r="O47" s="115"/>
      <c r="P47" s="116">
        <v>45758</v>
      </c>
      <c r="Q47" s="92"/>
      <c r="R47" s="68" t="str">
        <f t="shared" si="1"/>
        <v/>
      </c>
      <c r="S47" s="22"/>
    </row>
    <row r="48" spans="1:19" ht="18" customHeight="1">
      <c r="A48" s="107">
        <v>38616</v>
      </c>
      <c r="B48" s="225">
        <v>71648</v>
      </c>
      <c r="C48" s="109" t="s">
        <v>20</v>
      </c>
      <c r="D48" s="107">
        <v>7</v>
      </c>
      <c r="E48" s="110" t="s">
        <v>65</v>
      </c>
      <c r="F48" s="107"/>
      <c r="G48" s="109" t="s">
        <v>822</v>
      </c>
      <c r="H48" s="111">
        <v>45628</v>
      </c>
      <c r="I48" s="112">
        <v>4</v>
      </c>
      <c r="J48" s="109" t="s">
        <v>826</v>
      </c>
      <c r="K48" s="113">
        <v>258</v>
      </c>
      <c r="L48" s="112" t="s">
        <v>824</v>
      </c>
      <c r="M48" s="114"/>
      <c r="N48" s="112"/>
      <c r="O48" s="115"/>
      <c r="P48" s="116">
        <v>45758</v>
      </c>
      <c r="Q48" s="92"/>
      <c r="R48" s="68" t="str">
        <f t="shared" si="1"/>
        <v/>
      </c>
      <c r="S48" s="22"/>
    </row>
    <row r="49" spans="1:576" ht="18" customHeight="1">
      <c r="A49" s="107">
        <v>38616</v>
      </c>
      <c r="B49" s="108">
        <v>71649</v>
      </c>
      <c r="C49" s="109" t="s">
        <v>20</v>
      </c>
      <c r="D49" s="107">
        <v>28</v>
      </c>
      <c r="E49" s="110" t="s">
        <v>27</v>
      </c>
      <c r="F49" s="107"/>
      <c r="G49" s="109" t="s">
        <v>822</v>
      </c>
      <c r="H49" s="111">
        <v>45628</v>
      </c>
      <c r="I49" s="112">
        <v>5</v>
      </c>
      <c r="J49" s="109" t="s">
        <v>827</v>
      </c>
      <c r="K49" s="113">
        <v>188</v>
      </c>
      <c r="L49" s="112" t="s">
        <v>824</v>
      </c>
      <c r="M49" s="114"/>
      <c r="N49" s="112"/>
      <c r="O49" s="115"/>
      <c r="P49" s="116">
        <v>45758</v>
      </c>
      <c r="Q49" s="92"/>
      <c r="R49" s="68" t="str">
        <f t="shared" si="1"/>
        <v/>
      </c>
      <c r="S49" s="22"/>
    </row>
    <row r="50" spans="1:576" ht="18" customHeight="1">
      <c r="A50" s="107">
        <v>38616</v>
      </c>
      <c r="B50" s="225">
        <v>71650</v>
      </c>
      <c r="C50" s="109" t="s">
        <v>20</v>
      </c>
      <c r="D50" s="107">
        <v>10</v>
      </c>
      <c r="E50" s="110" t="s">
        <v>29</v>
      </c>
      <c r="F50" s="107"/>
      <c r="G50" s="109" t="s">
        <v>822</v>
      </c>
      <c r="H50" s="111">
        <v>45628</v>
      </c>
      <c r="I50" s="112">
        <v>6</v>
      </c>
      <c r="J50" s="109" t="s">
        <v>828</v>
      </c>
      <c r="K50" s="113">
        <v>1936</v>
      </c>
      <c r="L50" s="112" t="s">
        <v>824</v>
      </c>
      <c r="M50" s="114"/>
      <c r="N50" s="112"/>
      <c r="O50" s="115"/>
      <c r="P50" s="116">
        <v>45758</v>
      </c>
      <c r="Q50" s="92"/>
      <c r="R50" s="68" t="str">
        <f t="shared" si="1"/>
        <v/>
      </c>
      <c r="S50" s="22"/>
    </row>
    <row r="51" spans="1:576" ht="18" customHeight="1">
      <c r="A51" s="107">
        <v>38616</v>
      </c>
      <c r="B51" s="108">
        <v>71651</v>
      </c>
      <c r="C51" s="109" t="s">
        <v>20</v>
      </c>
      <c r="D51" s="107">
        <v>10</v>
      </c>
      <c r="E51" s="110" t="s">
        <v>31</v>
      </c>
      <c r="F51" s="107"/>
      <c r="G51" s="109" t="s">
        <v>822</v>
      </c>
      <c r="H51" s="111">
        <v>45628</v>
      </c>
      <c r="I51" s="112">
        <v>7</v>
      </c>
      <c r="J51" s="109" t="s">
        <v>829</v>
      </c>
      <c r="K51" s="113">
        <v>1195</v>
      </c>
      <c r="L51" s="112" t="s">
        <v>824</v>
      </c>
      <c r="M51" s="114"/>
      <c r="N51" s="112"/>
      <c r="O51" s="115"/>
      <c r="P51" s="116">
        <v>45758</v>
      </c>
      <c r="Q51" s="92"/>
      <c r="R51" s="68" t="str">
        <f t="shared" si="1"/>
        <v/>
      </c>
      <c r="S51" s="22"/>
    </row>
    <row r="52" spans="1:576" ht="18" customHeight="1">
      <c r="A52" s="107">
        <v>38616</v>
      </c>
      <c r="B52" s="108">
        <v>71652</v>
      </c>
      <c r="C52" s="109" t="s">
        <v>20</v>
      </c>
      <c r="D52" s="107">
        <v>14</v>
      </c>
      <c r="E52" s="110" t="s">
        <v>33</v>
      </c>
      <c r="F52" s="107"/>
      <c r="G52" s="109" t="s">
        <v>822</v>
      </c>
      <c r="H52" s="111">
        <v>45628</v>
      </c>
      <c r="I52" s="112">
        <v>8</v>
      </c>
      <c r="J52" s="109" t="s">
        <v>32</v>
      </c>
      <c r="K52" s="113">
        <v>568</v>
      </c>
      <c r="L52" s="112" t="s">
        <v>824</v>
      </c>
      <c r="M52" s="114"/>
      <c r="N52" s="112"/>
      <c r="O52" s="115"/>
      <c r="P52" s="116">
        <v>45758</v>
      </c>
      <c r="Q52" s="92"/>
      <c r="R52" s="68" t="str">
        <f t="shared" si="1"/>
        <v/>
      </c>
      <c r="S52" s="22"/>
    </row>
    <row r="53" spans="1:576" ht="18" customHeight="1">
      <c r="A53" s="107">
        <v>38616</v>
      </c>
      <c r="B53" s="108">
        <v>71653</v>
      </c>
      <c r="C53" s="109" t="s">
        <v>20</v>
      </c>
      <c r="D53" s="107">
        <v>8</v>
      </c>
      <c r="E53" s="110" t="s">
        <v>830</v>
      </c>
      <c r="F53" s="107"/>
      <c r="G53" s="109" t="s">
        <v>822</v>
      </c>
      <c r="H53" s="111">
        <v>45628</v>
      </c>
      <c r="I53" s="112">
        <v>9</v>
      </c>
      <c r="J53" s="109" t="s">
        <v>831</v>
      </c>
      <c r="K53" s="113">
        <v>498</v>
      </c>
      <c r="L53" s="112" t="s">
        <v>824</v>
      </c>
      <c r="M53" s="114"/>
      <c r="N53" s="112"/>
      <c r="O53" s="115"/>
      <c r="P53" s="116">
        <v>45758</v>
      </c>
      <c r="Q53" s="92"/>
      <c r="R53" s="68" t="str">
        <f t="shared" si="1"/>
        <v/>
      </c>
      <c r="S53" s="22"/>
    </row>
    <row r="54" spans="1:576" ht="18" customHeight="1">
      <c r="A54" s="107">
        <v>38616</v>
      </c>
      <c r="B54" s="225">
        <v>71654</v>
      </c>
      <c r="C54" s="109" t="s">
        <v>20</v>
      </c>
      <c r="D54" s="107">
        <v>8</v>
      </c>
      <c r="E54" s="110" t="s">
        <v>67</v>
      </c>
      <c r="F54" s="107"/>
      <c r="G54" s="109" t="s">
        <v>822</v>
      </c>
      <c r="H54" s="111">
        <v>45628</v>
      </c>
      <c r="I54" s="112">
        <v>10</v>
      </c>
      <c r="J54" s="109" t="s">
        <v>832</v>
      </c>
      <c r="K54" s="113">
        <v>1155</v>
      </c>
      <c r="L54" s="112" t="s">
        <v>824</v>
      </c>
      <c r="M54" s="114"/>
      <c r="N54" s="112"/>
      <c r="O54" s="115"/>
      <c r="P54" s="116">
        <v>45758</v>
      </c>
      <c r="Q54" s="92"/>
      <c r="R54" s="68" t="str">
        <f t="shared" si="1"/>
        <v/>
      </c>
      <c r="S54" s="22"/>
    </row>
    <row r="55" spans="1:576" ht="18" customHeight="1">
      <c r="A55" s="107">
        <v>38616</v>
      </c>
      <c r="B55" s="225">
        <v>71655</v>
      </c>
      <c r="C55" s="109" t="s">
        <v>20</v>
      </c>
      <c r="D55" s="107">
        <v>8</v>
      </c>
      <c r="E55" s="110" t="s">
        <v>69</v>
      </c>
      <c r="F55" s="107"/>
      <c r="G55" s="109" t="s">
        <v>822</v>
      </c>
      <c r="H55" s="111">
        <v>45628</v>
      </c>
      <c r="I55" s="112">
        <v>11</v>
      </c>
      <c r="J55" s="109" t="s">
        <v>833</v>
      </c>
      <c r="K55" s="113">
        <v>1357</v>
      </c>
      <c r="L55" s="112" t="s">
        <v>824</v>
      </c>
      <c r="M55" s="114"/>
      <c r="N55" s="112"/>
      <c r="O55" s="115"/>
      <c r="P55" s="116">
        <v>45758</v>
      </c>
      <c r="Q55" s="92"/>
      <c r="R55" s="68" t="str">
        <f t="shared" si="1"/>
        <v/>
      </c>
      <c r="S55" s="22"/>
    </row>
    <row r="56" spans="1:576" ht="18" customHeight="1">
      <c r="A56" s="107">
        <v>38616</v>
      </c>
      <c r="B56" s="225">
        <v>71656</v>
      </c>
      <c r="C56" s="109" t="s">
        <v>20</v>
      </c>
      <c r="D56" s="107">
        <v>8</v>
      </c>
      <c r="E56" s="110" t="s">
        <v>70</v>
      </c>
      <c r="F56" s="107"/>
      <c r="G56" s="109" t="s">
        <v>822</v>
      </c>
      <c r="H56" s="111">
        <v>45628</v>
      </c>
      <c r="I56" s="112">
        <v>12</v>
      </c>
      <c r="J56" s="109" t="s">
        <v>834</v>
      </c>
      <c r="K56" s="113">
        <v>780</v>
      </c>
      <c r="L56" s="112" t="s">
        <v>824</v>
      </c>
      <c r="M56" s="114"/>
      <c r="N56" s="112"/>
      <c r="O56" s="115"/>
      <c r="P56" s="116">
        <v>45758</v>
      </c>
      <c r="Q56" s="92"/>
      <c r="R56" s="68" t="str">
        <f t="shared" si="1"/>
        <v/>
      </c>
      <c r="S56" s="22"/>
    </row>
    <row r="57" spans="1:576" ht="18" customHeight="1">
      <c r="A57" s="107">
        <v>38616</v>
      </c>
      <c r="B57" s="225">
        <v>71657</v>
      </c>
      <c r="C57" s="109" t="s">
        <v>20</v>
      </c>
      <c r="D57" s="107">
        <v>8</v>
      </c>
      <c r="E57" s="110" t="s">
        <v>72</v>
      </c>
      <c r="F57" s="107"/>
      <c r="G57" s="109" t="s">
        <v>822</v>
      </c>
      <c r="H57" s="111">
        <v>45628</v>
      </c>
      <c r="I57" s="112">
        <v>13</v>
      </c>
      <c r="J57" s="109" t="s">
        <v>835</v>
      </c>
      <c r="K57" s="113">
        <v>754</v>
      </c>
      <c r="L57" s="112" t="s">
        <v>824</v>
      </c>
      <c r="M57" s="114"/>
      <c r="N57" s="112"/>
      <c r="O57" s="115"/>
      <c r="P57" s="116">
        <v>45758</v>
      </c>
      <c r="Q57" s="92"/>
      <c r="R57" s="68" t="str">
        <f t="shared" si="1"/>
        <v/>
      </c>
      <c r="S57" s="22"/>
    </row>
    <row r="58" spans="1:576" ht="18" customHeight="1">
      <c r="A58" s="107">
        <v>38616</v>
      </c>
      <c r="B58" s="225">
        <v>71658</v>
      </c>
      <c r="C58" s="109" t="s">
        <v>20</v>
      </c>
      <c r="D58" s="107">
        <v>8</v>
      </c>
      <c r="E58" s="110" t="s">
        <v>74</v>
      </c>
      <c r="F58" s="107"/>
      <c r="G58" s="109" t="s">
        <v>822</v>
      </c>
      <c r="H58" s="111">
        <v>45628</v>
      </c>
      <c r="I58" s="112">
        <v>14</v>
      </c>
      <c r="J58" s="109" t="s">
        <v>836</v>
      </c>
      <c r="K58" s="113">
        <v>4828</v>
      </c>
      <c r="L58" s="112" t="s">
        <v>824</v>
      </c>
      <c r="M58" s="114"/>
      <c r="N58" s="112"/>
      <c r="O58" s="115"/>
      <c r="P58" s="116">
        <v>45758</v>
      </c>
      <c r="Q58" s="92"/>
      <c r="R58" s="68" t="str">
        <f t="shared" si="1"/>
        <v/>
      </c>
      <c r="S58" s="22"/>
    </row>
    <row r="59" spans="1:576" ht="18" customHeight="1">
      <c r="A59" s="107">
        <v>38616</v>
      </c>
      <c r="B59" s="225">
        <v>71659</v>
      </c>
      <c r="C59" s="109" t="s">
        <v>20</v>
      </c>
      <c r="D59" s="107">
        <v>8</v>
      </c>
      <c r="E59" s="110" t="s">
        <v>76</v>
      </c>
      <c r="F59" s="107"/>
      <c r="G59" s="109" t="s">
        <v>822</v>
      </c>
      <c r="H59" s="111">
        <v>45628</v>
      </c>
      <c r="I59" s="112">
        <v>15</v>
      </c>
      <c r="J59" s="109" t="s">
        <v>837</v>
      </c>
      <c r="K59" s="113">
        <v>665</v>
      </c>
      <c r="L59" s="112" t="s">
        <v>824</v>
      </c>
      <c r="M59" s="114"/>
      <c r="N59" s="112"/>
      <c r="O59" s="115"/>
      <c r="P59" s="116">
        <v>45758</v>
      </c>
      <c r="Q59" s="92"/>
      <c r="R59" s="68" t="str">
        <f t="shared" si="1"/>
        <v/>
      </c>
      <c r="S59" s="22"/>
    </row>
    <row r="60" spans="1:576" ht="18" customHeight="1">
      <c r="A60" s="107">
        <v>38616</v>
      </c>
      <c r="B60" s="225">
        <v>71660</v>
      </c>
      <c r="C60" s="109" t="s">
        <v>20</v>
      </c>
      <c r="D60" s="107">
        <v>8</v>
      </c>
      <c r="E60" s="110" t="s">
        <v>78</v>
      </c>
      <c r="F60" s="107"/>
      <c r="G60" s="109" t="s">
        <v>822</v>
      </c>
      <c r="H60" s="111">
        <v>45628</v>
      </c>
      <c r="I60" s="112">
        <v>16</v>
      </c>
      <c r="J60" s="109" t="s">
        <v>838</v>
      </c>
      <c r="K60" s="113">
        <v>639</v>
      </c>
      <c r="L60" s="112" t="s">
        <v>824</v>
      </c>
      <c r="M60" s="114"/>
      <c r="N60" s="112"/>
      <c r="O60" s="115"/>
      <c r="P60" s="116">
        <v>45758</v>
      </c>
      <c r="Q60" s="92"/>
      <c r="R60" s="68" t="str">
        <f t="shared" si="1"/>
        <v/>
      </c>
      <c r="S60" s="22"/>
    </row>
    <row r="61" spans="1:576" s="117" customFormat="1" ht="18" customHeight="1">
      <c r="A61" s="85"/>
      <c r="B61" s="86"/>
      <c r="C61" s="22"/>
      <c r="D61" s="85"/>
      <c r="E61" s="87"/>
      <c r="F61" s="85"/>
      <c r="G61" s="22"/>
      <c r="H61" s="88"/>
      <c r="I61" s="60"/>
      <c r="J61" s="22"/>
      <c r="K61" s="63"/>
      <c r="L61" s="60"/>
      <c r="M61" s="89"/>
      <c r="N61" s="60"/>
      <c r="O61" s="90"/>
      <c r="P61" s="91"/>
      <c r="Q61" s="92"/>
      <c r="R61" s="68" t="str">
        <f t="shared" si="1"/>
        <v/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  <c r="IZ61" s="22"/>
      <c r="JA61" s="22"/>
      <c r="JB61" s="22"/>
      <c r="JC61" s="22"/>
      <c r="JD61" s="22"/>
      <c r="JE61" s="22"/>
      <c r="JF61" s="22"/>
      <c r="JG61" s="22"/>
      <c r="JH61" s="22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2"/>
      <c r="LK61" s="22"/>
      <c r="LL61" s="22"/>
      <c r="LM61" s="22"/>
      <c r="LN61" s="22"/>
      <c r="LO61" s="22"/>
      <c r="LP61" s="22"/>
      <c r="LQ61" s="22"/>
      <c r="LR61" s="22"/>
      <c r="LS61" s="22"/>
      <c r="LT61" s="22"/>
      <c r="LU61" s="22"/>
      <c r="LV61" s="22"/>
      <c r="LW61" s="22"/>
      <c r="LX61" s="22"/>
      <c r="LY61" s="22"/>
      <c r="LZ61" s="22"/>
      <c r="MA61" s="22"/>
      <c r="MB61" s="22"/>
      <c r="MC61" s="22"/>
      <c r="MD61" s="22"/>
      <c r="ME61" s="22"/>
      <c r="MF61" s="22"/>
      <c r="MG61" s="22"/>
      <c r="MH61" s="22"/>
      <c r="MI61" s="22"/>
      <c r="MJ61" s="22"/>
      <c r="MK61" s="22"/>
      <c r="ML61" s="22"/>
      <c r="MM61" s="22"/>
      <c r="MN61" s="22"/>
      <c r="MO61" s="22"/>
      <c r="MP61" s="22"/>
      <c r="MQ61" s="22"/>
      <c r="MR61" s="22"/>
      <c r="MS61" s="22"/>
      <c r="MT61" s="22"/>
      <c r="MU61" s="22"/>
      <c r="MV61" s="22"/>
      <c r="MW61" s="22"/>
      <c r="MX61" s="22"/>
      <c r="MY61" s="22"/>
      <c r="MZ61" s="22"/>
      <c r="NA61" s="22"/>
      <c r="NB61" s="22"/>
      <c r="NC61" s="22"/>
      <c r="ND61" s="22"/>
      <c r="NE61" s="22"/>
      <c r="NF61" s="22"/>
      <c r="NG61" s="22"/>
      <c r="NH61" s="22"/>
      <c r="NI61" s="22"/>
      <c r="NJ61" s="22"/>
      <c r="NK61" s="22"/>
      <c r="NL61" s="22"/>
      <c r="NM61" s="22"/>
      <c r="NN61" s="22"/>
      <c r="NO61" s="22"/>
      <c r="NP61" s="22"/>
      <c r="NQ61" s="22"/>
      <c r="NR61" s="22"/>
      <c r="NS61" s="22"/>
      <c r="NT61" s="22"/>
      <c r="NU61" s="22"/>
      <c r="NV61" s="22"/>
      <c r="NW61" s="22"/>
      <c r="NX61" s="22"/>
      <c r="NY61" s="22"/>
      <c r="NZ61" s="22"/>
      <c r="OA61" s="22"/>
      <c r="OB61" s="22"/>
      <c r="OC61" s="22"/>
      <c r="OD61" s="22"/>
      <c r="OE61" s="22"/>
      <c r="OF61" s="22"/>
      <c r="OG61" s="22"/>
      <c r="OH61" s="22"/>
      <c r="OI61" s="22"/>
      <c r="OJ61" s="22"/>
      <c r="OK61" s="22"/>
      <c r="OL61" s="22"/>
      <c r="OM61" s="22"/>
      <c r="ON61" s="22"/>
      <c r="OO61" s="22"/>
      <c r="OP61" s="22"/>
      <c r="OQ61" s="22"/>
      <c r="OR61" s="22"/>
      <c r="OS61" s="22"/>
      <c r="OT61" s="22"/>
      <c r="OU61" s="22"/>
      <c r="OV61" s="22"/>
      <c r="OW61" s="22"/>
      <c r="OX61" s="22"/>
      <c r="OY61" s="22"/>
      <c r="OZ61" s="22"/>
      <c r="PA61" s="22"/>
      <c r="PB61" s="22"/>
      <c r="PC61" s="22"/>
      <c r="PD61" s="22"/>
      <c r="PE61" s="22"/>
      <c r="PF61" s="22"/>
      <c r="PG61" s="22"/>
      <c r="PH61" s="22"/>
      <c r="PI61" s="22"/>
      <c r="PJ61" s="22"/>
      <c r="PK61" s="22"/>
      <c r="PL61" s="22"/>
      <c r="PM61" s="22"/>
      <c r="PN61" s="22"/>
      <c r="PO61" s="22"/>
      <c r="PP61" s="22"/>
      <c r="PQ61" s="22"/>
      <c r="PR61" s="22"/>
      <c r="PS61" s="22"/>
      <c r="PT61" s="22"/>
      <c r="PU61" s="22"/>
      <c r="PV61" s="22"/>
      <c r="PW61" s="22"/>
      <c r="PX61" s="22"/>
      <c r="PY61" s="22"/>
      <c r="PZ61" s="22"/>
      <c r="QA61" s="22"/>
      <c r="QB61" s="22"/>
      <c r="QC61" s="22"/>
      <c r="QD61" s="22"/>
      <c r="QE61" s="22"/>
      <c r="QF61" s="22"/>
      <c r="QG61" s="22"/>
      <c r="QH61" s="22"/>
      <c r="QI61" s="22"/>
      <c r="QJ61" s="22"/>
      <c r="QK61" s="22"/>
      <c r="QL61" s="22"/>
      <c r="QM61" s="22"/>
      <c r="QN61" s="22"/>
      <c r="QO61" s="22"/>
      <c r="QP61" s="22"/>
      <c r="QQ61" s="22"/>
      <c r="QR61" s="22"/>
      <c r="QS61" s="22"/>
      <c r="QT61" s="22"/>
      <c r="QU61" s="22"/>
      <c r="QV61" s="22"/>
      <c r="QW61" s="22"/>
      <c r="QX61" s="22"/>
      <c r="QY61" s="22"/>
      <c r="QZ61" s="22"/>
      <c r="RA61" s="22"/>
      <c r="RB61" s="22"/>
      <c r="RC61" s="22"/>
      <c r="RD61" s="22"/>
      <c r="RE61" s="22"/>
      <c r="RF61" s="22"/>
      <c r="RG61" s="22"/>
      <c r="RH61" s="22"/>
      <c r="RI61" s="22"/>
      <c r="RJ61" s="22"/>
      <c r="RK61" s="22"/>
      <c r="RL61" s="22"/>
      <c r="RM61" s="22"/>
      <c r="RN61" s="22"/>
      <c r="RO61" s="22"/>
      <c r="RP61" s="22"/>
      <c r="RQ61" s="22"/>
      <c r="RR61" s="22"/>
      <c r="RS61" s="22"/>
      <c r="RT61" s="22"/>
      <c r="RU61" s="22"/>
      <c r="RV61" s="22"/>
      <c r="RW61" s="22"/>
      <c r="RX61" s="22"/>
      <c r="RY61" s="22"/>
      <c r="RZ61" s="22"/>
      <c r="SA61" s="22"/>
      <c r="SB61" s="22"/>
      <c r="SC61" s="22"/>
      <c r="SD61" s="22"/>
      <c r="SE61" s="22"/>
      <c r="SF61" s="22"/>
      <c r="SG61" s="22"/>
      <c r="SH61" s="22"/>
      <c r="SI61" s="22"/>
      <c r="SJ61" s="22"/>
      <c r="SK61" s="22"/>
      <c r="SL61" s="22"/>
      <c r="SM61" s="22"/>
      <c r="SN61" s="22"/>
      <c r="SO61" s="22"/>
      <c r="SP61" s="22"/>
      <c r="SQ61" s="22"/>
      <c r="SR61" s="22"/>
      <c r="SS61" s="22"/>
      <c r="ST61" s="22"/>
      <c r="SU61" s="22"/>
      <c r="SV61" s="22"/>
      <c r="SW61" s="22"/>
      <c r="SX61" s="22"/>
      <c r="SY61" s="22"/>
      <c r="SZ61" s="22"/>
      <c r="TA61" s="22"/>
      <c r="TB61" s="22"/>
      <c r="TC61" s="22"/>
      <c r="TD61" s="22"/>
      <c r="TE61" s="22"/>
      <c r="TF61" s="22"/>
      <c r="TG61" s="22"/>
      <c r="TH61" s="22"/>
      <c r="TI61" s="22"/>
      <c r="TJ61" s="22"/>
      <c r="TK61" s="22"/>
      <c r="TL61" s="22"/>
      <c r="TM61" s="22"/>
      <c r="TN61" s="22"/>
      <c r="TO61" s="22"/>
      <c r="TP61" s="22"/>
      <c r="TQ61" s="22"/>
      <c r="TR61" s="22"/>
      <c r="TS61" s="22"/>
      <c r="TT61" s="22"/>
      <c r="TU61" s="22"/>
      <c r="TV61" s="22"/>
      <c r="TW61" s="22"/>
      <c r="TX61" s="22"/>
      <c r="TY61" s="22"/>
      <c r="TZ61" s="22"/>
      <c r="UA61" s="22"/>
      <c r="UB61" s="22"/>
      <c r="UC61" s="22"/>
      <c r="UD61" s="22"/>
      <c r="UE61" s="22"/>
      <c r="UF61" s="22"/>
      <c r="UG61" s="22"/>
      <c r="UH61" s="22"/>
      <c r="UI61" s="22"/>
      <c r="UJ61" s="22"/>
      <c r="UK61" s="22"/>
      <c r="UL61" s="22"/>
      <c r="UM61" s="22"/>
      <c r="UN61" s="22"/>
      <c r="UO61" s="22"/>
      <c r="UP61" s="22"/>
      <c r="UQ61" s="22"/>
      <c r="UR61" s="22"/>
      <c r="US61" s="22"/>
      <c r="UT61" s="22"/>
      <c r="UU61" s="22"/>
      <c r="UV61" s="22"/>
      <c r="UW61" s="22"/>
      <c r="UX61" s="22"/>
      <c r="UY61" s="22"/>
      <c r="UZ61" s="22"/>
      <c r="VA61" s="22"/>
      <c r="VB61" s="22"/>
      <c r="VC61" s="22"/>
      <c r="VD61" s="22"/>
    </row>
    <row r="62" spans="1:576" s="117" customFormat="1" ht="18" customHeight="1">
      <c r="A62" s="118">
        <v>38619</v>
      </c>
      <c r="B62" s="119">
        <v>71669</v>
      </c>
      <c r="C62" s="120" t="s">
        <v>20</v>
      </c>
      <c r="D62" s="118">
        <v>5</v>
      </c>
      <c r="E62" s="121" t="s">
        <v>80</v>
      </c>
      <c r="F62" s="118">
        <v>0</v>
      </c>
      <c r="G62" s="120" t="s">
        <v>822</v>
      </c>
      <c r="H62" s="122">
        <v>45629</v>
      </c>
      <c r="I62" s="123">
        <v>1</v>
      </c>
      <c r="J62" s="120" t="s">
        <v>81</v>
      </c>
      <c r="K62" s="124">
        <v>34988</v>
      </c>
      <c r="L62" s="123" t="s">
        <v>839</v>
      </c>
      <c r="M62" s="125"/>
      <c r="N62" s="123"/>
      <c r="O62" s="126"/>
      <c r="P62" s="127">
        <v>45737</v>
      </c>
      <c r="Q62" s="92"/>
      <c r="R62" s="68" t="str">
        <f t="shared" si="1"/>
        <v/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  <c r="IZ62" s="22"/>
      <c r="JA62" s="22"/>
      <c r="JB62" s="22"/>
      <c r="JC62" s="22"/>
      <c r="JD62" s="22"/>
      <c r="JE62" s="22"/>
      <c r="JF62" s="22"/>
      <c r="JG62" s="22"/>
      <c r="JH62" s="22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2"/>
      <c r="LK62" s="22"/>
      <c r="LL62" s="22"/>
      <c r="LM62" s="22"/>
      <c r="LN62" s="22"/>
      <c r="LO62" s="22"/>
      <c r="LP62" s="22"/>
      <c r="LQ62" s="22"/>
      <c r="LR62" s="22"/>
      <c r="LS62" s="22"/>
      <c r="LT62" s="22"/>
      <c r="LU62" s="22"/>
      <c r="LV62" s="22"/>
      <c r="LW62" s="22"/>
      <c r="LX62" s="22"/>
      <c r="LY62" s="22"/>
      <c r="LZ62" s="22"/>
      <c r="MA62" s="22"/>
      <c r="MB62" s="22"/>
      <c r="MC62" s="22"/>
      <c r="MD62" s="22"/>
      <c r="ME62" s="22"/>
      <c r="MF62" s="22"/>
      <c r="MG62" s="22"/>
      <c r="MH62" s="22"/>
      <c r="MI62" s="22"/>
      <c r="MJ62" s="22"/>
      <c r="MK62" s="22"/>
      <c r="ML62" s="22"/>
      <c r="MM62" s="22"/>
      <c r="MN62" s="22"/>
      <c r="MO62" s="22"/>
      <c r="MP62" s="22"/>
      <c r="MQ62" s="22"/>
      <c r="MR62" s="22"/>
      <c r="MS62" s="22"/>
      <c r="MT62" s="22"/>
      <c r="MU62" s="22"/>
      <c r="MV62" s="22"/>
      <c r="MW62" s="22"/>
      <c r="MX62" s="22"/>
      <c r="MY62" s="22"/>
      <c r="MZ62" s="22"/>
      <c r="NA62" s="22"/>
      <c r="NB62" s="22"/>
      <c r="NC62" s="22"/>
      <c r="ND62" s="22"/>
      <c r="NE62" s="22"/>
      <c r="NF62" s="22"/>
      <c r="NG62" s="22"/>
      <c r="NH62" s="22"/>
      <c r="NI62" s="22"/>
      <c r="NJ62" s="22"/>
      <c r="NK62" s="22"/>
      <c r="NL62" s="22"/>
      <c r="NM62" s="22"/>
      <c r="NN62" s="22"/>
      <c r="NO62" s="22"/>
      <c r="NP62" s="22"/>
      <c r="NQ62" s="22"/>
      <c r="NR62" s="22"/>
      <c r="NS62" s="22"/>
      <c r="NT62" s="22"/>
      <c r="NU62" s="22"/>
      <c r="NV62" s="22"/>
      <c r="NW62" s="22"/>
      <c r="NX62" s="22"/>
      <c r="NY62" s="22"/>
      <c r="NZ62" s="22"/>
      <c r="OA62" s="22"/>
      <c r="OB62" s="22"/>
      <c r="OC62" s="22"/>
      <c r="OD62" s="22"/>
      <c r="OE62" s="22"/>
      <c r="OF62" s="22"/>
      <c r="OG62" s="22"/>
      <c r="OH62" s="22"/>
      <c r="OI62" s="22"/>
      <c r="OJ62" s="22"/>
      <c r="OK62" s="22"/>
      <c r="OL62" s="22"/>
      <c r="OM62" s="22"/>
      <c r="ON62" s="22"/>
      <c r="OO62" s="22"/>
      <c r="OP62" s="22"/>
      <c r="OQ62" s="22"/>
      <c r="OR62" s="22"/>
      <c r="OS62" s="22"/>
      <c r="OT62" s="22"/>
      <c r="OU62" s="22"/>
      <c r="OV62" s="22"/>
      <c r="OW62" s="22"/>
      <c r="OX62" s="22"/>
      <c r="OY62" s="22"/>
      <c r="OZ62" s="22"/>
      <c r="PA62" s="22"/>
      <c r="PB62" s="22"/>
      <c r="PC62" s="22"/>
      <c r="PD62" s="22"/>
      <c r="PE62" s="22"/>
      <c r="PF62" s="22"/>
      <c r="PG62" s="22"/>
      <c r="PH62" s="22"/>
      <c r="PI62" s="22"/>
      <c r="PJ62" s="22"/>
      <c r="PK62" s="22"/>
      <c r="PL62" s="22"/>
      <c r="PM62" s="22"/>
      <c r="PN62" s="22"/>
      <c r="PO62" s="22"/>
      <c r="PP62" s="22"/>
      <c r="PQ62" s="22"/>
      <c r="PR62" s="22"/>
      <c r="PS62" s="22"/>
      <c r="PT62" s="22"/>
      <c r="PU62" s="22"/>
      <c r="PV62" s="22"/>
      <c r="PW62" s="22"/>
      <c r="PX62" s="22"/>
      <c r="PY62" s="22"/>
      <c r="PZ62" s="22"/>
      <c r="QA62" s="22"/>
      <c r="QB62" s="22"/>
      <c r="QC62" s="22"/>
      <c r="QD62" s="22"/>
      <c r="QE62" s="22"/>
      <c r="QF62" s="22"/>
      <c r="QG62" s="22"/>
      <c r="QH62" s="22"/>
      <c r="QI62" s="22"/>
      <c r="QJ62" s="22"/>
      <c r="QK62" s="22"/>
      <c r="QL62" s="22"/>
      <c r="QM62" s="22"/>
      <c r="QN62" s="22"/>
      <c r="QO62" s="22"/>
      <c r="QP62" s="22"/>
      <c r="QQ62" s="22"/>
      <c r="QR62" s="22"/>
      <c r="QS62" s="22"/>
      <c r="QT62" s="22"/>
      <c r="QU62" s="22"/>
      <c r="QV62" s="22"/>
      <c r="QW62" s="22"/>
      <c r="QX62" s="22"/>
      <c r="QY62" s="22"/>
      <c r="QZ62" s="22"/>
      <c r="RA62" s="22"/>
      <c r="RB62" s="22"/>
      <c r="RC62" s="22"/>
      <c r="RD62" s="22"/>
      <c r="RE62" s="22"/>
      <c r="RF62" s="22"/>
      <c r="RG62" s="22"/>
      <c r="RH62" s="22"/>
      <c r="RI62" s="22"/>
      <c r="RJ62" s="22"/>
      <c r="RK62" s="22"/>
      <c r="RL62" s="22"/>
      <c r="RM62" s="22"/>
      <c r="RN62" s="22"/>
      <c r="RO62" s="22"/>
      <c r="RP62" s="22"/>
      <c r="RQ62" s="22"/>
      <c r="RR62" s="22"/>
      <c r="RS62" s="22"/>
      <c r="RT62" s="22"/>
      <c r="RU62" s="22"/>
      <c r="RV62" s="22"/>
      <c r="RW62" s="22"/>
      <c r="RX62" s="22"/>
      <c r="RY62" s="22"/>
      <c r="RZ62" s="22"/>
      <c r="SA62" s="22"/>
      <c r="SB62" s="22"/>
      <c r="SC62" s="22"/>
      <c r="SD62" s="22"/>
      <c r="SE62" s="22"/>
      <c r="SF62" s="22"/>
      <c r="SG62" s="22"/>
      <c r="SH62" s="22"/>
      <c r="SI62" s="22"/>
      <c r="SJ62" s="22"/>
      <c r="SK62" s="22"/>
      <c r="SL62" s="22"/>
      <c r="SM62" s="22"/>
      <c r="SN62" s="22"/>
      <c r="SO62" s="22"/>
      <c r="SP62" s="22"/>
      <c r="SQ62" s="22"/>
      <c r="SR62" s="22"/>
      <c r="SS62" s="22"/>
      <c r="ST62" s="22"/>
      <c r="SU62" s="22"/>
      <c r="SV62" s="22"/>
      <c r="SW62" s="22"/>
      <c r="SX62" s="22"/>
      <c r="SY62" s="22"/>
      <c r="SZ62" s="22"/>
      <c r="TA62" s="22"/>
      <c r="TB62" s="22"/>
      <c r="TC62" s="22"/>
      <c r="TD62" s="22"/>
      <c r="TE62" s="22"/>
      <c r="TF62" s="22"/>
      <c r="TG62" s="22"/>
      <c r="TH62" s="22"/>
      <c r="TI62" s="22"/>
      <c r="TJ62" s="22"/>
      <c r="TK62" s="22"/>
      <c r="TL62" s="22"/>
      <c r="TM62" s="22"/>
      <c r="TN62" s="22"/>
      <c r="TO62" s="22"/>
      <c r="TP62" s="22"/>
      <c r="TQ62" s="22"/>
      <c r="TR62" s="22"/>
      <c r="TS62" s="22"/>
      <c r="TT62" s="22"/>
      <c r="TU62" s="22"/>
      <c r="TV62" s="22"/>
      <c r="TW62" s="22"/>
      <c r="TX62" s="22"/>
      <c r="TY62" s="22"/>
      <c r="TZ62" s="22"/>
      <c r="UA62" s="22"/>
      <c r="UB62" s="22"/>
      <c r="UC62" s="22"/>
      <c r="UD62" s="22"/>
      <c r="UE62" s="22"/>
      <c r="UF62" s="22"/>
      <c r="UG62" s="22"/>
      <c r="UH62" s="22"/>
      <c r="UI62" s="22"/>
      <c r="UJ62" s="22"/>
      <c r="UK62" s="22"/>
      <c r="UL62" s="22"/>
      <c r="UM62" s="22"/>
      <c r="UN62" s="22"/>
      <c r="UO62" s="22"/>
      <c r="UP62" s="22"/>
      <c r="UQ62" s="22"/>
      <c r="UR62" s="22"/>
      <c r="US62" s="22"/>
      <c r="UT62" s="22"/>
      <c r="UU62" s="22"/>
      <c r="UV62" s="22"/>
      <c r="UW62" s="22"/>
      <c r="UX62" s="22"/>
      <c r="UY62" s="22"/>
      <c r="UZ62" s="22"/>
      <c r="VA62" s="22"/>
      <c r="VB62" s="22"/>
      <c r="VC62" s="22"/>
      <c r="VD62" s="22"/>
    </row>
    <row r="63" spans="1:576" s="117" customFormat="1" ht="18" customHeight="1">
      <c r="A63" s="85"/>
      <c r="B63" s="86"/>
      <c r="C63" s="22"/>
      <c r="D63" s="85"/>
      <c r="E63" s="87"/>
      <c r="F63" s="85"/>
      <c r="G63" s="22"/>
      <c r="H63" s="88"/>
      <c r="I63" s="60"/>
      <c r="J63" s="22"/>
      <c r="K63" s="63"/>
      <c r="L63" s="60"/>
      <c r="M63" s="89"/>
      <c r="N63" s="60"/>
      <c r="O63" s="90"/>
      <c r="P63" s="91"/>
      <c r="Q63" s="92"/>
      <c r="R63" s="68" t="str">
        <f t="shared" si="1"/>
        <v/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  <c r="IZ63" s="22"/>
      <c r="JA63" s="22"/>
      <c r="JB63" s="22"/>
      <c r="JC63" s="22"/>
      <c r="JD63" s="22"/>
      <c r="JE63" s="22"/>
      <c r="JF63" s="22"/>
      <c r="JG63" s="22"/>
      <c r="JH63" s="22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2"/>
      <c r="LK63" s="22"/>
      <c r="LL63" s="22"/>
      <c r="LM63" s="22"/>
      <c r="LN63" s="22"/>
      <c r="LO63" s="22"/>
      <c r="LP63" s="22"/>
      <c r="LQ63" s="22"/>
      <c r="LR63" s="22"/>
      <c r="LS63" s="22"/>
      <c r="LT63" s="22"/>
      <c r="LU63" s="22"/>
      <c r="LV63" s="22"/>
      <c r="LW63" s="22"/>
      <c r="LX63" s="22"/>
      <c r="LY63" s="22"/>
      <c r="LZ63" s="22"/>
      <c r="MA63" s="22"/>
      <c r="MB63" s="22"/>
      <c r="MC63" s="22"/>
      <c r="MD63" s="22"/>
      <c r="ME63" s="22"/>
      <c r="MF63" s="22"/>
      <c r="MG63" s="22"/>
      <c r="MH63" s="22"/>
      <c r="MI63" s="22"/>
      <c r="MJ63" s="22"/>
      <c r="MK63" s="22"/>
      <c r="ML63" s="22"/>
      <c r="MM63" s="22"/>
      <c r="MN63" s="22"/>
      <c r="MO63" s="22"/>
      <c r="MP63" s="22"/>
      <c r="MQ63" s="22"/>
      <c r="MR63" s="22"/>
      <c r="MS63" s="22"/>
      <c r="MT63" s="22"/>
      <c r="MU63" s="22"/>
      <c r="MV63" s="22"/>
      <c r="MW63" s="22"/>
      <c r="MX63" s="22"/>
      <c r="MY63" s="22"/>
      <c r="MZ63" s="22"/>
      <c r="NA63" s="22"/>
      <c r="NB63" s="22"/>
      <c r="NC63" s="22"/>
      <c r="ND63" s="22"/>
      <c r="NE63" s="22"/>
      <c r="NF63" s="22"/>
      <c r="NG63" s="22"/>
      <c r="NH63" s="22"/>
      <c r="NI63" s="22"/>
      <c r="NJ63" s="22"/>
      <c r="NK63" s="22"/>
      <c r="NL63" s="22"/>
      <c r="NM63" s="22"/>
      <c r="NN63" s="22"/>
      <c r="NO63" s="22"/>
      <c r="NP63" s="22"/>
      <c r="NQ63" s="22"/>
      <c r="NR63" s="22"/>
      <c r="NS63" s="22"/>
      <c r="NT63" s="22"/>
      <c r="NU63" s="22"/>
      <c r="NV63" s="22"/>
      <c r="NW63" s="22"/>
      <c r="NX63" s="22"/>
      <c r="NY63" s="22"/>
      <c r="NZ63" s="22"/>
      <c r="OA63" s="22"/>
      <c r="OB63" s="22"/>
      <c r="OC63" s="22"/>
      <c r="OD63" s="22"/>
      <c r="OE63" s="22"/>
      <c r="OF63" s="22"/>
      <c r="OG63" s="22"/>
      <c r="OH63" s="22"/>
      <c r="OI63" s="22"/>
      <c r="OJ63" s="22"/>
      <c r="OK63" s="22"/>
      <c r="OL63" s="22"/>
      <c r="OM63" s="22"/>
      <c r="ON63" s="22"/>
      <c r="OO63" s="22"/>
      <c r="OP63" s="22"/>
      <c r="OQ63" s="22"/>
      <c r="OR63" s="22"/>
      <c r="OS63" s="22"/>
      <c r="OT63" s="22"/>
      <c r="OU63" s="22"/>
      <c r="OV63" s="22"/>
      <c r="OW63" s="22"/>
      <c r="OX63" s="22"/>
      <c r="OY63" s="22"/>
      <c r="OZ63" s="22"/>
      <c r="PA63" s="22"/>
      <c r="PB63" s="22"/>
      <c r="PC63" s="22"/>
      <c r="PD63" s="22"/>
      <c r="PE63" s="22"/>
      <c r="PF63" s="22"/>
      <c r="PG63" s="22"/>
      <c r="PH63" s="22"/>
      <c r="PI63" s="22"/>
      <c r="PJ63" s="22"/>
      <c r="PK63" s="22"/>
      <c r="PL63" s="22"/>
      <c r="PM63" s="22"/>
      <c r="PN63" s="22"/>
      <c r="PO63" s="22"/>
      <c r="PP63" s="22"/>
      <c r="PQ63" s="22"/>
      <c r="PR63" s="22"/>
      <c r="PS63" s="22"/>
      <c r="PT63" s="22"/>
      <c r="PU63" s="22"/>
      <c r="PV63" s="22"/>
      <c r="PW63" s="22"/>
      <c r="PX63" s="22"/>
      <c r="PY63" s="22"/>
      <c r="PZ63" s="22"/>
      <c r="QA63" s="22"/>
      <c r="QB63" s="22"/>
      <c r="QC63" s="22"/>
      <c r="QD63" s="22"/>
      <c r="QE63" s="22"/>
      <c r="QF63" s="22"/>
      <c r="QG63" s="22"/>
      <c r="QH63" s="22"/>
      <c r="QI63" s="22"/>
      <c r="QJ63" s="22"/>
      <c r="QK63" s="22"/>
      <c r="QL63" s="22"/>
      <c r="QM63" s="22"/>
      <c r="QN63" s="22"/>
      <c r="QO63" s="22"/>
      <c r="QP63" s="22"/>
      <c r="QQ63" s="22"/>
      <c r="QR63" s="22"/>
      <c r="QS63" s="22"/>
      <c r="QT63" s="22"/>
      <c r="QU63" s="22"/>
      <c r="QV63" s="22"/>
      <c r="QW63" s="22"/>
      <c r="QX63" s="22"/>
      <c r="QY63" s="22"/>
      <c r="QZ63" s="22"/>
      <c r="RA63" s="22"/>
      <c r="RB63" s="22"/>
      <c r="RC63" s="22"/>
      <c r="RD63" s="22"/>
      <c r="RE63" s="22"/>
      <c r="RF63" s="22"/>
      <c r="RG63" s="22"/>
      <c r="RH63" s="22"/>
      <c r="RI63" s="22"/>
      <c r="RJ63" s="22"/>
      <c r="RK63" s="22"/>
      <c r="RL63" s="22"/>
      <c r="RM63" s="22"/>
      <c r="RN63" s="22"/>
      <c r="RO63" s="22"/>
      <c r="RP63" s="22"/>
      <c r="RQ63" s="22"/>
      <c r="RR63" s="22"/>
      <c r="RS63" s="22"/>
      <c r="RT63" s="22"/>
      <c r="RU63" s="22"/>
      <c r="RV63" s="22"/>
      <c r="RW63" s="22"/>
      <c r="RX63" s="22"/>
      <c r="RY63" s="22"/>
      <c r="RZ63" s="22"/>
      <c r="SA63" s="22"/>
      <c r="SB63" s="22"/>
      <c r="SC63" s="22"/>
      <c r="SD63" s="22"/>
      <c r="SE63" s="22"/>
      <c r="SF63" s="22"/>
      <c r="SG63" s="22"/>
      <c r="SH63" s="22"/>
      <c r="SI63" s="22"/>
      <c r="SJ63" s="22"/>
      <c r="SK63" s="22"/>
      <c r="SL63" s="22"/>
      <c r="SM63" s="22"/>
      <c r="SN63" s="22"/>
      <c r="SO63" s="22"/>
      <c r="SP63" s="22"/>
      <c r="SQ63" s="22"/>
      <c r="SR63" s="22"/>
      <c r="SS63" s="22"/>
      <c r="ST63" s="22"/>
      <c r="SU63" s="22"/>
      <c r="SV63" s="22"/>
      <c r="SW63" s="22"/>
      <c r="SX63" s="22"/>
      <c r="SY63" s="22"/>
      <c r="SZ63" s="22"/>
      <c r="TA63" s="22"/>
      <c r="TB63" s="22"/>
      <c r="TC63" s="22"/>
      <c r="TD63" s="22"/>
      <c r="TE63" s="22"/>
      <c r="TF63" s="22"/>
      <c r="TG63" s="22"/>
      <c r="TH63" s="22"/>
      <c r="TI63" s="22"/>
      <c r="TJ63" s="22"/>
      <c r="TK63" s="22"/>
      <c r="TL63" s="22"/>
      <c r="TM63" s="22"/>
      <c r="TN63" s="22"/>
      <c r="TO63" s="22"/>
      <c r="TP63" s="22"/>
      <c r="TQ63" s="22"/>
      <c r="TR63" s="22"/>
      <c r="TS63" s="22"/>
      <c r="TT63" s="22"/>
      <c r="TU63" s="22"/>
      <c r="TV63" s="22"/>
      <c r="TW63" s="22"/>
      <c r="TX63" s="22"/>
      <c r="TY63" s="22"/>
      <c r="TZ63" s="22"/>
      <c r="UA63" s="22"/>
      <c r="UB63" s="22"/>
      <c r="UC63" s="22"/>
      <c r="UD63" s="22"/>
      <c r="UE63" s="22"/>
      <c r="UF63" s="22"/>
      <c r="UG63" s="22"/>
      <c r="UH63" s="22"/>
      <c r="UI63" s="22"/>
      <c r="UJ63" s="22"/>
      <c r="UK63" s="22"/>
      <c r="UL63" s="22"/>
      <c r="UM63" s="22"/>
      <c r="UN63" s="22"/>
      <c r="UO63" s="22"/>
      <c r="UP63" s="22"/>
      <c r="UQ63" s="22"/>
      <c r="UR63" s="22"/>
      <c r="US63" s="22"/>
      <c r="UT63" s="22"/>
      <c r="UU63" s="22"/>
      <c r="UV63" s="22"/>
      <c r="UW63" s="22"/>
      <c r="UX63" s="22"/>
      <c r="UY63" s="22"/>
      <c r="UZ63" s="22"/>
      <c r="VA63" s="22"/>
      <c r="VB63" s="22"/>
      <c r="VC63" s="22"/>
      <c r="VD63" s="22"/>
    </row>
    <row r="64" spans="1:576" s="117" customFormat="1" ht="18" customHeight="1">
      <c r="A64" s="85">
        <v>38631</v>
      </c>
      <c r="B64" s="86">
        <v>71699</v>
      </c>
      <c r="C64" s="22" t="s">
        <v>20</v>
      </c>
      <c r="D64" s="85">
        <v>2</v>
      </c>
      <c r="E64" s="128" t="s">
        <v>83</v>
      </c>
      <c r="F64" s="85"/>
      <c r="G64" s="22" t="s">
        <v>840</v>
      </c>
      <c r="H64" s="88">
        <v>45632</v>
      </c>
      <c r="I64" s="60">
        <v>3</v>
      </c>
      <c r="J64" s="129" t="s">
        <v>841</v>
      </c>
      <c r="K64" s="63">
        <v>20963</v>
      </c>
      <c r="L64" s="74" t="s">
        <v>82</v>
      </c>
      <c r="M64" s="89"/>
      <c r="N64" s="60"/>
      <c r="O64" s="90"/>
      <c r="P64" s="130" t="s">
        <v>842</v>
      </c>
      <c r="Q64" s="92"/>
      <c r="R64" s="68" t="str">
        <f t="shared" si="1"/>
        <v/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  <c r="IZ64" s="22"/>
      <c r="JA64" s="22"/>
      <c r="JB64" s="22"/>
      <c r="JC64" s="22"/>
      <c r="JD64" s="22"/>
      <c r="JE64" s="22"/>
      <c r="JF64" s="22"/>
      <c r="JG64" s="22"/>
      <c r="JH64" s="22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2"/>
      <c r="LK64" s="22"/>
      <c r="LL64" s="22"/>
      <c r="LM64" s="22"/>
      <c r="LN64" s="22"/>
      <c r="LO64" s="22"/>
      <c r="LP64" s="22"/>
      <c r="LQ64" s="22"/>
      <c r="LR64" s="22"/>
      <c r="LS64" s="22"/>
      <c r="LT64" s="22"/>
      <c r="LU64" s="22"/>
      <c r="LV64" s="22"/>
      <c r="LW64" s="22"/>
      <c r="LX64" s="22"/>
      <c r="LY64" s="22"/>
      <c r="LZ64" s="22"/>
      <c r="MA64" s="22"/>
      <c r="MB64" s="22"/>
      <c r="MC64" s="22"/>
      <c r="MD64" s="22"/>
      <c r="ME64" s="22"/>
      <c r="MF64" s="22"/>
      <c r="MG64" s="22"/>
      <c r="MH64" s="22"/>
      <c r="MI64" s="22"/>
      <c r="MJ64" s="22"/>
      <c r="MK64" s="22"/>
      <c r="ML64" s="22"/>
      <c r="MM64" s="22"/>
      <c r="MN64" s="22"/>
      <c r="MO64" s="22"/>
      <c r="MP64" s="22"/>
      <c r="MQ64" s="22"/>
      <c r="MR64" s="22"/>
      <c r="MS64" s="22"/>
      <c r="MT64" s="22"/>
      <c r="MU64" s="22"/>
      <c r="MV64" s="22"/>
      <c r="MW64" s="22"/>
      <c r="MX64" s="22"/>
      <c r="MY64" s="22"/>
      <c r="MZ64" s="22"/>
      <c r="NA64" s="22"/>
      <c r="NB64" s="22"/>
      <c r="NC64" s="22"/>
      <c r="ND64" s="22"/>
      <c r="NE64" s="22"/>
      <c r="NF64" s="22"/>
      <c r="NG64" s="22"/>
      <c r="NH64" s="22"/>
      <c r="NI64" s="22"/>
      <c r="NJ64" s="22"/>
      <c r="NK64" s="22"/>
      <c r="NL64" s="22"/>
      <c r="NM64" s="22"/>
      <c r="NN64" s="22"/>
      <c r="NO64" s="22"/>
      <c r="NP64" s="22"/>
      <c r="NQ64" s="22"/>
      <c r="NR64" s="22"/>
      <c r="NS64" s="22"/>
      <c r="NT64" s="22"/>
      <c r="NU64" s="22"/>
      <c r="NV64" s="22"/>
      <c r="NW64" s="22"/>
      <c r="NX64" s="22"/>
      <c r="NY64" s="22"/>
      <c r="NZ64" s="22"/>
      <c r="OA64" s="22"/>
      <c r="OB64" s="22"/>
      <c r="OC64" s="22"/>
      <c r="OD64" s="22"/>
      <c r="OE64" s="22"/>
      <c r="OF64" s="22"/>
      <c r="OG64" s="22"/>
      <c r="OH64" s="22"/>
      <c r="OI64" s="22"/>
      <c r="OJ64" s="22"/>
      <c r="OK64" s="22"/>
      <c r="OL64" s="22"/>
      <c r="OM64" s="22"/>
      <c r="ON64" s="22"/>
      <c r="OO64" s="22"/>
      <c r="OP64" s="22"/>
      <c r="OQ64" s="22"/>
      <c r="OR64" s="22"/>
      <c r="OS64" s="22"/>
      <c r="OT64" s="22"/>
      <c r="OU64" s="22"/>
      <c r="OV64" s="22"/>
      <c r="OW64" s="22"/>
      <c r="OX64" s="22"/>
      <c r="OY64" s="22"/>
      <c r="OZ64" s="22"/>
      <c r="PA64" s="22"/>
      <c r="PB64" s="22"/>
      <c r="PC64" s="22"/>
      <c r="PD64" s="22"/>
      <c r="PE64" s="22"/>
      <c r="PF64" s="22"/>
      <c r="PG64" s="22"/>
      <c r="PH64" s="22"/>
      <c r="PI64" s="22"/>
      <c r="PJ64" s="22"/>
      <c r="PK64" s="22"/>
      <c r="PL64" s="22"/>
      <c r="PM64" s="22"/>
      <c r="PN64" s="22"/>
      <c r="PO64" s="22"/>
      <c r="PP64" s="22"/>
      <c r="PQ64" s="22"/>
      <c r="PR64" s="22"/>
      <c r="PS64" s="22"/>
      <c r="PT64" s="22"/>
      <c r="PU64" s="22"/>
      <c r="PV64" s="22"/>
      <c r="PW64" s="22"/>
      <c r="PX64" s="22"/>
      <c r="PY64" s="22"/>
      <c r="PZ64" s="22"/>
      <c r="QA64" s="22"/>
      <c r="QB64" s="22"/>
      <c r="QC64" s="22"/>
      <c r="QD64" s="22"/>
      <c r="QE64" s="22"/>
      <c r="QF64" s="22"/>
      <c r="QG64" s="22"/>
      <c r="QH64" s="22"/>
      <c r="QI64" s="22"/>
      <c r="QJ64" s="22"/>
      <c r="QK64" s="22"/>
      <c r="QL64" s="22"/>
      <c r="QM64" s="22"/>
      <c r="QN64" s="22"/>
      <c r="QO64" s="22"/>
      <c r="QP64" s="22"/>
      <c r="QQ64" s="22"/>
      <c r="QR64" s="22"/>
      <c r="QS64" s="22"/>
      <c r="QT64" s="22"/>
      <c r="QU64" s="22"/>
      <c r="QV64" s="22"/>
      <c r="QW64" s="22"/>
      <c r="QX64" s="22"/>
      <c r="QY64" s="22"/>
      <c r="QZ64" s="22"/>
      <c r="RA64" s="22"/>
      <c r="RB64" s="22"/>
      <c r="RC64" s="22"/>
      <c r="RD64" s="22"/>
      <c r="RE64" s="22"/>
      <c r="RF64" s="22"/>
      <c r="RG64" s="22"/>
      <c r="RH64" s="22"/>
      <c r="RI64" s="22"/>
      <c r="RJ64" s="22"/>
      <c r="RK64" s="22"/>
      <c r="RL64" s="22"/>
      <c r="RM64" s="22"/>
      <c r="RN64" s="22"/>
      <c r="RO64" s="22"/>
      <c r="RP64" s="22"/>
      <c r="RQ64" s="22"/>
      <c r="RR64" s="22"/>
      <c r="RS64" s="22"/>
      <c r="RT64" s="22"/>
      <c r="RU64" s="22"/>
      <c r="RV64" s="22"/>
      <c r="RW64" s="22"/>
      <c r="RX64" s="22"/>
      <c r="RY64" s="22"/>
      <c r="RZ64" s="22"/>
      <c r="SA64" s="22"/>
      <c r="SB64" s="22"/>
      <c r="SC64" s="22"/>
      <c r="SD64" s="22"/>
      <c r="SE64" s="22"/>
      <c r="SF64" s="22"/>
      <c r="SG64" s="22"/>
      <c r="SH64" s="22"/>
      <c r="SI64" s="22"/>
      <c r="SJ64" s="22"/>
      <c r="SK64" s="22"/>
      <c r="SL64" s="22"/>
      <c r="SM64" s="22"/>
      <c r="SN64" s="22"/>
      <c r="SO64" s="22"/>
      <c r="SP64" s="22"/>
      <c r="SQ64" s="22"/>
      <c r="SR64" s="22"/>
      <c r="SS64" s="22"/>
      <c r="ST64" s="22"/>
      <c r="SU64" s="22"/>
      <c r="SV64" s="22"/>
      <c r="SW64" s="22"/>
      <c r="SX64" s="22"/>
      <c r="SY64" s="22"/>
      <c r="SZ64" s="22"/>
      <c r="TA64" s="22"/>
      <c r="TB64" s="22"/>
      <c r="TC64" s="22"/>
      <c r="TD64" s="22"/>
      <c r="TE64" s="22"/>
      <c r="TF64" s="22"/>
      <c r="TG64" s="22"/>
      <c r="TH64" s="22"/>
      <c r="TI64" s="22"/>
      <c r="TJ64" s="22"/>
      <c r="TK64" s="22"/>
      <c r="TL64" s="22"/>
      <c r="TM64" s="22"/>
      <c r="TN64" s="22"/>
      <c r="TO64" s="22"/>
      <c r="TP64" s="22"/>
      <c r="TQ64" s="22"/>
      <c r="TR64" s="22"/>
      <c r="TS64" s="22"/>
      <c r="TT64" s="22"/>
      <c r="TU64" s="22"/>
      <c r="TV64" s="22"/>
      <c r="TW64" s="22"/>
      <c r="TX64" s="22"/>
      <c r="TY64" s="22"/>
      <c r="TZ64" s="22"/>
      <c r="UA64" s="22"/>
      <c r="UB64" s="22"/>
      <c r="UC64" s="22"/>
      <c r="UD64" s="22"/>
      <c r="UE64" s="22"/>
      <c r="UF64" s="22"/>
      <c r="UG64" s="22"/>
      <c r="UH64" s="22"/>
      <c r="UI64" s="22"/>
      <c r="UJ64" s="22"/>
      <c r="UK64" s="22"/>
      <c r="UL64" s="22"/>
      <c r="UM64" s="22"/>
      <c r="UN64" s="22"/>
      <c r="UO64" s="22"/>
      <c r="UP64" s="22"/>
      <c r="UQ64" s="22"/>
      <c r="UR64" s="22"/>
      <c r="US64" s="22"/>
      <c r="UT64" s="22"/>
      <c r="UU64" s="22"/>
      <c r="UV64" s="22"/>
      <c r="UW64" s="22"/>
      <c r="UX64" s="22"/>
      <c r="UY64" s="22"/>
      <c r="UZ64" s="22"/>
      <c r="VA64" s="22"/>
      <c r="VB64" s="22"/>
      <c r="VC64" s="22"/>
      <c r="VD64" s="22"/>
    </row>
    <row r="65" spans="1:576" s="117" customFormat="1" ht="18" customHeight="1">
      <c r="A65" s="85"/>
      <c r="B65" s="86"/>
      <c r="C65" s="22"/>
      <c r="D65" s="85"/>
      <c r="E65" s="87"/>
      <c r="F65" s="85"/>
      <c r="G65" s="22"/>
      <c r="H65" s="88"/>
      <c r="I65" s="60"/>
      <c r="J65" s="22"/>
      <c r="K65" s="63"/>
      <c r="L65" s="60"/>
      <c r="M65" s="89"/>
      <c r="N65" s="60"/>
      <c r="O65" s="90"/>
      <c r="P65" s="91"/>
      <c r="Q65" s="92"/>
      <c r="R65" s="68" t="str">
        <f t="shared" si="1"/>
        <v/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  <c r="IZ65" s="22"/>
      <c r="JA65" s="22"/>
      <c r="JB65" s="22"/>
      <c r="JC65" s="22"/>
      <c r="JD65" s="22"/>
      <c r="JE65" s="22"/>
      <c r="JF65" s="22"/>
      <c r="JG65" s="22"/>
      <c r="JH65" s="22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2"/>
      <c r="LK65" s="22"/>
      <c r="LL65" s="22"/>
      <c r="LM65" s="22"/>
      <c r="LN65" s="22"/>
      <c r="LO65" s="22"/>
      <c r="LP65" s="22"/>
      <c r="LQ65" s="22"/>
      <c r="LR65" s="22"/>
      <c r="LS65" s="22"/>
      <c r="LT65" s="22"/>
      <c r="LU65" s="22"/>
      <c r="LV65" s="22"/>
      <c r="LW65" s="22"/>
      <c r="LX65" s="22"/>
      <c r="LY65" s="22"/>
      <c r="LZ65" s="22"/>
      <c r="MA65" s="22"/>
      <c r="MB65" s="22"/>
      <c r="MC65" s="22"/>
      <c r="MD65" s="22"/>
      <c r="ME65" s="22"/>
      <c r="MF65" s="22"/>
      <c r="MG65" s="22"/>
      <c r="MH65" s="22"/>
      <c r="MI65" s="22"/>
      <c r="MJ65" s="22"/>
      <c r="MK65" s="22"/>
      <c r="ML65" s="22"/>
      <c r="MM65" s="22"/>
      <c r="MN65" s="22"/>
      <c r="MO65" s="22"/>
      <c r="MP65" s="22"/>
      <c r="MQ65" s="22"/>
      <c r="MR65" s="22"/>
      <c r="MS65" s="22"/>
      <c r="MT65" s="22"/>
      <c r="MU65" s="22"/>
      <c r="MV65" s="22"/>
      <c r="MW65" s="22"/>
      <c r="MX65" s="22"/>
      <c r="MY65" s="22"/>
      <c r="MZ65" s="22"/>
      <c r="NA65" s="22"/>
      <c r="NB65" s="22"/>
      <c r="NC65" s="22"/>
      <c r="ND65" s="22"/>
      <c r="NE65" s="22"/>
      <c r="NF65" s="22"/>
      <c r="NG65" s="22"/>
      <c r="NH65" s="22"/>
      <c r="NI65" s="22"/>
      <c r="NJ65" s="22"/>
      <c r="NK65" s="22"/>
      <c r="NL65" s="22"/>
      <c r="NM65" s="22"/>
      <c r="NN65" s="22"/>
      <c r="NO65" s="22"/>
      <c r="NP65" s="22"/>
      <c r="NQ65" s="22"/>
      <c r="NR65" s="22"/>
      <c r="NS65" s="22"/>
      <c r="NT65" s="22"/>
      <c r="NU65" s="22"/>
      <c r="NV65" s="22"/>
      <c r="NW65" s="22"/>
      <c r="NX65" s="22"/>
      <c r="NY65" s="22"/>
      <c r="NZ65" s="22"/>
      <c r="OA65" s="22"/>
      <c r="OB65" s="22"/>
      <c r="OC65" s="22"/>
      <c r="OD65" s="22"/>
      <c r="OE65" s="22"/>
      <c r="OF65" s="22"/>
      <c r="OG65" s="22"/>
      <c r="OH65" s="22"/>
      <c r="OI65" s="22"/>
      <c r="OJ65" s="22"/>
      <c r="OK65" s="22"/>
      <c r="OL65" s="22"/>
      <c r="OM65" s="22"/>
      <c r="ON65" s="22"/>
      <c r="OO65" s="22"/>
      <c r="OP65" s="22"/>
      <c r="OQ65" s="22"/>
      <c r="OR65" s="22"/>
      <c r="OS65" s="22"/>
      <c r="OT65" s="22"/>
      <c r="OU65" s="22"/>
      <c r="OV65" s="22"/>
      <c r="OW65" s="22"/>
      <c r="OX65" s="22"/>
      <c r="OY65" s="22"/>
      <c r="OZ65" s="22"/>
      <c r="PA65" s="22"/>
      <c r="PB65" s="22"/>
      <c r="PC65" s="22"/>
      <c r="PD65" s="22"/>
      <c r="PE65" s="22"/>
      <c r="PF65" s="22"/>
      <c r="PG65" s="22"/>
      <c r="PH65" s="22"/>
      <c r="PI65" s="22"/>
      <c r="PJ65" s="22"/>
      <c r="PK65" s="22"/>
      <c r="PL65" s="22"/>
      <c r="PM65" s="22"/>
      <c r="PN65" s="22"/>
      <c r="PO65" s="22"/>
      <c r="PP65" s="22"/>
      <c r="PQ65" s="22"/>
      <c r="PR65" s="22"/>
      <c r="PS65" s="22"/>
      <c r="PT65" s="22"/>
      <c r="PU65" s="22"/>
      <c r="PV65" s="22"/>
      <c r="PW65" s="22"/>
      <c r="PX65" s="22"/>
      <c r="PY65" s="22"/>
      <c r="PZ65" s="22"/>
      <c r="QA65" s="22"/>
      <c r="QB65" s="22"/>
      <c r="QC65" s="22"/>
      <c r="QD65" s="22"/>
      <c r="QE65" s="22"/>
      <c r="QF65" s="22"/>
      <c r="QG65" s="22"/>
      <c r="QH65" s="22"/>
      <c r="QI65" s="22"/>
      <c r="QJ65" s="22"/>
      <c r="QK65" s="22"/>
      <c r="QL65" s="22"/>
      <c r="QM65" s="22"/>
      <c r="QN65" s="22"/>
      <c r="QO65" s="22"/>
      <c r="QP65" s="22"/>
      <c r="QQ65" s="22"/>
      <c r="QR65" s="22"/>
      <c r="QS65" s="22"/>
      <c r="QT65" s="22"/>
      <c r="QU65" s="22"/>
      <c r="QV65" s="22"/>
      <c r="QW65" s="22"/>
      <c r="QX65" s="22"/>
      <c r="QY65" s="22"/>
      <c r="QZ65" s="22"/>
      <c r="RA65" s="22"/>
      <c r="RB65" s="22"/>
      <c r="RC65" s="22"/>
      <c r="RD65" s="22"/>
      <c r="RE65" s="22"/>
      <c r="RF65" s="22"/>
      <c r="RG65" s="22"/>
      <c r="RH65" s="22"/>
      <c r="RI65" s="22"/>
      <c r="RJ65" s="22"/>
      <c r="RK65" s="22"/>
      <c r="RL65" s="22"/>
      <c r="RM65" s="22"/>
      <c r="RN65" s="22"/>
      <c r="RO65" s="22"/>
      <c r="RP65" s="22"/>
      <c r="RQ65" s="22"/>
      <c r="RR65" s="22"/>
      <c r="RS65" s="22"/>
      <c r="RT65" s="22"/>
      <c r="RU65" s="22"/>
      <c r="RV65" s="22"/>
      <c r="RW65" s="22"/>
      <c r="RX65" s="22"/>
      <c r="RY65" s="22"/>
      <c r="RZ65" s="22"/>
      <c r="SA65" s="22"/>
      <c r="SB65" s="22"/>
      <c r="SC65" s="22"/>
      <c r="SD65" s="22"/>
      <c r="SE65" s="22"/>
      <c r="SF65" s="22"/>
      <c r="SG65" s="22"/>
      <c r="SH65" s="22"/>
      <c r="SI65" s="22"/>
      <c r="SJ65" s="22"/>
      <c r="SK65" s="22"/>
      <c r="SL65" s="22"/>
      <c r="SM65" s="22"/>
      <c r="SN65" s="22"/>
      <c r="SO65" s="22"/>
      <c r="SP65" s="22"/>
      <c r="SQ65" s="22"/>
      <c r="SR65" s="22"/>
      <c r="SS65" s="22"/>
      <c r="ST65" s="22"/>
      <c r="SU65" s="22"/>
      <c r="SV65" s="22"/>
      <c r="SW65" s="22"/>
      <c r="SX65" s="22"/>
      <c r="SY65" s="22"/>
      <c r="SZ65" s="22"/>
      <c r="TA65" s="22"/>
      <c r="TB65" s="22"/>
      <c r="TC65" s="22"/>
      <c r="TD65" s="22"/>
      <c r="TE65" s="22"/>
      <c r="TF65" s="22"/>
      <c r="TG65" s="22"/>
      <c r="TH65" s="22"/>
      <c r="TI65" s="22"/>
      <c r="TJ65" s="22"/>
      <c r="TK65" s="22"/>
      <c r="TL65" s="22"/>
      <c r="TM65" s="22"/>
      <c r="TN65" s="22"/>
      <c r="TO65" s="22"/>
      <c r="TP65" s="22"/>
      <c r="TQ65" s="22"/>
      <c r="TR65" s="22"/>
      <c r="TS65" s="22"/>
      <c r="TT65" s="22"/>
      <c r="TU65" s="22"/>
      <c r="TV65" s="22"/>
      <c r="TW65" s="22"/>
      <c r="TX65" s="22"/>
      <c r="TY65" s="22"/>
      <c r="TZ65" s="22"/>
      <c r="UA65" s="22"/>
      <c r="UB65" s="22"/>
      <c r="UC65" s="22"/>
      <c r="UD65" s="22"/>
      <c r="UE65" s="22"/>
      <c r="UF65" s="22"/>
      <c r="UG65" s="22"/>
      <c r="UH65" s="22"/>
      <c r="UI65" s="22"/>
      <c r="UJ65" s="22"/>
      <c r="UK65" s="22"/>
      <c r="UL65" s="22"/>
      <c r="UM65" s="22"/>
      <c r="UN65" s="22"/>
      <c r="UO65" s="22"/>
      <c r="UP65" s="22"/>
      <c r="UQ65" s="22"/>
      <c r="UR65" s="22"/>
      <c r="US65" s="22"/>
      <c r="UT65" s="22"/>
      <c r="UU65" s="22"/>
      <c r="UV65" s="22"/>
      <c r="UW65" s="22"/>
      <c r="UX65" s="22"/>
      <c r="UY65" s="22"/>
      <c r="UZ65" s="22"/>
      <c r="VA65" s="22"/>
      <c r="VB65" s="22"/>
      <c r="VC65" s="22"/>
      <c r="VD65" s="22"/>
    </row>
    <row r="66" spans="1:576" s="117" customFormat="1" ht="18" customHeight="1">
      <c r="A66" s="131">
        <v>38633</v>
      </c>
      <c r="B66" s="132">
        <v>71710</v>
      </c>
      <c r="C66" s="133" t="s">
        <v>20</v>
      </c>
      <c r="D66" s="131">
        <v>3</v>
      </c>
      <c r="E66" s="134" t="s">
        <v>86</v>
      </c>
      <c r="F66" s="131">
        <v>1</v>
      </c>
      <c r="G66" s="133" t="s">
        <v>822</v>
      </c>
      <c r="H66" s="135">
        <v>45632</v>
      </c>
      <c r="I66" s="136">
        <v>1</v>
      </c>
      <c r="J66" s="133" t="s">
        <v>87</v>
      </c>
      <c r="K66" s="137">
        <v>13925</v>
      </c>
      <c r="L66" s="138" t="s">
        <v>843</v>
      </c>
      <c r="M66" s="139"/>
      <c r="N66" s="136"/>
      <c r="O66" s="140"/>
      <c r="P66" s="141">
        <v>45846</v>
      </c>
      <c r="Q66" s="92"/>
      <c r="R66" s="68" t="str">
        <f t="shared" si="1"/>
        <v/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  <c r="IZ66" s="22"/>
      <c r="JA66" s="22"/>
      <c r="JB66" s="22"/>
      <c r="JC66" s="22"/>
      <c r="JD66" s="22"/>
      <c r="JE66" s="22"/>
      <c r="JF66" s="22"/>
      <c r="JG66" s="22"/>
      <c r="JH66" s="22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2"/>
      <c r="LK66" s="22"/>
      <c r="LL66" s="22"/>
      <c r="LM66" s="22"/>
      <c r="LN66" s="22"/>
      <c r="LO66" s="22"/>
      <c r="LP66" s="22"/>
      <c r="LQ66" s="22"/>
      <c r="LR66" s="22"/>
      <c r="LS66" s="22"/>
      <c r="LT66" s="22"/>
      <c r="LU66" s="22"/>
      <c r="LV66" s="22"/>
      <c r="LW66" s="22"/>
      <c r="LX66" s="22"/>
      <c r="LY66" s="22"/>
      <c r="LZ66" s="22"/>
      <c r="MA66" s="22"/>
      <c r="MB66" s="22"/>
      <c r="MC66" s="22"/>
      <c r="MD66" s="22"/>
      <c r="ME66" s="22"/>
      <c r="MF66" s="22"/>
      <c r="MG66" s="22"/>
      <c r="MH66" s="22"/>
      <c r="MI66" s="22"/>
      <c r="MJ66" s="22"/>
      <c r="MK66" s="22"/>
      <c r="ML66" s="22"/>
      <c r="MM66" s="22"/>
      <c r="MN66" s="22"/>
      <c r="MO66" s="22"/>
      <c r="MP66" s="22"/>
      <c r="MQ66" s="22"/>
      <c r="MR66" s="22"/>
      <c r="MS66" s="22"/>
      <c r="MT66" s="22"/>
      <c r="MU66" s="22"/>
      <c r="MV66" s="22"/>
      <c r="MW66" s="22"/>
      <c r="MX66" s="22"/>
      <c r="MY66" s="22"/>
      <c r="MZ66" s="22"/>
      <c r="NA66" s="22"/>
      <c r="NB66" s="22"/>
      <c r="NC66" s="22"/>
      <c r="ND66" s="22"/>
      <c r="NE66" s="22"/>
      <c r="NF66" s="22"/>
      <c r="NG66" s="22"/>
      <c r="NH66" s="22"/>
      <c r="NI66" s="22"/>
      <c r="NJ66" s="22"/>
      <c r="NK66" s="22"/>
      <c r="NL66" s="22"/>
      <c r="NM66" s="22"/>
      <c r="NN66" s="22"/>
      <c r="NO66" s="22"/>
      <c r="NP66" s="22"/>
      <c r="NQ66" s="22"/>
      <c r="NR66" s="22"/>
      <c r="NS66" s="22"/>
      <c r="NT66" s="22"/>
      <c r="NU66" s="22"/>
      <c r="NV66" s="22"/>
      <c r="NW66" s="22"/>
      <c r="NX66" s="22"/>
      <c r="NY66" s="22"/>
      <c r="NZ66" s="22"/>
      <c r="OA66" s="22"/>
      <c r="OB66" s="22"/>
      <c r="OC66" s="22"/>
      <c r="OD66" s="22"/>
      <c r="OE66" s="22"/>
      <c r="OF66" s="22"/>
      <c r="OG66" s="22"/>
      <c r="OH66" s="22"/>
      <c r="OI66" s="22"/>
      <c r="OJ66" s="22"/>
      <c r="OK66" s="22"/>
      <c r="OL66" s="22"/>
      <c r="OM66" s="22"/>
      <c r="ON66" s="22"/>
      <c r="OO66" s="22"/>
      <c r="OP66" s="22"/>
      <c r="OQ66" s="22"/>
      <c r="OR66" s="22"/>
      <c r="OS66" s="22"/>
      <c r="OT66" s="22"/>
      <c r="OU66" s="22"/>
      <c r="OV66" s="22"/>
      <c r="OW66" s="22"/>
      <c r="OX66" s="22"/>
      <c r="OY66" s="22"/>
      <c r="OZ66" s="22"/>
      <c r="PA66" s="22"/>
      <c r="PB66" s="22"/>
      <c r="PC66" s="22"/>
      <c r="PD66" s="22"/>
      <c r="PE66" s="22"/>
      <c r="PF66" s="22"/>
      <c r="PG66" s="22"/>
      <c r="PH66" s="22"/>
      <c r="PI66" s="22"/>
      <c r="PJ66" s="22"/>
      <c r="PK66" s="22"/>
      <c r="PL66" s="22"/>
      <c r="PM66" s="22"/>
      <c r="PN66" s="22"/>
      <c r="PO66" s="22"/>
      <c r="PP66" s="22"/>
      <c r="PQ66" s="22"/>
      <c r="PR66" s="22"/>
      <c r="PS66" s="22"/>
      <c r="PT66" s="22"/>
      <c r="PU66" s="22"/>
      <c r="PV66" s="22"/>
      <c r="PW66" s="22"/>
      <c r="PX66" s="22"/>
      <c r="PY66" s="22"/>
      <c r="PZ66" s="22"/>
      <c r="QA66" s="22"/>
      <c r="QB66" s="22"/>
      <c r="QC66" s="22"/>
      <c r="QD66" s="22"/>
      <c r="QE66" s="22"/>
      <c r="QF66" s="22"/>
      <c r="QG66" s="22"/>
      <c r="QH66" s="22"/>
      <c r="QI66" s="22"/>
      <c r="QJ66" s="22"/>
      <c r="QK66" s="22"/>
      <c r="QL66" s="22"/>
      <c r="QM66" s="22"/>
      <c r="QN66" s="22"/>
      <c r="QO66" s="22"/>
      <c r="QP66" s="22"/>
      <c r="QQ66" s="22"/>
      <c r="QR66" s="22"/>
      <c r="QS66" s="22"/>
      <c r="QT66" s="22"/>
      <c r="QU66" s="22"/>
      <c r="QV66" s="22"/>
      <c r="QW66" s="22"/>
      <c r="QX66" s="22"/>
      <c r="QY66" s="22"/>
      <c r="QZ66" s="22"/>
      <c r="RA66" s="22"/>
      <c r="RB66" s="22"/>
      <c r="RC66" s="22"/>
      <c r="RD66" s="22"/>
      <c r="RE66" s="22"/>
      <c r="RF66" s="22"/>
      <c r="RG66" s="22"/>
      <c r="RH66" s="22"/>
      <c r="RI66" s="22"/>
      <c r="RJ66" s="22"/>
      <c r="RK66" s="22"/>
      <c r="RL66" s="22"/>
      <c r="RM66" s="22"/>
      <c r="RN66" s="22"/>
      <c r="RO66" s="22"/>
      <c r="RP66" s="22"/>
      <c r="RQ66" s="22"/>
      <c r="RR66" s="22"/>
      <c r="RS66" s="22"/>
      <c r="RT66" s="22"/>
      <c r="RU66" s="22"/>
      <c r="RV66" s="22"/>
      <c r="RW66" s="22"/>
      <c r="RX66" s="22"/>
      <c r="RY66" s="22"/>
      <c r="RZ66" s="22"/>
      <c r="SA66" s="22"/>
      <c r="SB66" s="22"/>
      <c r="SC66" s="22"/>
      <c r="SD66" s="22"/>
      <c r="SE66" s="22"/>
      <c r="SF66" s="22"/>
      <c r="SG66" s="22"/>
      <c r="SH66" s="22"/>
      <c r="SI66" s="22"/>
      <c r="SJ66" s="22"/>
      <c r="SK66" s="22"/>
      <c r="SL66" s="22"/>
      <c r="SM66" s="22"/>
      <c r="SN66" s="22"/>
      <c r="SO66" s="22"/>
      <c r="SP66" s="22"/>
      <c r="SQ66" s="22"/>
      <c r="SR66" s="22"/>
      <c r="SS66" s="22"/>
      <c r="ST66" s="22"/>
      <c r="SU66" s="22"/>
      <c r="SV66" s="22"/>
      <c r="SW66" s="22"/>
      <c r="SX66" s="22"/>
      <c r="SY66" s="22"/>
      <c r="SZ66" s="22"/>
      <c r="TA66" s="22"/>
      <c r="TB66" s="22"/>
      <c r="TC66" s="22"/>
      <c r="TD66" s="22"/>
      <c r="TE66" s="22"/>
      <c r="TF66" s="22"/>
      <c r="TG66" s="22"/>
      <c r="TH66" s="22"/>
      <c r="TI66" s="22"/>
      <c r="TJ66" s="22"/>
      <c r="TK66" s="22"/>
      <c r="TL66" s="22"/>
      <c r="TM66" s="22"/>
      <c r="TN66" s="22"/>
      <c r="TO66" s="22"/>
      <c r="TP66" s="22"/>
      <c r="TQ66" s="22"/>
      <c r="TR66" s="22"/>
      <c r="TS66" s="22"/>
      <c r="TT66" s="22"/>
      <c r="TU66" s="22"/>
      <c r="TV66" s="22"/>
      <c r="TW66" s="22"/>
      <c r="TX66" s="22"/>
      <c r="TY66" s="22"/>
      <c r="TZ66" s="22"/>
      <c r="UA66" s="22"/>
      <c r="UB66" s="22"/>
      <c r="UC66" s="22"/>
      <c r="UD66" s="22"/>
      <c r="UE66" s="22"/>
      <c r="UF66" s="22"/>
      <c r="UG66" s="22"/>
      <c r="UH66" s="22"/>
      <c r="UI66" s="22"/>
      <c r="UJ66" s="22"/>
      <c r="UK66" s="22"/>
      <c r="UL66" s="22"/>
      <c r="UM66" s="22"/>
      <c r="UN66" s="22"/>
      <c r="UO66" s="22"/>
      <c r="UP66" s="22"/>
      <c r="UQ66" s="22"/>
      <c r="UR66" s="22"/>
      <c r="US66" s="22"/>
      <c r="UT66" s="22"/>
      <c r="UU66" s="22"/>
      <c r="UV66" s="22"/>
      <c r="UW66" s="22"/>
      <c r="UX66" s="22"/>
      <c r="UY66" s="22"/>
      <c r="UZ66" s="22"/>
      <c r="VA66" s="22"/>
      <c r="VB66" s="22"/>
      <c r="VC66" s="22"/>
      <c r="VD66" s="22"/>
    </row>
    <row r="67" spans="1:576" s="117" customFormat="1" ht="18" customHeight="1">
      <c r="A67" s="131">
        <v>38633</v>
      </c>
      <c r="B67" s="225">
        <v>71711</v>
      </c>
      <c r="C67" s="133" t="s">
        <v>20</v>
      </c>
      <c r="D67" s="131">
        <v>3</v>
      </c>
      <c r="E67" s="134" t="s">
        <v>88</v>
      </c>
      <c r="F67" s="131" t="s">
        <v>602</v>
      </c>
      <c r="G67" s="133" t="s">
        <v>822</v>
      </c>
      <c r="H67" s="135">
        <v>45632</v>
      </c>
      <c r="I67" s="136">
        <v>2</v>
      </c>
      <c r="J67" s="133" t="s">
        <v>89</v>
      </c>
      <c r="K67" s="142">
        <v>5097</v>
      </c>
      <c r="L67" s="138" t="s">
        <v>843</v>
      </c>
      <c r="M67" s="139"/>
      <c r="N67" s="136"/>
      <c r="O67" s="140"/>
      <c r="P67" s="143">
        <v>45362</v>
      </c>
      <c r="Q67" s="92"/>
      <c r="R67" s="68" t="str">
        <f t="shared" si="1"/>
        <v/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  <c r="IZ67" s="22"/>
      <c r="JA67" s="22"/>
      <c r="JB67" s="22"/>
      <c r="JC67" s="22"/>
      <c r="JD67" s="22"/>
      <c r="JE67" s="22"/>
      <c r="JF67" s="22"/>
      <c r="JG67" s="22"/>
      <c r="JH67" s="22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2"/>
      <c r="LK67" s="22"/>
      <c r="LL67" s="22"/>
      <c r="LM67" s="22"/>
      <c r="LN67" s="22"/>
      <c r="LO67" s="22"/>
      <c r="LP67" s="22"/>
      <c r="LQ67" s="22"/>
      <c r="LR67" s="22"/>
      <c r="LS67" s="22"/>
      <c r="LT67" s="22"/>
      <c r="LU67" s="22"/>
      <c r="LV67" s="22"/>
      <c r="LW67" s="22"/>
      <c r="LX67" s="22"/>
      <c r="LY67" s="22"/>
      <c r="LZ67" s="22"/>
      <c r="MA67" s="22"/>
      <c r="MB67" s="22"/>
      <c r="MC67" s="22"/>
      <c r="MD67" s="22"/>
      <c r="ME67" s="22"/>
      <c r="MF67" s="22"/>
      <c r="MG67" s="22"/>
      <c r="MH67" s="22"/>
      <c r="MI67" s="22"/>
      <c r="MJ67" s="22"/>
      <c r="MK67" s="22"/>
      <c r="ML67" s="22"/>
      <c r="MM67" s="22"/>
      <c r="MN67" s="22"/>
      <c r="MO67" s="22"/>
      <c r="MP67" s="22"/>
      <c r="MQ67" s="22"/>
      <c r="MR67" s="22"/>
      <c r="MS67" s="22"/>
      <c r="MT67" s="22"/>
      <c r="MU67" s="22"/>
      <c r="MV67" s="22"/>
      <c r="MW67" s="22"/>
      <c r="MX67" s="22"/>
      <c r="MY67" s="22"/>
      <c r="MZ67" s="22"/>
      <c r="NA67" s="22"/>
      <c r="NB67" s="22"/>
      <c r="NC67" s="22"/>
      <c r="ND67" s="22"/>
      <c r="NE67" s="22"/>
      <c r="NF67" s="22"/>
      <c r="NG67" s="22"/>
      <c r="NH67" s="22"/>
      <c r="NI67" s="22"/>
      <c r="NJ67" s="22"/>
      <c r="NK67" s="22"/>
      <c r="NL67" s="22"/>
      <c r="NM67" s="22"/>
      <c r="NN67" s="22"/>
      <c r="NO67" s="22"/>
      <c r="NP67" s="22"/>
      <c r="NQ67" s="22"/>
      <c r="NR67" s="22"/>
      <c r="NS67" s="22"/>
      <c r="NT67" s="22"/>
      <c r="NU67" s="22"/>
      <c r="NV67" s="22"/>
      <c r="NW67" s="22"/>
      <c r="NX67" s="22"/>
      <c r="NY67" s="22"/>
      <c r="NZ67" s="22"/>
      <c r="OA67" s="22"/>
      <c r="OB67" s="22"/>
      <c r="OC67" s="22"/>
      <c r="OD67" s="22"/>
      <c r="OE67" s="22"/>
      <c r="OF67" s="22"/>
      <c r="OG67" s="22"/>
      <c r="OH67" s="22"/>
      <c r="OI67" s="22"/>
      <c r="OJ67" s="22"/>
      <c r="OK67" s="22"/>
      <c r="OL67" s="22"/>
      <c r="OM67" s="22"/>
      <c r="ON67" s="22"/>
      <c r="OO67" s="22"/>
      <c r="OP67" s="22"/>
      <c r="OQ67" s="22"/>
      <c r="OR67" s="22"/>
      <c r="OS67" s="22"/>
      <c r="OT67" s="22"/>
      <c r="OU67" s="22"/>
      <c r="OV67" s="22"/>
      <c r="OW67" s="22"/>
      <c r="OX67" s="22"/>
      <c r="OY67" s="22"/>
      <c r="OZ67" s="22"/>
      <c r="PA67" s="22"/>
      <c r="PB67" s="22"/>
      <c r="PC67" s="22"/>
      <c r="PD67" s="22"/>
      <c r="PE67" s="22"/>
      <c r="PF67" s="22"/>
      <c r="PG67" s="22"/>
      <c r="PH67" s="22"/>
      <c r="PI67" s="22"/>
      <c r="PJ67" s="22"/>
      <c r="PK67" s="22"/>
      <c r="PL67" s="22"/>
      <c r="PM67" s="22"/>
      <c r="PN67" s="22"/>
      <c r="PO67" s="22"/>
      <c r="PP67" s="22"/>
      <c r="PQ67" s="22"/>
      <c r="PR67" s="22"/>
      <c r="PS67" s="22"/>
      <c r="PT67" s="22"/>
      <c r="PU67" s="22"/>
      <c r="PV67" s="22"/>
      <c r="PW67" s="22"/>
      <c r="PX67" s="22"/>
      <c r="PY67" s="22"/>
      <c r="PZ67" s="22"/>
      <c r="QA67" s="22"/>
      <c r="QB67" s="22"/>
      <c r="QC67" s="22"/>
      <c r="QD67" s="22"/>
      <c r="QE67" s="22"/>
      <c r="QF67" s="22"/>
      <c r="QG67" s="22"/>
      <c r="QH67" s="22"/>
      <c r="QI67" s="22"/>
      <c r="QJ67" s="22"/>
      <c r="QK67" s="22"/>
      <c r="QL67" s="22"/>
      <c r="QM67" s="22"/>
      <c r="QN67" s="22"/>
      <c r="QO67" s="22"/>
      <c r="QP67" s="22"/>
      <c r="QQ67" s="22"/>
      <c r="QR67" s="22"/>
      <c r="QS67" s="22"/>
      <c r="QT67" s="22"/>
      <c r="QU67" s="22"/>
      <c r="QV67" s="22"/>
      <c r="QW67" s="22"/>
      <c r="QX67" s="22"/>
      <c r="QY67" s="22"/>
      <c r="QZ67" s="22"/>
      <c r="RA67" s="22"/>
      <c r="RB67" s="22"/>
      <c r="RC67" s="22"/>
      <c r="RD67" s="22"/>
      <c r="RE67" s="22"/>
      <c r="RF67" s="22"/>
      <c r="RG67" s="22"/>
      <c r="RH67" s="22"/>
      <c r="RI67" s="22"/>
      <c r="RJ67" s="22"/>
      <c r="RK67" s="22"/>
      <c r="RL67" s="22"/>
      <c r="RM67" s="22"/>
      <c r="RN67" s="22"/>
      <c r="RO67" s="22"/>
      <c r="RP67" s="22"/>
      <c r="RQ67" s="22"/>
      <c r="RR67" s="22"/>
      <c r="RS67" s="22"/>
      <c r="RT67" s="22"/>
      <c r="RU67" s="22"/>
      <c r="RV67" s="22"/>
      <c r="RW67" s="22"/>
      <c r="RX67" s="22"/>
      <c r="RY67" s="22"/>
      <c r="RZ67" s="22"/>
      <c r="SA67" s="22"/>
      <c r="SB67" s="22"/>
      <c r="SC67" s="22"/>
      <c r="SD67" s="22"/>
      <c r="SE67" s="22"/>
      <c r="SF67" s="22"/>
      <c r="SG67" s="22"/>
      <c r="SH67" s="22"/>
      <c r="SI67" s="22"/>
      <c r="SJ67" s="22"/>
      <c r="SK67" s="22"/>
      <c r="SL67" s="22"/>
      <c r="SM67" s="22"/>
      <c r="SN67" s="22"/>
      <c r="SO67" s="22"/>
      <c r="SP67" s="22"/>
      <c r="SQ67" s="22"/>
      <c r="SR67" s="22"/>
      <c r="SS67" s="22"/>
      <c r="ST67" s="22"/>
      <c r="SU67" s="22"/>
      <c r="SV67" s="22"/>
      <c r="SW67" s="22"/>
      <c r="SX67" s="22"/>
      <c r="SY67" s="22"/>
      <c r="SZ67" s="22"/>
      <c r="TA67" s="22"/>
      <c r="TB67" s="22"/>
      <c r="TC67" s="22"/>
      <c r="TD67" s="22"/>
      <c r="TE67" s="22"/>
      <c r="TF67" s="22"/>
      <c r="TG67" s="22"/>
      <c r="TH67" s="22"/>
      <c r="TI67" s="22"/>
      <c r="TJ67" s="22"/>
      <c r="TK67" s="22"/>
      <c r="TL67" s="22"/>
      <c r="TM67" s="22"/>
      <c r="TN67" s="22"/>
      <c r="TO67" s="22"/>
      <c r="TP67" s="22"/>
      <c r="TQ67" s="22"/>
      <c r="TR67" s="22"/>
      <c r="TS67" s="22"/>
      <c r="TT67" s="22"/>
      <c r="TU67" s="22"/>
      <c r="TV67" s="22"/>
      <c r="TW67" s="22"/>
      <c r="TX67" s="22"/>
      <c r="TY67" s="22"/>
      <c r="TZ67" s="22"/>
      <c r="UA67" s="22"/>
      <c r="UB67" s="22"/>
      <c r="UC67" s="22"/>
      <c r="UD67" s="22"/>
      <c r="UE67" s="22"/>
      <c r="UF67" s="22"/>
      <c r="UG67" s="22"/>
      <c r="UH67" s="22"/>
      <c r="UI67" s="22"/>
      <c r="UJ67" s="22"/>
      <c r="UK67" s="22"/>
      <c r="UL67" s="22"/>
      <c r="UM67" s="22"/>
      <c r="UN67" s="22"/>
      <c r="UO67" s="22"/>
      <c r="UP67" s="22"/>
      <c r="UQ67" s="22"/>
      <c r="UR67" s="22"/>
      <c r="US67" s="22"/>
      <c r="UT67" s="22"/>
      <c r="UU67" s="22"/>
      <c r="UV67" s="22"/>
      <c r="UW67" s="22"/>
      <c r="UX67" s="22"/>
      <c r="UY67" s="22"/>
      <c r="UZ67" s="22"/>
      <c r="VA67" s="22"/>
      <c r="VB67" s="22"/>
      <c r="VC67" s="22"/>
      <c r="VD67" s="22"/>
    </row>
    <row r="68" spans="1:576" ht="18" customHeight="1">
      <c r="A68" s="131">
        <v>38633</v>
      </c>
      <c r="B68" s="132">
        <v>71712</v>
      </c>
      <c r="C68" s="133" t="s">
        <v>20</v>
      </c>
      <c r="D68" s="131">
        <v>3</v>
      </c>
      <c r="E68" s="134" t="s">
        <v>90</v>
      </c>
      <c r="F68" s="131">
        <v>2</v>
      </c>
      <c r="G68" s="133" t="s">
        <v>822</v>
      </c>
      <c r="H68" s="135">
        <v>45632</v>
      </c>
      <c r="I68" s="136">
        <v>3</v>
      </c>
      <c r="J68" s="133" t="s">
        <v>91</v>
      </c>
      <c r="K68" s="142">
        <v>20139</v>
      </c>
      <c r="L68" s="138" t="s">
        <v>843</v>
      </c>
      <c r="M68" s="139"/>
      <c r="N68" s="136"/>
      <c r="O68" s="140"/>
      <c r="P68" s="143">
        <v>45362</v>
      </c>
      <c r="Q68" s="92"/>
      <c r="R68" s="68" t="str">
        <f t="shared" si="1"/>
        <v/>
      </c>
      <c r="S68" s="22"/>
    </row>
    <row r="69" spans="1:576" ht="18" customHeight="1">
      <c r="A69" s="131">
        <v>38633</v>
      </c>
      <c r="B69" s="225">
        <v>71713</v>
      </c>
      <c r="C69" s="133" t="s">
        <v>20</v>
      </c>
      <c r="D69" s="131">
        <v>4</v>
      </c>
      <c r="E69" s="134" t="s">
        <v>92</v>
      </c>
      <c r="F69" s="131">
        <v>0</v>
      </c>
      <c r="G69" s="133" t="s">
        <v>822</v>
      </c>
      <c r="H69" s="135">
        <v>45632</v>
      </c>
      <c r="I69" s="136">
        <v>5</v>
      </c>
      <c r="J69" s="133" t="s">
        <v>93</v>
      </c>
      <c r="K69" s="142">
        <v>7704</v>
      </c>
      <c r="L69" s="138" t="s">
        <v>843</v>
      </c>
      <c r="M69" s="139"/>
      <c r="N69" s="136"/>
      <c r="O69" s="140"/>
      <c r="P69" s="143">
        <v>45362</v>
      </c>
      <c r="Q69" s="92"/>
      <c r="R69" s="68" t="str">
        <f t="shared" si="1"/>
        <v/>
      </c>
      <c r="S69" s="22"/>
    </row>
    <row r="70" spans="1:576" ht="18" customHeight="1">
      <c r="A70" s="131">
        <v>38633</v>
      </c>
      <c r="B70" s="132">
        <v>71714</v>
      </c>
      <c r="C70" s="133" t="s">
        <v>20</v>
      </c>
      <c r="D70" s="131">
        <v>1</v>
      </c>
      <c r="E70" s="134" t="s">
        <v>94</v>
      </c>
      <c r="F70" s="131">
        <v>0</v>
      </c>
      <c r="G70" s="133" t="s">
        <v>822</v>
      </c>
      <c r="H70" s="135">
        <v>45632</v>
      </c>
      <c r="I70" s="136">
        <v>6</v>
      </c>
      <c r="J70" s="133" t="s">
        <v>95</v>
      </c>
      <c r="K70" s="142">
        <v>5546</v>
      </c>
      <c r="L70" s="138" t="s">
        <v>843</v>
      </c>
      <c r="M70" s="139"/>
      <c r="N70" s="136"/>
      <c r="O70" s="140"/>
      <c r="P70" s="143">
        <v>45362</v>
      </c>
      <c r="Q70" s="92"/>
      <c r="R70" s="68" t="str">
        <f t="shared" si="1"/>
        <v/>
      </c>
      <c r="S70" s="22"/>
    </row>
    <row r="71" spans="1:576" ht="18" customHeight="1">
      <c r="A71" s="85"/>
      <c r="B71" s="86"/>
      <c r="C71" s="22"/>
      <c r="D71" s="85"/>
      <c r="E71" s="87"/>
      <c r="F71" s="85"/>
      <c r="G71" s="22"/>
      <c r="H71" s="88"/>
      <c r="J71" s="22"/>
      <c r="M71" s="89"/>
      <c r="N71" s="60"/>
      <c r="O71" s="90"/>
      <c r="P71" s="91"/>
      <c r="Q71" s="92"/>
      <c r="R71" s="68" t="str">
        <f t="shared" si="1"/>
        <v/>
      </c>
      <c r="S71" s="22"/>
    </row>
    <row r="72" spans="1:576" ht="18" customHeight="1">
      <c r="A72" s="85">
        <v>38636</v>
      </c>
      <c r="B72" s="86">
        <v>71717</v>
      </c>
      <c r="C72" s="22" t="s">
        <v>45</v>
      </c>
      <c r="D72" s="85">
        <v>60000</v>
      </c>
      <c r="E72" s="87" t="s">
        <v>97</v>
      </c>
      <c r="F72" s="85"/>
      <c r="G72" s="22" t="s">
        <v>844</v>
      </c>
      <c r="H72" s="88">
        <v>45636</v>
      </c>
      <c r="I72" s="60">
        <v>1</v>
      </c>
      <c r="J72" s="22" t="s">
        <v>845</v>
      </c>
      <c r="K72" s="63">
        <v>3.44</v>
      </c>
      <c r="L72" s="60" t="s">
        <v>96</v>
      </c>
      <c r="M72" s="89"/>
      <c r="N72" s="60"/>
      <c r="O72" s="90"/>
      <c r="P72" s="91">
        <v>45992</v>
      </c>
      <c r="Q72" s="92"/>
      <c r="R72" s="68" t="str">
        <f t="shared" si="1"/>
        <v/>
      </c>
      <c r="S72" s="22"/>
    </row>
    <row r="73" spans="1:576" ht="18" customHeight="1">
      <c r="A73" s="85">
        <v>38636</v>
      </c>
      <c r="B73" s="86">
        <v>71718</v>
      </c>
      <c r="C73" s="22" t="s">
        <v>45</v>
      </c>
      <c r="D73" s="85">
        <v>55500</v>
      </c>
      <c r="E73" s="87" t="s">
        <v>97</v>
      </c>
      <c r="F73" s="85"/>
      <c r="G73" s="22" t="s">
        <v>844</v>
      </c>
      <c r="H73" s="88">
        <v>45636</v>
      </c>
      <c r="I73" s="60">
        <v>2</v>
      </c>
      <c r="J73" s="22" t="s">
        <v>846</v>
      </c>
      <c r="K73" s="63">
        <v>3.44</v>
      </c>
      <c r="L73" s="60" t="s">
        <v>96</v>
      </c>
      <c r="M73" s="89"/>
      <c r="N73" s="60"/>
      <c r="O73" s="90"/>
      <c r="P73" s="91">
        <v>45992</v>
      </c>
      <c r="Q73" s="92"/>
      <c r="R73" s="68" t="str">
        <f t="shared" si="1"/>
        <v/>
      </c>
      <c r="S73" s="22"/>
    </row>
    <row r="74" spans="1:576" ht="18" customHeight="1">
      <c r="A74" s="85"/>
      <c r="B74" s="86"/>
      <c r="C74" s="22"/>
      <c r="D74" s="85"/>
      <c r="E74" s="87"/>
      <c r="F74" s="85"/>
      <c r="G74" s="22"/>
      <c r="H74" s="88"/>
      <c r="J74" s="22"/>
      <c r="M74" s="89"/>
      <c r="N74" s="60"/>
      <c r="O74" s="90"/>
      <c r="P74" s="91"/>
      <c r="Q74" s="92"/>
      <c r="R74" s="68" t="str">
        <f t="shared" si="1"/>
        <v/>
      </c>
      <c r="S74" s="22"/>
    </row>
    <row r="75" spans="1:576" ht="18" customHeight="1">
      <c r="A75" s="144">
        <v>38644</v>
      </c>
      <c r="B75" s="225">
        <v>71730</v>
      </c>
      <c r="C75" s="145" t="s">
        <v>20</v>
      </c>
      <c r="D75" s="144">
        <v>3</v>
      </c>
      <c r="E75" s="146" t="s">
        <v>101</v>
      </c>
      <c r="F75" s="144"/>
      <c r="G75" s="147" t="s">
        <v>847</v>
      </c>
      <c r="H75" s="148">
        <v>45638</v>
      </c>
      <c r="I75" s="149">
        <v>1</v>
      </c>
      <c r="J75" s="145" t="s">
        <v>102</v>
      </c>
      <c r="K75" s="150">
        <v>794</v>
      </c>
      <c r="L75" s="151" t="s">
        <v>848</v>
      </c>
      <c r="M75" s="152"/>
      <c r="N75" s="149"/>
      <c r="O75" s="153"/>
      <c r="P75" s="154">
        <v>45716</v>
      </c>
      <c r="Q75" s="92"/>
      <c r="R75" s="68" t="str">
        <f t="shared" si="1"/>
        <v/>
      </c>
      <c r="S75" s="22"/>
    </row>
    <row r="76" spans="1:576" ht="18" customHeight="1">
      <c r="A76" s="144">
        <v>38644</v>
      </c>
      <c r="B76" s="225">
        <v>71731</v>
      </c>
      <c r="C76" s="145" t="s">
        <v>20</v>
      </c>
      <c r="D76" s="144">
        <v>3</v>
      </c>
      <c r="E76" s="146" t="s">
        <v>103</v>
      </c>
      <c r="F76" s="144"/>
      <c r="G76" s="147" t="s">
        <v>847</v>
      </c>
      <c r="H76" s="148">
        <v>45638</v>
      </c>
      <c r="I76" s="149">
        <v>2</v>
      </c>
      <c r="J76" s="145" t="s">
        <v>104</v>
      </c>
      <c r="K76" s="150">
        <v>1241</v>
      </c>
      <c r="L76" s="151" t="s">
        <v>848</v>
      </c>
      <c r="M76" s="152"/>
      <c r="N76" s="149"/>
      <c r="O76" s="153"/>
      <c r="P76" s="154">
        <v>45716</v>
      </c>
      <c r="Q76" s="92"/>
      <c r="R76" s="68" t="str">
        <f t="shared" si="1"/>
        <v/>
      </c>
      <c r="S76" s="22"/>
    </row>
    <row r="77" spans="1:576" ht="18" customHeight="1">
      <c r="A77" s="144">
        <v>38644</v>
      </c>
      <c r="B77" s="225">
        <v>71732</v>
      </c>
      <c r="C77" s="145" t="s">
        <v>20</v>
      </c>
      <c r="D77" s="144">
        <v>3</v>
      </c>
      <c r="E77" s="146" t="s">
        <v>105</v>
      </c>
      <c r="F77" s="144"/>
      <c r="G77" s="147" t="s">
        <v>847</v>
      </c>
      <c r="H77" s="148">
        <v>45638</v>
      </c>
      <c r="I77" s="149">
        <v>3</v>
      </c>
      <c r="J77" s="145" t="s">
        <v>106</v>
      </c>
      <c r="K77" s="150">
        <v>825</v>
      </c>
      <c r="L77" s="151" t="s">
        <v>848</v>
      </c>
      <c r="M77" s="152"/>
      <c r="N77" s="149"/>
      <c r="O77" s="153"/>
      <c r="P77" s="154">
        <v>45716</v>
      </c>
      <c r="Q77" s="92"/>
      <c r="R77" s="68" t="str">
        <f t="shared" si="1"/>
        <v/>
      </c>
      <c r="S77" s="22"/>
    </row>
    <row r="78" spans="1:576" ht="18" customHeight="1">
      <c r="A78" s="144">
        <v>38644</v>
      </c>
      <c r="B78" s="225">
        <v>71733</v>
      </c>
      <c r="C78" s="145" t="s">
        <v>20</v>
      </c>
      <c r="D78" s="144">
        <v>3</v>
      </c>
      <c r="E78" s="146" t="s">
        <v>107</v>
      </c>
      <c r="F78" s="144"/>
      <c r="G78" s="147" t="s">
        <v>847</v>
      </c>
      <c r="H78" s="148">
        <v>45638</v>
      </c>
      <c r="I78" s="149">
        <v>4</v>
      </c>
      <c r="J78" s="145" t="s">
        <v>108</v>
      </c>
      <c r="K78" s="150">
        <v>520</v>
      </c>
      <c r="L78" s="151" t="s">
        <v>848</v>
      </c>
      <c r="M78" s="152"/>
      <c r="N78" s="149"/>
      <c r="O78" s="153"/>
      <c r="P78" s="154">
        <v>45716</v>
      </c>
      <c r="Q78" s="92"/>
      <c r="R78" s="68" t="str">
        <f t="shared" si="1"/>
        <v/>
      </c>
      <c r="S78" s="22"/>
    </row>
    <row r="79" spans="1:576" ht="18" customHeight="1">
      <c r="A79" s="144">
        <v>38644</v>
      </c>
      <c r="B79" s="225">
        <v>71734</v>
      </c>
      <c r="C79" s="145" t="s">
        <v>20</v>
      </c>
      <c r="D79" s="144">
        <v>7</v>
      </c>
      <c r="E79" s="146" t="s">
        <v>109</v>
      </c>
      <c r="F79" s="144"/>
      <c r="G79" s="147" t="s">
        <v>847</v>
      </c>
      <c r="H79" s="148">
        <v>45638</v>
      </c>
      <c r="I79" s="149">
        <v>5</v>
      </c>
      <c r="J79" s="145" t="s">
        <v>110</v>
      </c>
      <c r="K79" s="150">
        <v>2017</v>
      </c>
      <c r="L79" s="151" t="s">
        <v>848</v>
      </c>
      <c r="M79" s="152"/>
      <c r="N79" s="149"/>
      <c r="O79" s="153"/>
      <c r="P79" s="154">
        <v>45716</v>
      </c>
      <c r="Q79" s="92"/>
      <c r="R79" s="68" t="str">
        <f t="shared" si="1"/>
        <v/>
      </c>
      <c r="S79" s="22"/>
    </row>
    <row r="80" spans="1:576" ht="18" customHeight="1">
      <c r="A80" s="144">
        <v>38644</v>
      </c>
      <c r="B80" s="225">
        <v>71735</v>
      </c>
      <c r="C80" s="145" t="s">
        <v>20</v>
      </c>
      <c r="D80" s="144">
        <v>7</v>
      </c>
      <c r="E80" s="146" t="s">
        <v>111</v>
      </c>
      <c r="F80" s="144"/>
      <c r="G80" s="147" t="s">
        <v>847</v>
      </c>
      <c r="H80" s="148">
        <v>45638</v>
      </c>
      <c r="I80" s="149">
        <v>6</v>
      </c>
      <c r="J80" s="145" t="s">
        <v>112</v>
      </c>
      <c r="K80" s="150">
        <v>1350</v>
      </c>
      <c r="L80" s="151" t="s">
        <v>848</v>
      </c>
      <c r="M80" s="152"/>
      <c r="N80" s="149"/>
      <c r="O80" s="153"/>
      <c r="P80" s="154">
        <v>45716</v>
      </c>
      <c r="Q80" s="92"/>
      <c r="R80" s="68" t="str">
        <f t="shared" si="1"/>
        <v/>
      </c>
      <c r="S80" s="22"/>
    </row>
    <row r="81" spans="1:19" ht="18" customHeight="1">
      <c r="A81" s="144">
        <v>38644</v>
      </c>
      <c r="B81" s="225">
        <v>71736</v>
      </c>
      <c r="C81" s="145" t="s">
        <v>20</v>
      </c>
      <c r="D81" s="144">
        <v>7</v>
      </c>
      <c r="E81" s="146" t="s">
        <v>113</v>
      </c>
      <c r="F81" s="144"/>
      <c r="G81" s="147" t="s">
        <v>847</v>
      </c>
      <c r="H81" s="148">
        <v>45638</v>
      </c>
      <c r="I81" s="149">
        <v>7</v>
      </c>
      <c r="J81" s="145" t="s">
        <v>114</v>
      </c>
      <c r="K81" s="150">
        <v>1827</v>
      </c>
      <c r="L81" s="151" t="s">
        <v>848</v>
      </c>
      <c r="M81" s="152"/>
      <c r="N81" s="149"/>
      <c r="O81" s="153"/>
      <c r="P81" s="154">
        <v>45716</v>
      </c>
      <c r="Q81" s="92"/>
      <c r="R81" s="68" t="str">
        <f t="shared" si="1"/>
        <v/>
      </c>
      <c r="S81" s="22"/>
    </row>
    <row r="82" spans="1:19" ht="18" customHeight="1">
      <c r="A82" s="144">
        <v>38644</v>
      </c>
      <c r="B82" s="225">
        <v>71737</v>
      </c>
      <c r="C82" s="145" t="s">
        <v>20</v>
      </c>
      <c r="D82" s="144">
        <v>14</v>
      </c>
      <c r="E82" s="146" t="s">
        <v>115</v>
      </c>
      <c r="F82" s="144"/>
      <c r="G82" s="147" t="s">
        <v>847</v>
      </c>
      <c r="H82" s="148">
        <v>45638</v>
      </c>
      <c r="I82" s="149">
        <v>8</v>
      </c>
      <c r="J82" s="145" t="s">
        <v>116</v>
      </c>
      <c r="K82" s="150">
        <v>174</v>
      </c>
      <c r="L82" s="151" t="s">
        <v>848</v>
      </c>
      <c r="M82" s="152"/>
      <c r="N82" s="149"/>
      <c r="O82" s="153"/>
      <c r="P82" s="154">
        <v>45716</v>
      </c>
      <c r="Q82" s="92"/>
      <c r="R82" s="68" t="str">
        <f t="shared" si="1"/>
        <v/>
      </c>
      <c r="S82" s="22"/>
    </row>
    <row r="83" spans="1:19" ht="18" customHeight="1">
      <c r="A83" s="144">
        <v>38644</v>
      </c>
      <c r="B83" s="225">
        <v>71738</v>
      </c>
      <c r="C83" s="145" t="s">
        <v>20</v>
      </c>
      <c r="D83" s="144">
        <v>14</v>
      </c>
      <c r="E83" s="146" t="s">
        <v>117</v>
      </c>
      <c r="F83" s="144"/>
      <c r="G83" s="147" t="s">
        <v>847</v>
      </c>
      <c r="H83" s="148">
        <v>45638</v>
      </c>
      <c r="I83" s="149">
        <v>9</v>
      </c>
      <c r="J83" s="145" t="s">
        <v>118</v>
      </c>
      <c r="K83" s="150">
        <v>138</v>
      </c>
      <c r="L83" s="151" t="s">
        <v>848</v>
      </c>
      <c r="M83" s="152"/>
      <c r="N83" s="149"/>
      <c r="O83" s="153"/>
      <c r="P83" s="154">
        <v>45716</v>
      </c>
      <c r="Q83" s="92"/>
      <c r="R83" s="68" t="str">
        <f t="shared" si="1"/>
        <v/>
      </c>
      <c r="S83" s="22"/>
    </row>
    <row r="84" spans="1:19" ht="18" customHeight="1">
      <c r="A84" s="144">
        <v>38644</v>
      </c>
      <c r="B84" s="225">
        <v>71739</v>
      </c>
      <c r="C84" s="145" t="s">
        <v>20</v>
      </c>
      <c r="D84" s="144">
        <v>1</v>
      </c>
      <c r="E84" s="146" t="s">
        <v>119</v>
      </c>
      <c r="F84" s="144"/>
      <c r="G84" s="147" t="s">
        <v>847</v>
      </c>
      <c r="H84" s="148">
        <v>45638</v>
      </c>
      <c r="I84" s="149">
        <v>10</v>
      </c>
      <c r="J84" s="145" t="s">
        <v>120</v>
      </c>
      <c r="K84" s="150">
        <v>43580</v>
      </c>
      <c r="L84" s="151" t="s">
        <v>848</v>
      </c>
      <c r="M84" s="152"/>
      <c r="N84" s="149"/>
      <c r="O84" s="153"/>
      <c r="P84" s="154">
        <v>45716</v>
      </c>
      <c r="Q84" s="92"/>
      <c r="R84" s="68" t="str">
        <f t="shared" si="1"/>
        <v/>
      </c>
      <c r="S84" s="22"/>
    </row>
    <row r="85" spans="1:19" ht="18" customHeight="1">
      <c r="A85" s="144">
        <v>38644</v>
      </c>
      <c r="B85" s="225">
        <v>71999</v>
      </c>
      <c r="C85" s="145" t="s">
        <v>20</v>
      </c>
      <c r="D85" s="144">
        <v>4</v>
      </c>
      <c r="E85" s="146" t="s">
        <v>146</v>
      </c>
      <c r="F85" s="144"/>
      <c r="G85" s="147" t="s">
        <v>847</v>
      </c>
      <c r="H85" s="148">
        <v>45688</v>
      </c>
      <c r="I85" s="149">
        <v>11</v>
      </c>
      <c r="J85" s="145" t="s">
        <v>147</v>
      </c>
      <c r="K85" s="150">
        <v>3624</v>
      </c>
      <c r="L85" s="151" t="s">
        <v>848</v>
      </c>
      <c r="M85" s="152"/>
      <c r="N85" s="149"/>
      <c r="O85" s="153"/>
      <c r="P85" s="154"/>
      <c r="Q85" s="92"/>
      <c r="R85" s="68" t="str">
        <f t="shared" si="1"/>
        <v/>
      </c>
      <c r="S85" s="22"/>
    </row>
    <row r="86" spans="1:19" ht="18" customHeight="1">
      <c r="A86" s="85"/>
      <c r="B86" s="86"/>
      <c r="C86" s="22"/>
      <c r="D86" s="85"/>
      <c r="E86" s="87"/>
      <c r="F86" s="85"/>
      <c r="G86" s="156"/>
      <c r="H86" s="88"/>
      <c r="J86" s="22"/>
      <c r="M86" s="89"/>
      <c r="N86" s="60"/>
      <c r="O86" s="90"/>
      <c r="P86" s="91"/>
      <c r="Q86" s="92"/>
      <c r="R86" s="68" t="str">
        <f t="shared" si="1"/>
        <v/>
      </c>
      <c r="S86" s="22"/>
    </row>
    <row r="87" spans="1:19" ht="18" customHeight="1">
      <c r="A87" s="118">
        <v>38647</v>
      </c>
      <c r="B87" s="225">
        <v>71742</v>
      </c>
      <c r="C87" s="120" t="s">
        <v>20</v>
      </c>
      <c r="D87" s="118">
        <v>5</v>
      </c>
      <c r="E87" s="121" t="s">
        <v>80</v>
      </c>
      <c r="F87" s="118">
        <v>0</v>
      </c>
      <c r="G87" s="120" t="s">
        <v>822</v>
      </c>
      <c r="H87" s="122">
        <v>45629</v>
      </c>
      <c r="I87" s="123">
        <v>1</v>
      </c>
      <c r="J87" s="120" t="s">
        <v>81</v>
      </c>
      <c r="K87" s="124">
        <v>34988</v>
      </c>
      <c r="L87" s="157" t="s">
        <v>849</v>
      </c>
      <c r="M87" s="125"/>
      <c r="N87" s="123"/>
      <c r="O87" s="126"/>
      <c r="P87" s="127">
        <v>45737</v>
      </c>
      <c r="Q87" s="92"/>
      <c r="R87" s="68" t="str">
        <f t="shared" si="1"/>
        <v/>
      </c>
      <c r="S87" s="22"/>
    </row>
    <row r="88" spans="1:19" ht="18" customHeight="1">
      <c r="A88" s="85"/>
      <c r="B88" s="86"/>
      <c r="C88" s="22"/>
      <c r="D88" s="85"/>
      <c r="E88" s="87"/>
      <c r="F88" s="85"/>
      <c r="G88" s="22"/>
      <c r="H88" s="88"/>
      <c r="J88" s="22"/>
      <c r="M88" s="89"/>
      <c r="N88" s="60"/>
      <c r="O88" s="90"/>
      <c r="P88" s="91"/>
      <c r="Q88" s="92"/>
      <c r="R88" s="68" t="str">
        <f t="shared" si="1"/>
        <v/>
      </c>
      <c r="S88" s="22"/>
    </row>
    <row r="89" spans="1:19" ht="18" customHeight="1">
      <c r="A89" s="158">
        <v>38648</v>
      </c>
      <c r="B89" s="158">
        <v>71743</v>
      </c>
      <c r="C89" s="159" t="s">
        <v>20</v>
      </c>
      <c r="D89" s="158">
        <v>3</v>
      </c>
      <c r="E89" s="160" t="s">
        <v>122</v>
      </c>
      <c r="F89" s="158"/>
      <c r="G89" s="161" t="s">
        <v>850</v>
      </c>
      <c r="H89" s="162">
        <v>45642</v>
      </c>
      <c r="I89" s="163">
        <v>1</v>
      </c>
      <c r="J89" s="159" t="s">
        <v>123</v>
      </c>
      <c r="K89" s="164">
        <v>6273</v>
      </c>
      <c r="L89" s="163" t="s">
        <v>851</v>
      </c>
      <c r="M89" s="165"/>
      <c r="N89" s="163"/>
      <c r="O89" s="166"/>
      <c r="P89" s="167">
        <v>45758</v>
      </c>
      <c r="Q89" s="168"/>
      <c r="R89" s="68" t="str">
        <f t="shared" si="1"/>
        <v/>
      </c>
      <c r="S89" s="22"/>
    </row>
    <row r="90" spans="1:19" ht="18" customHeight="1">
      <c r="A90" s="158">
        <v>38648</v>
      </c>
      <c r="B90" s="158">
        <v>71744</v>
      </c>
      <c r="C90" s="159" t="s">
        <v>20</v>
      </c>
      <c r="D90" s="158">
        <v>4</v>
      </c>
      <c r="E90" s="160" t="s">
        <v>159</v>
      </c>
      <c r="F90" s="158"/>
      <c r="G90" s="161" t="s">
        <v>850</v>
      </c>
      <c r="H90" s="162">
        <v>45642</v>
      </c>
      <c r="I90" s="163">
        <v>2</v>
      </c>
      <c r="J90" s="159" t="s">
        <v>124</v>
      </c>
      <c r="K90" s="164">
        <v>4910</v>
      </c>
      <c r="L90" s="163" t="s">
        <v>851</v>
      </c>
      <c r="M90" s="165"/>
      <c r="N90" s="163"/>
      <c r="O90" s="166"/>
      <c r="P90" s="167">
        <v>45758</v>
      </c>
      <c r="Q90" s="168"/>
      <c r="R90" s="68" t="str">
        <f t="shared" si="1"/>
        <v/>
      </c>
      <c r="S90" s="22"/>
    </row>
    <row r="91" spans="1:19" ht="18" customHeight="1">
      <c r="A91" s="158">
        <v>38648</v>
      </c>
      <c r="B91" s="158">
        <v>71745</v>
      </c>
      <c r="C91" s="159" t="s">
        <v>20</v>
      </c>
      <c r="D91" s="158">
        <v>8</v>
      </c>
      <c r="E91" s="169" t="s">
        <v>160</v>
      </c>
      <c r="F91" s="158"/>
      <c r="G91" s="161" t="s">
        <v>850</v>
      </c>
      <c r="H91" s="162">
        <v>45642</v>
      </c>
      <c r="I91" s="163">
        <v>3</v>
      </c>
      <c r="J91" s="159" t="s">
        <v>126</v>
      </c>
      <c r="K91" s="164">
        <v>2317</v>
      </c>
      <c r="L91" s="163" t="s">
        <v>851</v>
      </c>
      <c r="M91" s="165"/>
      <c r="N91" s="163"/>
      <c r="O91" s="166"/>
      <c r="P91" s="167">
        <v>45758</v>
      </c>
      <c r="Q91" s="168"/>
      <c r="R91" s="68" t="str">
        <f t="shared" si="1"/>
        <v/>
      </c>
      <c r="S91" s="22"/>
    </row>
    <row r="92" spans="1:19" ht="18" customHeight="1">
      <c r="A92" s="158">
        <v>38648</v>
      </c>
      <c r="B92" s="158">
        <v>71746</v>
      </c>
      <c r="C92" s="159" t="s">
        <v>20</v>
      </c>
      <c r="D92" s="158">
        <v>4</v>
      </c>
      <c r="E92" s="160" t="s">
        <v>127</v>
      </c>
      <c r="F92" s="158"/>
      <c r="G92" s="161" t="s">
        <v>850</v>
      </c>
      <c r="H92" s="162">
        <v>45642</v>
      </c>
      <c r="I92" s="163">
        <v>4</v>
      </c>
      <c r="J92" s="159" t="s">
        <v>128</v>
      </c>
      <c r="K92" s="164">
        <v>3497</v>
      </c>
      <c r="L92" s="163" t="s">
        <v>851</v>
      </c>
      <c r="M92" s="165"/>
      <c r="N92" s="163"/>
      <c r="O92" s="166"/>
      <c r="P92" s="167">
        <v>45758</v>
      </c>
      <c r="Q92" s="168"/>
      <c r="R92" s="68" t="str">
        <f t="shared" si="1"/>
        <v/>
      </c>
      <c r="S92" s="22"/>
    </row>
    <row r="93" spans="1:19" ht="18" customHeight="1">
      <c r="A93" s="85"/>
      <c r="B93" s="86"/>
      <c r="C93" s="22"/>
      <c r="D93" s="85"/>
      <c r="E93" s="87"/>
      <c r="F93" s="85"/>
      <c r="G93" s="22"/>
      <c r="H93" s="88"/>
      <c r="J93" s="22"/>
      <c r="M93" s="89"/>
      <c r="N93" s="60"/>
      <c r="O93" s="90"/>
      <c r="P93" s="91"/>
      <c r="Q93" s="92"/>
      <c r="R93" s="68" t="str">
        <f t="shared" si="1"/>
        <v/>
      </c>
      <c r="S93" s="22"/>
    </row>
    <row r="94" spans="1:19" ht="18" customHeight="1">
      <c r="A94" s="107">
        <v>38669</v>
      </c>
      <c r="B94" s="108">
        <v>71829</v>
      </c>
      <c r="C94" s="109" t="s">
        <v>20</v>
      </c>
      <c r="D94" s="107">
        <v>9</v>
      </c>
      <c r="E94" s="110" t="s">
        <v>22</v>
      </c>
      <c r="F94" s="107">
        <v>1</v>
      </c>
      <c r="G94" s="109" t="s">
        <v>822</v>
      </c>
      <c r="H94" s="111">
        <v>45649</v>
      </c>
      <c r="I94" s="112">
        <v>1</v>
      </c>
      <c r="J94" s="109" t="s">
        <v>823</v>
      </c>
      <c r="K94" s="113">
        <v>16293</v>
      </c>
      <c r="L94" s="112" t="s">
        <v>852</v>
      </c>
      <c r="M94" s="114"/>
      <c r="N94" s="112"/>
      <c r="O94" s="115"/>
      <c r="P94" s="116">
        <v>45779</v>
      </c>
      <c r="Q94" s="92"/>
      <c r="R94" s="68" t="str">
        <f t="shared" si="1"/>
        <v/>
      </c>
      <c r="S94" s="22"/>
    </row>
    <row r="95" spans="1:19" ht="18" customHeight="1">
      <c r="A95" s="107">
        <v>38669</v>
      </c>
      <c r="B95" s="225">
        <v>71830</v>
      </c>
      <c r="C95" s="109" t="s">
        <v>20</v>
      </c>
      <c r="D95" s="107">
        <v>16</v>
      </c>
      <c r="E95" s="110" t="s">
        <v>63</v>
      </c>
      <c r="F95" s="107"/>
      <c r="G95" s="109" t="s">
        <v>822</v>
      </c>
      <c r="H95" s="111">
        <v>45649</v>
      </c>
      <c r="I95" s="112">
        <v>2</v>
      </c>
      <c r="J95" s="109" t="s">
        <v>825</v>
      </c>
      <c r="K95" s="113">
        <v>1985</v>
      </c>
      <c r="L95" s="112" t="s">
        <v>852</v>
      </c>
      <c r="M95" s="114"/>
      <c r="N95" s="112"/>
      <c r="O95" s="115"/>
      <c r="P95" s="116">
        <v>45779</v>
      </c>
      <c r="Q95" s="92"/>
      <c r="R95" s="68" t="str">
        <f t="shared" si="1"/>
        <v/>
      </c>
      <c r="S95" s="22"/>
    </row>
    <row r="96" spans="1:19" ht="18" customHeight="1">
      <c r="A96" s="107">
        <v>38669</v>
      </c>
      <c r="B96" s="108">
        <v>71831</v>
      </c>
      <c r="C96" s="109" t="s">
        <v>20</v>
      </c>
      <c r="D96" s="107">
        <v>8</v>
      </c>
      <c r="E96" s="110" t="s">
        <v>25</v>
      </c>
      <c r="F96" s="107"/>
      <c r="G96" s="109" t="s">
        <v>822</v>
      </c>
      <c r="H96" s="111">
        <v>45649</v>
      </c>
      <c r="I96" s="112">
        <v>3</v>
      </c>
      <c r="J96" s="109" t="s">
        <v>24</v>
      </c>
      <c r="K96" s="113">
        <v>1935</v>
      </c>
      <c r="L96" s="112" t="s">
        <v>852</v>
      </c>
      <c r="M96" s="114"/>
      <c r="N96" s="112"/>
      <c r="O96" s="115"/>
      <c r="P96" s="116">
        <v>45779</v>
      </c>
      <c r="Q96" s="92"/>
      <c r="R96" s="68" t="str">
        <f t="shared" si="1"/>
        <v/>
      </c>
      <c r="S96" s="22"/>
    </row>
    <row r="97" spans="1:19" ht="18" customHeight="1">
      <c r="A97" s="107">
        <v>38669</v>
      </c>
      <c r="B97" s="225">
        <v>71832</v>
      </c>
      <c r="C97" s="109" t="s">
        <v>20</v>
      </c>
      <c r="D97" s="107">
        <v>7</v>
      </c>
      <c r="E97" s="110" t="s">
        <v>65</v>
      </c>
      <c r="F97" s="107"/>
      <c r="G97" s="109" t="s">
        <v>822</v>
      </c>
      <c r="H97" s="111">
        <v>45649</v>
      </c>
      <c r="I97" s="112">
        <v>4</v>
      </c>
      <c r="J97" s="109" t="s">
        <v>853</v>
      </c>
      <c r="K97" s="113">
        <v>258</v>
      </c>
      <c r="L97" s="112" t="s">
        <v>852</v>
      </c>
      <c r="M97" s="114"/>
      <c r="N97" s="112"/>
      <c r="O97" s="115"/>
      <c r="P97" s="116">
        <v>45779</v>
      </c>
      <c r="Q97" s="92"/>
      <c r="R97" s="68" t="str">
        <f t="shared" si="1"/>
        <v/>
      </c>
      <c r="S97" s="22"/>
    </row>
    <row r="98" spans="1:19" ht="18" customHeight="1">
      <c r="A98" s="107">
        <v>38669</v>
      </c>
      <c r="B98" s="108">
        <v>71833</v>
      </c>
      <c r="C98" s="109" t="s">
        <v>20</v>
      </c>
      <c r="D98" s="107">
        <v>28</v>
      </c>
      <c r="E98" s="110" t="s">
        <v>27</v>
      </c>
      <c r="F98" s="107"/>
      <c r="G98" s="109" t="s">
        <v>822</v>
      </c>
      <c r="H98" s="111">
        <v>45649</v>
      </c>
      <c r="I98" s="112">
        <v>5</v>
      </c>
      <c r="J98" s="109" t="s">
        <v>827</v>
      </c>
      <c r="K98" s="113">
        <v>188</v>
      </c>
      <c r="L98" s="112" t="s">
        <v>852</v>
      </c>
      <c r="M98" s="114"/>
      <c r="N98" s="112"/>
      <c r="O98" s="115"/>
      <c r="P98" s="116">
        <v>45779</v>
      </c>
      <c r="Q98" s="92"/>
      <c r="R98" s="68" t="str">
        <f t="shared" si="1"/>
        <v/>
      </c>
      <c r="S98" s="22"/>
    </row>
    <row r="99" spans="1:19" ht="18" customHeight="1">
      <c r="A99" s="107">
        <v>38669</v>
      </c>
      <c r="B99" s="225">
        <v>650</v>
      </c>
      <c r="C99" s="109" t="s">
        <v>20</v>
      </c>
      <c r="D99" s="107">
        <v>11</v>
      </c>
      <c r="E99" s="110" t="s">
        <v>29</v>
      </c>
      <c r="F99" s="107"/>
      <c r="G99" s="109" t="s">
        <v>822</v>
      </c>
      <c r="H99" s="111">
        <v>45649</v>
      </c>
      <c r="I99" s="112">
        <v>6</v>
      </c>
      <c r="J99" s="109" t="s">
        <v>828</v>
      </c>
      <c r="K99" s="113">
        <v>1936</v>
      </c>
      <c r="L99" s="112" t="s">
        <v>852</v>
      </c>
      <c r="M99" s="114"/>
      <c r="N99" s="112"/>
      <c r="O99" s="115"/>
      <c r="P99" s="116">
        <v>45779</v>
      </c>
      <c r="Q99" s="92"/>
      <c r="R99" s="68" t="str">
        <f t="shared" si="1"/>
        <v/>
      </c>
      <c r="S99" s="22"/>
    </row>
    <row r="100" spans="1:19" ht="18" customHeight="1">
      <c r="A100" s="107">
        <v>38669</v>
      </c>
      <c r="B100" s="225">
        <v>71835</v>
      </c>
      <c r="C100" s="109" t="s">
        <v>20</v>
      </c>
      <c r="D100" s="107">
        <v>11</v>
      </c>
      <c r="E100" s="110" t="s">
        <v>31</v>
      </c>
      <c r="F100" s="107"/>
      <c r="G100" s="109" t="s">
        <v>822</v>
      </c>
      <c r="H100" s="111">
        <v>45649</v>
      </c>
      <c r="I100" s="112">
        <v>7</v>
      </c>
      <c r="J100" s="109" t="s">
        <v>854</v>
      </c>
      <c r="K100" s="113">
        <v>1195</v>
      </c>
      <c r="L100" s="112" t="s">
        <v>852</v>
      </c>
      <c r="M100" s="114"/>
      <c r="N100" s="112"/>
      <c r="O100" s="115"/>
      <c r="P100" s="116">
        <v>45779</v>
      </c>
      <c r="Q100" s="92"/>
      <c r="R100" s="68" t="str">
        <f t="shared" ref="R100:R117" si="2">IF(SUM(Q100)&gt;0,SUM(Q100-P100),"")</f>
        <v/>
      </c>
      <c r="S100" s="22"/>
    </row>
    <row r="101" spans="1:19" ht="18" customHeight="1">
      <c r="A101" s="107">
        <v>38669</v>
      </c>
      <c r="B101" s="108">
        <v>71836</v>
      </c>
      <c r="C101" s="109" t="s">
        <v>20</v>
      </c>
      <c r="D101" s="107">
        <v>14</v>
      </c>
      <c r="E101" s="110" t="s">
        <v>33</v>
      </c>
      <c r="F101" s="107"/>
      <c r="G101" s="109" t="s">
        <v>822</v>
      </c>
      <c r="H101" s="111">
        <v>45649</v>
      </c>
      <c r="I101" s="112">
        <v>8</v>
      </c>
      <c r="J101" s="109" t="s">
        <v>32</v>
      </c>
      <c r="K101" s="113">
        <v>568</v>
      </c>
      <c r="L101" s="112" t="s">
        <v>852</v>
      </c>
      <c r="M101" s="114"/>
      <c r="N101" s="112"/>
      <c r="O101" s="115"/>
      <c r="P101" s="116">
        <v>45779</v>
      </c>
      <c r="Q101" s="92"/>
      <c r="R101" s="68" t="str">
        <f t="shared" si="2"/>
        <v/>
      </c>
      <c r="S101" s="22"/>
    </row>
    <row r="102" spans="1:19" ht="18" customHeight="1">
      <c r="A102" s="107">
        <v>38669</v>
      </c>
      <c r="B102" s="108">
        <v>71837</v>
      </c>
      <c r="C102" s="109" t="s">
        <v>20</v>
      </c>
      <c r="D102" s="107">
        <v>8</v>
      </c>
      <c r="E102" s="110" t="s">
        <v>830</v>
      </c>
      <c r="F102" s="107"/>
      <c r="G102" s="109" t="s">
        <v>822</v>
      </c>
      <c r="H102" s="111">
        <v>45649</v>
      </c>
      <c r="I102" s="112">
        <v>9</v>
      </c>
      <c r="J102" s="109" t="s">
        <v>765</v>
      </c>
      <c r="K102" s="113">
        <v>498</v>
      </c>
      <c r="L102" s="112" t="s">
        <v>852</v>
      </c>
      <c r="M102" s="114"/>
      <c r="N102" s="112"/>
      <c r="O102" s="115"/>
      <c r="P102" s="116">
        <v>45779</v>
      </c>
      <c r="Q102" s="92"/>
      <c r="R102" s="68" t="str">
        <f t="shared" si="2"/>
        <v/>
      </c>
      <c r="S102" s="22"/>
    </row>
    <row r="103" spans="1:19" ht="18" customHeight="1">
      <c r="A103" s="107">
        <v>38669</v>
      </c>
      <c r="B103" s="225">
        <v>71838</v>
      </c>
      <c r="C103" s="109" t="s">
        <v>20</v>
      </c>
      <c r="D103" s="107">
        <v>8</v>
      </c>
      <c r="E103" s="110" t="s">
        <v>67</v>
      </c>
      <c r="F103" s="107"/>
      <c r="G103" s="109" t="s">
        <v>822</v>
      </c>
      <c r="H103" s="111">
        <v>45649</v>
      </c>
      <c r="I103" s="112">
        <v>10</v>
      </c>
      <c r="J103" s="109" t="s">
        <v>832</v>
      </c>
      <c r="K103" s="113">
        <v>1155</v>
      </c>
      <c r="L103" s="112" t="s">
        <v>852</v>
      </c>
      <c r="M103" s="114"/>
      <c r="N103" s="112"/>
      <c r="O103" s="115"/>
      <c r="P103" s="116">
        <v>45779</v>
      </c>
      <c r="Q103" s="92"/>
      <c r="R103" s="68" t="str">
        <f t="shared" si="2"/>
        <v/>
      </c>
      <c r="S103" s="22"/>
    </row>
    <row r="104" spans="1:19" ht="18" customHeight="1">
      <c r="A104" s="107">
        <v>38669</v>
      </c>
      <c r="B104" s="225">
        <v>71839</v>
      </c>
      <c r="C104" s="109" t="s">
        <v>20</v>
      </c>
      <c r="D104" s="107">
        <v>8</v>
      </c>
      <c r="E104" s="110" t="s">
        <v>69</v>
      </c>
      <c r="F104" s="107"/>
      <c r="G104" s="109" t="s">
        <v>822</v>
      </c>
      <c r="H104" s="111">
        <v>45649</v>
      </c>
      <c r="I104" s="112">
        <v>11</v>
      </c>
      <c r="J104" s="109" t="s">
        <v>833</v>
      </c>
      <c r="K104" s="113">
        <v>1357</v>
      </c>
      <c r="L104" s="112" t="s">
        <v>852</v>
      </c>
      <c r="M104" s="114"/>
      <c r="N104" s="112"/>
      <c r="O104" s="115"/>
      <c r="P104" s="116">
        <v>45779</v>
      </c>
      <c r="Q104" s="92"/>
      <c r="R104" s="68" t="str">
        <f t="shared" si="2"/>
        <v/>
      </c>
      <c r="S104" s="22"/>
    </row>
    <row r="105" spans="1:19" ht="18" customHeight="1">
      <c r="A105" s="107">
        <v>38669</v>
      </c>
      <c r="B105" s="225">
        <v>71840</v>
      </c>
      <c r="C105" s="109" t="s">
        <v>20</v>
      </c>
      <c r="D105" s="107">
        <v>8</v>
      </c>
      <c r="E105" s="110" t="s">
        <v>70</v>
      </c>
      <c r="F105" s="107"/>
      <c r="G105" s="109" t="s">
        <v>822</v>
      </c>
      <c r="H105" s="111">
        <v>45649</v>
      </c>
      <c r="I105" s="112">
        <v>12</v>
      </c>
      <c r="J105" s="109" t="s">
        <v>834</v>
      </c>
      <c r="K105" s="113">
        <v>780</v>
      </c>
      <c r="L105" s="112" t="s">
        <v>852</v>
      </c>
      <c r="M105" s="114"/>
      <c r="N105" s="112"/>
      <c r="O105" s="115"/>
      <c r="P105" s="116">
        <v>45779</v>
      </c>
      <c r="Q105" s="92"/>
      <c r="R105" s="68" t="str">
        <f t="shared" si="2"/>
        <v/>
      </c>
      <c r="S105" s="22"/>
    </row>
    <row r="106" spans="1:19" ht="18" customHeight="1">
      <c r="A106" s="107">
        <v>38669</v>
      </c>
      <c r="B106" s="225">
        <v>71841</v>
      </c>
      <c r="C106" s="109" t="s">
        <v>20</v>
      </c>
      <c r="D106" s="107">
        <v>8</v>
      </c>
      <c r="E106" s="110" t="s">
        <v>72</v>
      </c>
      <c r="F106" s="107"/>
      <c r="G106" s="109" t="s">
        <v>822</v>
      </c>
      <c r="H106" s="111">
        <v>45649</v>
      </c>
      <c r="I106" s="112">
        <v>13</v>
      </c>
      <c r="J106" s="109" t="s">
        <v>835</v>
      </c>
      <c r="K106" s="113">
        <v>754</v>
      </c>
      <c r="L106" s="112" t="s">
        <v>852</v>
      </c>
      <c r="M106" s="114"/>
      <c r="N106" s="112"/>
      <c r="O106" s="115"/>
      <c r="P106" s="116">
        <v>45779</v>
      </c>
      <c r="Q106" s="92"/>
      <c r="R106" s="68" t="str">
        <f t="shared" si="2"/>
        <v/>
      </c>
      <c r="S106" s="22"/>
    </row>
    <row r="107" spans="1:19" ht="18" customHeight="1">
      <c r="A107" s="107">
        <v>38669</v>
      </c>
      <c r="B107" s="225">
        <v>71842</v>
      </c>
      <c r="C107" s="109" t="s">
        <v>20</v>
      </c>
      <c r="D107" s="107">
        <v>6</v>
      </c>
      <c r="E107" s="110" t="s">
        <v>74</v>
      </c>
      <c r="F107" s="107"/>
      <c r="G107" s="109" t="s">
        <v>822</v>
      </c>
      <c r="H107" s="111">
        <v>45649</v>
      </c>
      <c r="I107" s="112">
        <v>14</v>
      </c>
      <c r="J107" s="109" t="s">
        <v>836</v>
      </c>
      <c r="K107" s="113">
        <v>4828</v>
      </c>
      <c r="L107" s="112" t="s">
        <v>852</v>
      </c>
      <c r="M107" s="114"/>
      <c r="N107" s="112"/>
      <c r="O107" s="115"/>
      <c r="P107" s="116">
        <v>45779</v>
      </c>
      <c r="Q107" s="92"/>
      <c r="R107" s="68" t="str">
        <f t="shared" si="2"/>
        <v/>
      </c>
      <c r="S107" s="22"/>
    </row>
    <row r="108" spans="1:19" ht="18" customHeight="1">
      <c r="A108" s="107">
        <v>38669</v>
      </c>
      <c r="B108" s="108">
        <v>71843</v>
      </c>
      <c r="C108" s="109" t="s">
        <v>20</v>
      </c>
      <c r="D108" s="107">
        <v>8</v>
      </c>
      <c r="E108" s="110" t="s">
        <v>76</v>
      </c>
      <c r="F108" s="107"/>
      <c r="G108" s="109" t="s">
        <v>822</v>
      </c>
      <c r="H108" s="111">
        <v>45649</v>
      </c>
      <c r="I108" s="112">
        <v>15</v>
      </c>
      <c r="J108" s="109" t="s">
        <v>837</v>
      </c>
      <c r="K108" s="113">
        <v>665</v>
      </c>
      <c r="L108" s="112" t="s">
        <v>852</v>
      </c>
      <c r="M108" s="114"/>
      <c r="N108" s="112"/>
      <c r="O108" s="115"/>
      <c r="P108" s="116">
        <v>45779</v>
      </c>
      <c r="Q108" s="92"/>
      <c r="R108" s="68" t="str">
        <f t="shared" si="2"/>
        <v/>
      </c>
      <c r="S108" s="22"/>
    </row>
    <row r="109" spans="1:19" ht="18" customHeight="1">
      <c r="A109" s="107">
        <v>38669</v>
      </c>
      <c r="B109" s="225">
        <v>71844</v>
      </c>
      <c r="C109" s="109" t="s">
        <v>20</v>
      </c>
      <c r="D109" s="107">
        <v>8</v>
      </c>
      <c r="E109" s="110" t="s">
        <v>78</v>
      </c>
      <c r="F109" s="107"/>
      <c r="G109" s="109" t="s">
        <v>822</v>
      </c>
      <c r="H109" s="111">
        <v>45649</v>
      </c>
      <c r="I109" s="112">
        <v>16</v>
      </c>
      <c r="J109" s="109" t="s">
        <v>838</v>
      </c>
      <c r="K109" s="113">
        <v>639</v>
      </c>
      <c r="L109" s="112" t="s">
        <v>852</v>
      </c>
      <c r="M109" s="114"/>
      <c r="N109" s="112"/>
      <c r="O109" s="115"/>
      <c r="P109" s="116">
        <v>45779</v>
      </c>
      <c r="Q109" s="92"/>
      <c r="R109" s="68" t="str">
        <f t="shared" si="2"/>
        <v/>
      </c>
      <c r="S109" s="22"/>
    </row>
    <row r="110" spans="1:19" ht="18" customHeight="1">
      <c r="A110" s="85"/>
      <c r="B110" s="86"/>
      <c r="C110" s="22"/>
      <c r="D110" s="85"/>
      <c r="E110" s="87"/>
      <c r="F110" s="85"/>
      <c r="G110" s="22"/>
      <c r="H110" s="88"/>
      <c r="J110" s="22"/>
      <c r="M110" s="89"/>
      <c r="N110" s="60"/>
      <c r="O110" s="90"/>
      <c r="P110" s="91"/>
      <c r="Q110" s="92"/>
      <c r="R110" s="68" t="str">
        <f t="shared" si="2"/>
        <v/>
      </c>
      <c r="S110" s="22"/>
    </row>
    <row r="111" spans="1:19" ht="18" customHeight="1">
      <c r="A111" s="131">
        <v>38670</v>
      </c>
      <c r="B111" s="132">
        <v>71845</v>
      </c>
      <c r="C111" s="133" t="s">
        <v>20</v>
      </c>
      <c r="D111" s="131">
        <v>3</v>
      </c>
      <c r="E111" s="134" t="s">
        <v>86</v>
      </c>
      <c r="F111" s="131">
        <v>1</v>
      </c>
      <c r="G111" s="133" t="s">
        <v>822</v>
      </c>
      <c r="H111" s="135">
        <v>45656</v>
      </c>
      <c r="I111" s="136">
        <v>1</v>
      </c>
      <c r="J111" s="133" t="s">
        <v>87</v>
      </c>
      <c r="K111" s="142">
        <v>6125</v>
      </c>
      <c r="L111" s="136" t="s">
        <v>855</v>
      </c>
      <c r="M111" s="139"/>
      <c r="N111" s="136"/>
      <c r="O111" s="140"/>
      <c r="P111" s="141">
        <v>45846</v>
      </c>
      <c r="Q111" s="92"/>
      <c r="R111" s="68" t="str">
        <f t="shared" si="2"/>
        <v/>
      </c>
      <c r="S111" s="22"/>
    </row>
    <row r="112" spans="1:19" ht="18" customHeight="1">
      <c r="A112" s="131">
        <v>38670</v>
      </c>
      <c r="B112" s="225">
        <v>71846</v>
      </c>
      <c r="C112" s="133" t="s">
        <v>20</v>
      </c>
      <c r="D112" s="131">
        <v>3</v>
      </c>
      <c r="E112" s="134" t="s">
        <v>88</v>
      </c>
      <c r="F112" s="131" t="s">
        <v>602</v>
      </c>
      <c r="G112" s="133" t="s">
        <v>822</v>
      </c>
      <c r="H112" s="135">
        <v>45656</v>
      </c>
      <c r="I112" s="136">
        <v>2</v>
      </c>
      <c r="J112" s="133" t="s">
        <v>89</v>
      </c>
      <c r="K112" s="142">
        <v>5097</v>
      </c>
      <c r="L112" s="136" t="s">
        <v>855</v>
      </c>
      <c r="M112" s="139"/>
      <c r="N112" s="136"/>
      <c r="O112" s="140"/>
      <c r="P112" s="143">
        <v>45751</v>
      </c>
      <c r="Q112" s="92"/>
      <c r="R112" s="68" t="str">
        <f t="shared" si="2"/>
        <v/>
      </c>
      <c r="S112" s="22"/>
    </row>
    <row r="113" spans="1:19" ht="18" customHeight="1">
      <c r="A113" s="131">
        <v>38670</v>
      </c>
      <c r="B113" s="132">
        <v>71847</v>
      </c>
      <c r="C113" s="133" t="s">
        <v>20</v>
      </c>
      <c r="D113" s="131">
        <v>3</v>
      </c>
      <c r="E113" s="134" t="s">
        <v>90</v>
      </c>
      <c r="F113" s="131">
        <v>2</v>
      </c>
      <c r="G113" s="133" t="s">
        <v>822</v>
      </c>
      <c r="H113" s="135">
        <v>45656</v>
      </c>
      <c r="I113" s="136">
        <v>3</v>
      </c>
      <c r="J113" s="133" t="s">
        <v>91</v>
      </c>
      <c r="K113" s="142">
        <v>20139</v>
      </c>
      <c r="L113" s="136" t="s">
        <v>855</v>
      </c>
      <c r="M113" s="139"/>
      <c r="N113" s="136"/>
      <c r="O113" s="140"/>
      <c r="P113" s="143">
        <v>45751</v>
      </c>
      <c r="Q113" s="92"/>
      <c r="R113" s="68" t="str">
        <f t="shared" si="2"/>
        <v/>
      </c>
      <c r="S113" s="22"/>
    </row>
    <row r="114" spans="1:19" ht="18" customHeight="1">
      <c r="A114" s="131">
        <v>38670</v>
      </c>
      <c r="B114" s="225">
        <v>71848</v>
      </c>
      <c r="C114" s="133" t="s">
        <v>20</v>
      </c>
      <c r="D114" s="131">
        <v>4</v>
      </c>
      <c r="E114" s="134" t="s">
        <v>92</v>
      </c>
      <c r="F114" s="131">
        <v>0</v>
      </c>
      <c r="G114" s="133" t="s">
        <v>822</v>
      </c>
      <c r="H114" s="135">
        <v>45656</v>
      </c>
      <c r="I114" s="136">
        <v>5</v>
      </c>
      <c r="J114" s="133" t="s">
        <v>93</v>
      </c>
      <c r="K114" s="142">
        <v>7704</v>
      </c>
      <c r="L114" s="136" t="s">
        <v>855</v>
      </c>
      <c r="M114" s="139"/>
      <c r="N114" s="136"/>
      <c r="O114" s="140"/>
      <c r="P114" s="143">
        <v>45751</v>
      </c>
      <c r="Q114" s="92"/>
      <c r="R114" s="68" t="str">
        <f t="shared" si="2"/>
        <v/>
      </c>
      <c r="S114" s="22"/>
    </row>
    <row r="115" spans="1:19" ht="18" customHeight="1">
      <c r="A115" s="131">
        <v>38670</v>
      </c>
      <c r="B115" s="132">
        <v>71849</v>
      </c>
      <c r="C115" s="133" t="s">
        <v>20</v>
      </c>
      <c r="D115" s="131">
        <v>3</v>
      </c>
      <c r="E115" s="134" t="s">
        <v>94</v>
      </c>
      <c r="F115" s="131">
        <v>0</v>
      </c>
      <c r="G115" s="133" t="s">
        <v>822</v>
      </c>
      <c r="H115" s="135">
        <v>45656</v>
      </c>
      <c r="I115" s="136">
        <v>6</v>
      </c>
      <c r="J115" s="133" t="s">
        <v>95</v>
      </c>
      <c r="K115" s="142">
        <v>5546</v>
      </c>
      <c r="L115" s="136" t="s">
        <v>855</v>
      </c>
      <c r="M115" s="139"/>
      <c r="N115" s="136"/>
      <c r="O115" s="140"/>
      <c r="P115" s="143">
        <v>45751</v>
      </c>
      <c r="Q115" s="92"/>
      <c r="R115" s="68" t="str">
        <f t="shared" si="2"/>
        <v/>
      </c>
      <c r="S115" s="22"/>
    </row>
    <row r="116" spans="1:19" ht="18" customHeight="1">
      <c r="A116" s="85"/>
      <c r="B116" s="86"/>
      <c r="C116" s="22"/>
      <c r="D116" s="85"/>
      <c r="E116" s="87"/>
      <c r="F116" s="85"/>
      <c r="G116" s="22"/>
      <c r="H116" s="88"/>
      <c r="J116" s="22"/>
      <c r="L116" s="63"/>
      <c r="M116" s="89"/>
      <c r="N116" s="60"/>
      <c r="O116" s="90"/>
      <c r="P116" s="91"/>
      <c r="Q116" s="92"/>
      <c r="R116" s="68" t="str">
        <f t="shared" si="2"/>
        <v/>
      </c>
      <c r="S116" s="22"/>
    </row>
    <row r="117" spans="1:19" ht="18" customHeight="1">
      <c r="A117" s="85">
        <v>38671</v>
      </c>
      <c r="B117" s="86">
        <v>71850</v>
      </c>
      <c r="C117" s="22" t="s">
        <v>20</v>
      </c>
      <c r="D117" s="85">
        <v>10</v>
      </c>
      <c r="E117" s="87" t="s">
        <v>133</v>
      </c>
      <c r="F117" s="170">
        <v>2</v>
      </c>
      <c r="G117" s="171" t="s">
        <v>856</v>
      </c>
      <c r="H117" s="88">
        <v>45656</v>
      </c>
      <c r="I117" s="85">
        <v>1</v>
      </c>
      <c r="J117" s="172" t="s">
        <v>134</v>
      </c>
      <c r="K117" s="173" t="s">
        <v>857</v>
      </c>
      <c r="L117" s="63" t="s">
        <v>858</v>
      </c>
      <c r="M117" s="89"/>
      <c r="N117" s="60"/>
      <c r="O117" s="90"/>
      <c r="P117" s="130" t="s">
        <v>859</v>
      </c>
      <c r="Q117" s="92"/>
      <c r="R117" s="68" t="str">
        <f t="shared" si="2"/>
        <v/>
      </c>
      <c r="S117" s="22"/>
    </row>
    <row r="118" spans="1:19" ht="18" customHeight="1">
      <c r="A118" s="85"/>
      <c r="B118" s="86"/>
      <c r="C118" s="22"/>
      <c r="D118" s="85"/>
      <c r="E118" s="87"/>
      <c r="F118" s="87"/>
      <c r="G118" s="171"/>
      <c r="H118" s="88"/>
      <c r="I118" s="85"/>
      <c r="J118" s="172"/>
      <c r="K118" s="173"/>
      <c r="L118" s="63"/>
      <c r="M118" s="89"/>
      <c r="N118" s="60"/>
      <c r="O118" s="90"/>
      <c r="P118" s="91"/>
      <c r="Q118" s="92"/>
      <c r="R118" s="68"/>
      <c r="S118" s="22"/>
    </row>
    <row r="119" spans="1:19" ht="18" customHeight="1">
      <c r="A119" s="174">
        <v>38672</v>
      </c>
      <c r="B119" s="155">
        <v>71851</v>
      </c>
      <c r="C119" s="175" t="s">
        <v>20</v>
      </c>
      <c r="D119" s="174">
        <v>2</v>
      </c>
      <c r="E119" s="176" t="s">
        <v>136</v>
      </c>
      <c r="F119" s="174">
        <v>0</v>
      </c>
      <c r="G119" s="175" t="s">
        <v>847</v>
      </c>
      <c r="H119" s="177">
        <v>45656</v>
      </c>
      <c r="I119" s="178">
        <v>1</v>
      </c>
      <c r="J119" s="175" t="s">
        <v>860</v>
      </c>
      <c r="K119" s="179">
        <v>141549.74</v>
      </c>
      <c r="L119" s="178" t="s">
        <v>861</v>
      </c>
      <c r="M119" s="180"/>
      <c r="N119" s="178"/>
      <c r="O119" s="181"/>
      <c r="P119" s="182">
        <v>45842</v>
      </c>
      <c r="Q119" s="183"/>
      <c r="R119" s="68" t="str">
        <f>IF(SUM(Q119)&gt;0,SUM(Q119-P119),"")</f>
        <v/>
      </c>
      <c r="S119" s="22"/>
    </row>
    <row r="120" spans="1:19" ht="18" customHeight="1">
      <c r="A120" s="174">
        <v>38672</v>
      </c>
      <c r="B120" s="155">
        <v>71873</v>
      </c>
      <c r="C120" s="175" t="s">
        <v>20</v>
      </c>
      <c r="D120" s="174" t="s">
        <v>150</v>
      </c>
      <c r="E120" s="176" t="s">
        <v>148</v>
      </c>
      <c r="F120" s="174"/>
      <c r="G120" s="175" t="s">
        <v>862</v>
      </c>
      <c r="H120" s="177" t="s">
        <v>863</v>
      </c>
      <c r="I120" s="178">
        <v>2</v>
      </c>
      <c r="J120" s="175" t="s">
        <v>149</v>
      </c>
      <c r="K120" s="179" t="s">
        <v>864</v>
      </c>
      <c r="L120" s="178" t="s">
        <v>861</v>
      </c>
      <c r="M120" s="180"/>
      <c r="N120" s="178"/>
      <c r="O120" s="181"/>
      <c r="P120" s="182">
        <v>45842</v>
      </c>
      <c r="Q120" s="183"/>
      <c r="R120" s="68" t="str">
        <f>IF(SUM(Q120)&gt;0,SUM(Q120-P120),"")</f>
        <v/>
      </c>
      <c r="S120" s="22"/>
    </row>
    <row r="121" spans="1:19" ht="18" customHeight="1">
      <c r="A121" s="131">
        <v>38672</v>
      </c>
      <c r="B121" s="184">
        <v>72330</v>
      </c>
      <c r="C121" s="175" t="s">
        <v>20</v>
      </c>
      <c r="D121" s="185" t="s">
        <v>865</v>
      </c>
      <c r="E121" s="176" t="s">
        <v>273</v>
      </c>
      <c r="F121" s="174"/>
      <c r="G121" s="186" t="s">
        <v>862</v>
      </c>
      <c r="H121" s="177">
        <v>45771</v>
      </c>
      <c r="I121" s="178">
        <v>5</v>
      </c>
      <c r="J121" s="175" t="s">
        <v>274</v>
      </c>
      <c r="K121" s="179">
        <v>1950</v>
      </c>
      <c r="L121" s="187" t="s">
        <v>866</v>
      </c>
      <c r="M121" s="139"/>
      <c r="N121" s="136"/>
      <c r="O121" s="140"/>
      <c r="P121" s="182">
        <v>45859</v>
      </c>
      <c r="Q121" s="183"/>
      <c r="R121" s="68"/>
      <c r="S121" s="22"/>
    </row>
    <row r="122" spans="1:19" ht="18" customHeight="1">
      <c r="A122" s="85"/>
      <c r="B122" s="86"/>
      <c r="C122" s="22"/>
      <c r="D122" s="85"/>
      <c r="E122" s="87"/>
      <c r="F122" s="85"/>
      <c r="G122" s="22"/>
      <c r="H122" s="88"/>
      <c r="J122" s="22"/>
      <c r="M122" s="89"/>
      <c r="N122" s="60"/>
      <c r="O122" s="90"/>
      <c r="P122" s="91"/>
      <c r="Q122" s="92"/>
      <c r="R122" s="68" t="str">
        <f t="shared" ref="R122:R151" si="3">IF(SUM(Q122)&gt;0,SUM(Q122-P122),"")</f>
        <v/>
      </c>
      <c r="S122" s="22"/>
    </row>
    <row r="123" spans="1:19" ht="18" customHeight="1">
      <c r="A123" s="85">
        <v>38673</v>
      </c>
      <c r="B123" s="86">
        <v>71852</v>
      </c>
      <c r="C123" s="22" t="s">
        <v>20</v>
      </c>
      <c r="D123" s="85">
        <v>3</v>
      </c>
      <c r="E123" s="87" t="s">
        <v>139</v>
      </c>
      <c r="F123" s="85"/>
      <c r="G123" s="22" t="s">
        <v>867</v>
      </c>
      <c r="H123" s="88">
        <v>45656</v>
      </c>
      <c r="I123" s="60">
        <v>1</v>
      </c>
      <c r="J123" s="22" t="s">
        <v>140</v>
      </c>
      <c r="K123" s="63">
        <v>26451</v>
      </c>
      <c r="L123" s="60" t="s">
        <v>868</v>
      </c>
      <c r="M123" s="89"/>
      <c r="N123" s="60"/>
      <c r="O123" s="90"/>
      <c r="P123" s="91">
        <v>45869</v>
      </c>
      <c r="Q123" s="92"/>
      <c r="R123" s="68" t="str">
        <f t="shared" si="3"/>
        <v/>
      </c>
      <c r="S123" s="22"/>
    </row>
    <row r="124" spans="1:19" ht="18" customHeight="1">
      <c r="A124" s="85">
        <v>38673</v>
      </c>
      <c r="B124" s="86">
        <v>71853</v>
      </c>
      <c r="C124" s="22" t="s">
        <v>20</v>
      </c>
      <c r="D124" s="85">
        <v>2</v>
      </c>
      <c r="E124" s="172" t="s">
        <v>141</v>
      </c>
      <c r="F124" s="85"/>
      <c r="G124" s="22" t="s">
        <v>867</v>
      </c>
      <c r="H124" s="88">
        <v>45656</v>
      </c>
      <c r="I124" s="60">
        <v>2</v>
      </c>
      <c r="J124" s="22" t="s">
        <v>142</v>
      </c>
      <c r="K124" s="63">
        <v>26795</v>
      </c>
      <c r="L124" s="60" t="s">
        <v>868</v>
      </c>
      <c r="M124" s="89"/>
      <c r="N124" s="60"/>
      <c r="O124" s="90"/>
      <c r="P124" s="91">
        <v>45869</v>
      </c>
      <c r="Q124" s="92"/>
      <c r="R124" s="68" t="str">
        <f t="shared" si="3"/>
        <v/>
      </c>
      <c r="S124" s="22"/>
    </row>
    <row r="125" spans="1:19" ht="18" customHeight="1">
      <c r="A125" s="85"/>
      <c r="B125" s="86"/>
      <c r="C125" s="22"/>
      <c r="D125" s="85"/>
      <c r="E125" s="87"/>
      <c r="F125" s="85"/>
      <c r="G125" s="22"/>
      <c r="H125" s="88"/>
      <c r="J125" s="22"/>
      <c r="M125" s="89"/>
      <c r="N125" s="60"/>
      <c r="O125" s="90"/>
      <c r="P125" s="91"/>
      <c r="Q125" s="92"/>
      <c r="R125" s="68" t="str">
        <f t="shared" si="3"/>
        <v/>
      </c>
      <c r="S125" s="22"/>
    </row>
    <row r="126" spans="1:19" ht="18" customHeight="1">
      <c r="A126" s="85">
        <v>38678</v>
      </c>
      <c r="B126" s="225">
        <v>71859</v>
      </c>
      <c r="C126" s="22" t="s">
        <v>20</v>
      </c>
      <c r="D126" s="85">
        <v>3</v>
      </c>
      <c r="E126" s="87" t="s">
        <v>144</v>
      </c>
      <c r="F126" s="85">
        <v>3</v>
      </c>
      <c r="G126" s="188" t="s">
        <v>869</v>
      </c>
      <c r="H126" s="88">
        <v>45660</v>
      </c>
      <c r="I126" s="60">
        <v>1</v>
      </c>
      <c r="J126" s="22" t="s">
        <v>145</v>
      </c>
      <c r="K126" s="189">
        <v>23520</v>
      </c>
      <c r="L126" s="190" t="s">
        <v>870</v>
      </c>
      <c r="M126" s="89"/>
      <c r="N126" s="60"/>
      <c r="O126" s="90"/>
      <c r="P126" s="91">
        <v>45733</v>
      </c>
      <c r="Q126" s="92"/>
      <c r="R126" s="68" t="str">
        <f t="shared" si="3"/>
        <v/>
      </c>
      <c r="S126" s="22"/>
    </row>
    <row r="127" spans="1:19" ht="18" customHeight="1">
      <c r="A127" s="85"/>
      <c r="B127" s="86"/>
      <c r="C127" s="22"/>
      <c r="D127" s="85"/>
      <c r="E127" s="87"/>
      <c r="F127" s="85"/>
      <c r="G127" s="22"/>
      <c r="H127" s="88"/>
      <c r="J127" s="22"/>
      <c r="M127" s="89"/>
      <c r="N127" s="60"/>
      <c r="O127" s="90"/>
      <c r="P127" s="91"/>
      <c r="Q127" s="92"/>
      <c r="R127" s="68" t="str">
        <f t="shared" si="3"/>
        <v/>
      </c>
      <c r="S127" s="22"/>
    </row>
    <row r="128" spans="1:19" ht="18" customHeight="1">
      <c r="A128" s="144">
        <v>38679</v>
      </c>
      <c r="B128" s="225">
        <v>71860</v>
      </c>
      <c r="C128" s="191" t="s">
        <v>20</v>
      </c>
      <c r="D128" s="144">
        <v>3</v>
      </c>
      <c r="E128" s="146" t="s">
        <v>101</v>
      </c>
      <c r="F128" s="144"/>
      <c r="G128" s="192" t="s">
        <v>871</v>
      </c>
      <c r="H128" s="148">
        <v>45664</v>
      </c>
      <c r="I128" s="149">
        <v>1</v>
      </c>
      <c r="J128" s="145" t="s">
        <v>102</v>
      </c>
      <c r="K128" s="150">
        <v>794</v>
      </c>
      <c r="L128" s="149" t="s">
        <v>872</v>
      </c>
      <c r="M128" s="152"/>
      <c r="N128" s="149"/>
      <c r="O128" s="153"/>
      <c r="P128" s="154">
        <v>45747</v>
      </c>
      <c r="Q128" s="92"/>
      <c r="R128" s="68" t="str">
        <f t="shared" si="3"/>
        <v/>
      </c>
      <c r="S128" s="22"/>
    </row>
    <row r="129" spans="1:19" ht="18" customHeight="1">
      <c r="A129" s="144">
        <v>38679</v>
      </c>
      <c r="B129" s="225">
        <v>71861</v>
      </c>
      <c r="C129" s="145" t="s">
        <v>20</v>
      </c>
      <c r="D129" s="144">
        <v>3</v>
      </c>
      <c r="E129" s="146" t="s">
        <v>103</v>
      </c>
      <c r="F129" s="144"/>
      <c r="G129" s="192" t="s">
        <v>871</v>
      </c>
      <c r="H129" s="148">
        <v>45664</v>
      </c>
      <c r="I129" s="149">
        <v>2</v>
      </c>
      <c r="J129" s="145" t="s">
        <v>104</v>
      </c>
      <c r="K129" s="150">
        <v>1241</v>
      </c>
      <c r="L129" s="149" t="s">
        <v>872</v>
      </c>
      <c r="M129" s="152"/>
      <c r="N129" s="149"/>
      <c r="O129" s="153"/>
      <c r="P129" s="154">
        <v>45747</v>
      </c>
      <c r="Q129" s="92"/>
      <c r="R129" s="68" t="str">
        <f t="shared" si="3"/>
        <v/>
      </c>
      <c r="S129" s="22"/>
    </row>
    <row r="130" spans="1:19" ht="18" customHeight="1">
      <c r="A130" s="144">
        <v>38679</v>
      </c>
      <c r="B130" s="225">
        <v>71862</v>
      </c>
      <c r="C130" s="145" t="s">
        <v>20</v>
      </c>
      <c r="D130" s="144">
        <v>3</v>
      </c>
      <c r="E130" s="146" t="s">
        <v>105</v>
      </c>
      <c r="F130" s="144"/>
      <c r="G130" s="192" t="s">
        <v>871</v>
      </c>
      <c r="H130" s="148">
        <v>45664</v>
      </c>
      <c r="I130" s="149">
        <v>3</v>
      </c>
      <c r="J130" s="145" t="s">
        <v>106</v>
      </c>
      <c r="K130" s="150">
        <v>825</v>
      </c>
      <c r="L130" s="149" t="s">
        <v>872</v>
      </c>
      <c r="M130" s="152"/>
      <c r="N130" s="149"/>
      <c r="O130" s="153"/>
      <c r="P130" s="154">
        <v>45747</v>
      </c>
      <c r="Q130" s="92"/>
      <c r="R130" s="68" t="str">
        <f t="shared" si="3"/>
        <v/>
      </c>
      <c r="S130" s="22"/>
    </row>
    <row r="131" spans="1:19" ht="18" customHeight="1">
      <c r="A131" s="144">
        <v>38679</v>
      </c>
      <c r="B131" s="225">
        <v>71863</v>
      </c>
      <c r="C131" s="145" t="s">
        <v>20</v>
      </c>
      <c r="D131" s="144">
        <v>3</v>
      </c>
      <c r="E131" s="146" t="s">
        <v>107</v>
      </c>
      <c r="F131" s="144"/>
      <c r="G131" s="192" t="s">
        <v>871</v>
      </c>
      <c r="H131" s="148">
        <v>45664</v>
      </c>
      <c r="I131" s="149">
        <v>4</v>
      </c>
      <c r="J131" s="145" t="s">
        <v>108</v>
      </c>
      <c r="K131" s="150">
        <v>520</v>
      </c>
      <c r="L131" s="149" t="s">
        <v>872</v>
      </c>
      <c r="M131" s="152"/>
      <c r="N131" s="149"/>
      <c r="O131" s="153"/>
      <c r="P131" s="154">
        <v>45747</v>
      </c>
      <c r="Q131" s="92"/>
      <c r="R131" s="68" t="str">
        <f t="shared" si="3"/>
        <v/>
      </c>
      <c r="S131" s="22"/>
    </row>
    <row r="132" spans="1:19" ht="18" customHeight="1">
      <c r="A132" s="144">
        <v>38679</v>
      </c>
      <c r="B132" s="225">
        <v>71864</v>
      </c>
      <c r="C132" s="145" t="s">
        <v>20</v>
      </c>
      <c r="D132" s="144">
        <v>7</v>
      </c>
      <c r="E132" s="146" t="s">
        <v>109</v>
      </c>
      <c r="F132" s="144"/>
      <c r="G132" s="192" t="s">
        <v>871</v>
      </c>
      <c r="H132" s="148">
        <v>45664</v>
      </c>
      <c r="I132" s="149">
        <v>5</v>
      </c>
      <c r="J132" s="145" t="s">
        <v>110</v>
      </c>
      <c r="K132" s="150">
        <v>2017</v>
      </c>
      <c r="L132" s="149" t="s">
        <v>872</v>
      </c>
      <c r="M132" s="152"/>
      <c r="N132" s="149"/>
      <c r="O132" s="153"/>
      <c r="P132" s="154">
        <v>45747</v>
      </c>
      <c r="Q132" s="92"/>
      <c r="R132" s="68" t="str">
        <f t="shared" si="3"/>
        <v/>
      </c>
      <c r="S132" s="22"/>
    </row>
    <row r="133" spans="1:19" ht="18" customHeight="1">
      <c r="A133" s="144">
        <v>38679</v>
      </c>
      <c r="B133" s="225">
        <v>71865</v>
      </c>
      <c r="C133" s="145" t="s">
        <v>20</v>
      </c>
      <c r="D133" s="144">
        <v>7</v>
      </c>
      <c r="E133" s="146" t="s">
        <v>111</v>
      </c>
      <c r="F133" s="144"/>
      <c r="G133" s="192" t="s">
        <v>871</v>
      </c>
      <c r="H133" s="148">
        <v>45664</v>
      </c>
      <c r="I133" s="149">
        <v>6</v>
      </c>
      <c r="J133" s="145" t="s">
        <v>112</v>
      </c>
      <c r="K133" s="150">
        <v>1350</v>
      </c>
      <c r="L133" s="149" t="s">
        <v>872</v>
      </c>
      <c r="M133" s="152"/>
      <c r="N133" s="149"/>
      <c r="O133" s="153"/>
      <c r="P133" s="154">
        <v>45747</v>
      </c>
      <c r="Q133" s="92"/>
      <c r="R133" s="68" t="str">
        <f t="shared" si="3"/>
        <v/>
      </c>
      <c r="S133" s="22"/>
    </row>
    <row r="134" spans="1:19" ht="18" customHeight="1">
      <c r="A134" s="144">
        <v>38679</v>
      </c>
      <c r="B134" s="225">
        <v>71866</v>
      </c>
      <c r="C134" s="145" t="s">
        <v>20</v>
      </c>
      <c r="D134" s="144">
        <v>7</v>
      </c>
      <c r="E134" s="146" t="s">
        <v>113</v>
      </c>
      <c r="F134" s="144"/>
      <c r="G134" s="192" t="s">
        <v>871</v>
      </c>
      <c r="H134" s="148">
        <v>45664</v>
      </c>
      <c r="I134" s="149">
        <v>7</v>
      </c>
      <c r="J134" s="145" t="s">
        <v>114</v>
      </c>
      <c r="K134" s="150">
        <v>1827</v>
      </c>
      <c r="L134" s="149" t="s">
        <v>872</v>
      </c>
      <c r="M134" s="152"/>
      <c r="N134" s="149"/>
      <c r="O134" s="153"/>
      <c r="P134" s="154">
        <v>45747</v>
      </c>
      <c r="Q134" s="92"/>
      <c r="R134" s="68" t="str">
        <f t="shared" si="3"/>
        <v/>
      </c>
      <c r="S134" s="22"/>
    </row>
    <row r="135" spans="1:19" ht="18" customHeight="1">
      <c r="A135" s="144">
        <v>38679</v>
      </c>
      <c r="B135" s="225">
        <v>71867</v>
      </c>
      <c r="C135" s="145" t="s">
        <v>20</v>
      </c>
      <c r="D135" s="144">
        <v>14</v>
      </c>
      <c r="E135" s="146" t="s">
        <v>115</v>
      </c>
      <c r="F135" s="144"/>
      <c r="G135" s="192" t="s">
        <v>871</v>
      </c>
      <c r="H135" s="148">
        <v>45664</v>
      </c>
      <c r="I135" s="149">
        <v>8</v>
      </c>
      <c r="J135" s="145" t="s">
        <v>116</v>
      </c>
      <c r="K135" s="150">
        <v>174</v>
      </c>
      <c r="L135" s="149" t="s">
        <v>872</v>
      </c>
      <c r="M135" s="152"/>
      <c r="N135" s="149"/>
      <c r="O135" s="153"/>
      <c r="P135" s="154">
        <v>45747</v>
      </c>
      <c r="Q135" s="92"/>
      <c r="R135" s="68" t="str">
        <f t="shared" si="3"/>
        <v/>
      </c>
      <c r="S135" s="22"/>
    </row>
    <row r="136" spans="1:19" ht="18" customHeight="1">
      <c r="A136" s="144">
        <v>38679</v>
      </c>
      <c r="B136" s="225">
        <v>71868</v>
      </c>
      <c r="C136" s="145" t="s">
        <v>20</v>
      </c>
      <c r="D136" s="144">
        <v>14</v>
      </c>
      <c r="E136" s="146" t="s">
        <v>117</v>
      </c>
      <c r="F136" s="144"/>
      <c r="G136" s="192" t="s">
        <v>871</v>
      </c>
      <c r="H136" s="148">
        <v>45664</v>
      </c>
      <c r="I136" s="149">
        <v>9</v>
      </c>
      <c r="J136" s="145" t="s">
        <v>118</v>
      </c>
      <c r="K136" s="150">
        <v>138</v>
      </c>
      <c r="L136" s="149" t="s">
        <v>872</v>
      </c>
      <c r="M136" s="152"/>
      <c r="N136" s="149"/>
      <c r="O136" s="153"/>
      <c r="P136" s="154">
        <v>45747</v>
      </c>
      <c r="Q136" s="92"/>
      <c r="R136" s="68" t="str">
        <f t="shared" si="3"/>
        <v/>
      </c>
      <c r="S136" s="22"/>
    </row>
    <row r="137" spans="1:19" ht="18" customHeight="1">
      <c r="A137" s="144">
        <v>38679</v>
      </c>
      <c r="B137" s="225">
        <v>71869</v>
      </c>
      <c r="C137" s="145" t="s">
        <v>20</v>
      </c>
      <c r="D137" s="144">
        <v>1</v>
      </c>
      <c r="E137" s="146" t="s">
        <v>119</v>
      </c>
      <c r="F137" s="144"/>
      <c r="G137" s="192" t="s">
        <v>871</v>
      </c>
      <c r="H137" s="148">
        <v>45664</v>
      </c>
      <c r="I137" s="149">
        <v>10</v>
      </c>
      <c r="J137" s="145" t="s">
        <v>120</v>
      </c>
      <c r="K137" s="150">
        <v>43580</v>
      </c>
      <c r="L137" s="149" t="s">
        <v>872</v>
      </c>
      <c r="M137" s="152"/>
      <c r="N137" s="149"/>
      <c r="O137" s="153"/>
      <c r="P137" s="154">
        <v>45747</v>
      </c>
      <c r="Q137" s="92"/>
      <c r="R137" s="68" t="str">
        <f t="shared" si="3"/>
        <v/>
      </c>
      <c r="S137" s="22"/>
    </row>
    <row r="138" spans="1:19" ht="18" customHeight="1">
      <c r="A138" s="144">
        <v>37679</v>
      </c>
      <c r="B138" s="225">
        <v>71870</v>
      </c>
      <c r="C138" s="145" t="s">
        <v>20</v>
      </c>
      <c r="D138" s="144">
        <v>4</v>
      </c>
      <c r="E138" s="146" t="s">
        <v>146</v>
      </c>
      <c r="F138" s="144"/>
      <c r="G138" s="192" t="s">
        <v>871</v>
      </c>
      <c r="H138" s="148" t="s">
        <v>873</v>
      </c>
      <c r="I138" s="149">
        <v>11</v>
      </c>
      <c r="J138" s="145" t="s">
        <v>147</v>
      </c>
      <c r="K138" s="150">
        <v>3642</v>
      </c>
      <c r="L138" s="149" t="s">
        <v>872</v>
      </c>
      <c r="M138" s="152"/>
      <c r="N138" s="149"/>
      <c r="O138" s="153"/>
      <c r="P138" s="154">
        <v>45747</v>
      </c>
      <c r="Q138" s="92"/>
      <c r="R138" s="68" t="str">
        <f t="shared" si="3"/>
        <v/>
      </c>
      <c r="S138" s="22"/>
    </row>
    <row r="139" spans="1:19" ht="18" customHeight="1">
      <c r="A139" s="85"/>
      <c r="B139" s="86"/>
      <c r="C139" s="22"/>
      <c r="D139" s="85"/>
      <c r="E139" s="87"/>
      <c r="F139" s="85"/>
      <c r="G139" s="22"/>
      <c r="H139" s="88"/>
      <c r="J139" s="22"/>
      <c r="M139" s="89"/>
      <c r="N139" s="60"/>
      <c r="O139" s="90"/>
      <c r="P139" s="91"/>
      <c r="Q139" s="92"/>
      <c r="R139" s="68" t="str">
        <f t="shared" si="3"/>
        <v/>
      </c>
      <c r="S139" s="22"/>
    </row>
    <row r="140" spans="1:19" ht="18" customHeight="1">
      <c r="A140" s="95">
        <v>38687</v>
      </c>
      <c r="B140" s="225">
        <v>71879</v>
      </c>
      <c r="C140" s="193" t="s">
        <v>20</v>
      </c>
      <c r="D140" s="95">
        <v>1</v>
      </c>
      <c r="E140" s="194" t="s">
        <v>15</v>
      </c>
      <c r="F140" s="95">
        <v>0</v>
      </c>
      <c r="G140" s="195" t="s">
        <v>874</v>
      </c>
      <c r="H140" s="196">
        <v>45670</v>
      </c>
      <c r="I140" s="104">
        <v>1</v>
      </c>
      <c r="J140" s="193" t="s">
        <v>14</v>
      </c>
      <c r="K140" s="197">
        <v>12681</v>
      </c>
      <c r="L140" s="104" t="s">
        <v>875</v>
      </c>
      <c r="M140" s="103"/>
      <c r="N140" s="104"/>
      <c r="O140" s="105"/>
      <c r="P140" s="106">
        <v>45747</v>
      </c>
      <c r="Q140" s="92"/>
      <c r="R140" s="68" t="str">
        <f t="shared" si="3"/>
        <v/>
      </c>
      <c r="S140" s="22"/>
    </row>
    <row r="141" spans="1:19" ht="18" customHeight="1">
      <c r="A141" s="95">
        <v>38687</v>
      </c>
      <c r="B141" s="225">
        <v>71880</v>
      </c>
      <c r="C141" s="193" t="s">
        <v>20</v>
      </c>
      <c r="D141" s="95">
        <v>7</v>
      </c>
      <c r="E141" s="194" t="s">
        <v>51</v>
      </c>
      <c r="F141" s="95">
        <v>3</v>
      </c>
      <c r="G141" s="195" t="s">
        <v>874</v>
      </c>
      <c r="H141" s="196">
        <v>45670</v>
      </c>
      <c r="I141" s="104">
        <v>2</v>
      </c>
      <c r="J141" s="193" t="s">
        <v>52</v>
      </c>
      <c r="K141" s="197">
        <v>2548</v>
      </c>
      <c r="L141" s="104" t="s">
        <v>875</v>
      </c>
      <c r="M141" s="103"/>
      <c r="N141" s="104"/>
      <c r="O141" s="105"/>
      <c r="P141" s="106">
        <v>45747</v>
      </c>
      <c r="Q141" s="92"/>
      <c r="R141" s="68" t="str">
        <f t="shared" si="3"/>
        <v/>
      </c>
      <c r="S141" s="22"/>
    </row>
    <row r="142" spans="1:19" ht="18" customHeight="1">
      <c r="A142" s="95">
        <v>38687</v>
      </c>
      <c r="B142" s="97">
        <v>71881</v>
      </c>
      <c r="C142" s="193" t="s">
        <v>20</v>
      </c>
      <c r="D142" s="95">
        <v>2</v>
      </c>
      <c r="E142" s="194" t="s">
        <v>53</v>
      </c>
      <c r="F142" s="95">
        <v>1</v>
      </c>
      <c r="G142" s="195" t="s">
        <v>874</v>
      </c>
      <c r="H142" s="196">
        <v>45670</v>
      </c>
      <c r="I142" s="104">
        <v>3</v>
      </c>
      <c r="J142" s="193" t="s">
        <v>54</v>
      </c>
      <c r="K142" s="197">
        <v>1477</v>
      </c>
      <c r="L142" s="104" t="s">
        <v>875</v>
      </c>
      <c r="M142" s="103"/>
      <c r="N142" s="104"/>
      <c r="O142" s="105"/>
      <c r="P142" s="106">
        <v>45747</v>
      </c>
      <c r="Q142" s="92"/>
      <c r="R142" s="68" t="str">
        <f t="shared" si="3"/>
        <v/>
      </c>
      <c r="S142" s="22"/>
    </row>
    <row r="143" spans="1:19" ht="18" customHeight="1">
      <c r="A143" s="95">
        <v>38687</v>
      </c>
      <c r="B143" s="225">
        <v>71882</v>
      </c>
      <c r="C143" s="193" t="s">
        <v>20</v>
      </c>
      <c r="D143" s="95">
        <v>17</v>
      </c>
      <c r="E143" s="194" t="s">
        <v>55</v>
      </c>
      <c r="F143" s="95">
        <v>1</v>
      </c>
      <c r="G143" s="195" t="s">
        <v>874</v>
      </c>
      <c r="H143" s="196">
        <v>45670</v>
      </c>
      <c r="I143" s="104">
        <v>4</v>
      </c>
      <c r="J143" s="193" t="s">
        <v>56</v>
      </c>
      <c r="K143" s="197">
        <v>1799</v>
      </c>
      <c r="L143" s="104" t="s">
        <v>875</v>
      </c>
      <c r="M143" s="103"/>
      <c r="N143" s="104"/>
      <c r="O143" s="105"/>
      <c r="P143" s="106">
        <v>45747</v>
      </c>
      <c r="Q143" s="92"/>
      <c r="R143" s="68" t="str">
        <f t="shared" si="3"/>
        <v/>
      </c>
      <c r="S143" s="22"/>
    </row>
    <row r="144" spans="1:19" ht="18" customHeight="1">
      <c r="A144" s="95">
        <v>38687</v>
      </c>
      <c r="B144" s="97">
        <v>71883</v>
      </c>
      <c r="C144" s="193" t="s">
        <v>20</v>
      </c>
      <c r="D144" s="95">
        <v>4</v>
      </c>
      <c r="E144" s="194" t="s">
        <v>820</v>
      </c>
      <c r="F144" s="95"/>
      <c r="G144" s="195" t="s">
        <v>874</v>
      </c>
      <c r="H144" s="196">
        <v>45670</v>
      </c>
      <c r="I144" s="104">
        <v>5</v>
      </c>
      <c r="J144" s="193" t="s">
        <v>58</v>
      </c>
      <c r="K144" s="197">
        <v>62</v>
      </c>
      <c r="L144" s="104" t="s">
        <v>875</v>
      </c>
      <c r="M144" s="103"/>
      <c r="N144" s="104"/>
      <c r="O144" s="105"/>
      <c r="P144" s="106">
        <v>45747</v>
      </c>
      <c r="Q144" s="92"/>
      <c r="R144" s="68" t="str">
        <f t="shared" si="3"/>
        <v/>
      </c>
      <c r="S144" s="22"/>
    </row>
    <row r="145" spans="1:19" ht="18" customHeight="1">
      <c r="A145" s="95">
        <v>38687</v>
      </c>
      <c r="B145" s="97">
        <v>71884</v>
      </c>
      <c r="C145" s="193" t="s">
        <v>20</v>
      </c>
      <c r="D145" s="95">
        <v>2</v>
      </c>
      <c r="E145" s="194" t="s">
        <v>59</v>
      </c>
      <c r="F145" s="95">
        <v>1</v>
      </c>
      <c r="G145" s="195" t="s">
        <v>874</v>
      </c>
      <c r="H145" s="196">
        <v>45670</v>
      </c>
      <c r="I145" s="104">
        <v>6</v>
      </c>
      <c r="J145" s="193" t="s">
        <v>60</v>
      </c>
      <c r="K145" s="197">
        <v>2548</v>
      </c>
      <c r="L145" s="104" t="s">
        <v>875</v>
      </c>
      <c r="M145" s="103"/>
      <c r="N145" s="104"/>
      <c r="O145" s="105"/>
      <c r="P145" s="106">
        <v>45747</v>
      </c>
      <c r="Q145" s="92"/>
      <c r="R145" s="68" t="str">
        <f t="shared" si="3"/>
        <v/>
      </c>
      <c r="S145" s="22"/>
    </row>
    <row r="146" spans="1:19" ht="18" customHeight="1">
      <c r="A146" s="95">
        <v>38687</v>
      </c>
      <c r="B146" s="97">
        <v>71885</v>
      </c>
      <c r="C146" s="193" t="s">
        <v>20</v>
      </c>
      <c r="D146" s="95">
        <v>5</v>
      </c>
      <c r="E146" s="194" t="s">
        <v>821</v>
      </c>
      <c r="F146" s="95"/>
      <c r="G146" s="195" t="s">
        <v>874</v>
      </c>
      <c r="H146" s="196">
        <v>45670</v>
      </c>
      <c r="I146" s="104">
        <v>7</v>
      </c>
      <c r="J146" s="193" t="s">
        <v>16</v>
      </c>
      <c r="K146" s="197">
        <v>2199</v>
      </c>
      <c r="L146" s="104" t="s">
        <v>875</v>
      </c>
      <c r="M146" s="103"/>
      <c r="N146" s="104"/>
      <c r="O146" s="105"/>
      <c r="P146" s="106">
        <v>45747</v>
      </c>
      <c r="Q146" s="92"/>
      <c r="R146" s="68" t="str">
        <f t="shared" si="3"/>
        <v/>
      </c>
      <c r="S146" s="22"/>
    </row>
    <row r="147" spans="1:19" ht="18" customHeight="1">
      <c r="A147" s="95">
        <v>38687</v>
      </c>
      <c r="B147" s="97">
        <v>71886</v>
      </c>
      <c r="C147" s="193" t="s">
        <v>20</v>
      </c>
      <c r="D147" s="95">
        <v>2</v>
      </c>
      <c r="E147" s="194" t="s">
        <v>61</v>
      </c>
      <c r="F147" s="95">
        <v>1</v>
      </c>
      <c r="G147" s="195" t="s">
        <v>874</v>
      </c>
      <c r="H147" s="196">
        <v>45670</v>
      </c>
      <c r="I147" s="104">
        <v>8</v>
      </c>
      <c r="J147" s="193" t="s">
        <v>62</v>
      </c>
      <c r="K147" s="197">
        <v>2998</v>
      </c>
      <c r="L147" s="104" t="s">
        <v>875</v>
      </c>
      <c r="M147" s="103"/>
      <c r="N147" s="104"/>
      <c r="O147" s="105"/>
      <c r="P147" s="106">
        <v>45747</v>
      </c>
      <c r="Q147" s="92"/>
      <c r="R147" s="68" t="str">
        <f t="shared" si="3"/>
        <v/>
      </c>
      <c r="S147" s="22"/>
    </row>
    <row r="148" spans="1:19" ht="18" customHeight="1">
      <c r="A148" s="95">
        <v>38687</v>
      </c>
      <c r="B148" s="97">
        <v>71888</v>
      </c>
      <c r="C148" s="193" t="s">
        <v>20</v>
      </c>
      <c r="D148" s="95">
        <v>6</v>
      </c>
      <c r="E148" s="194" t="s">
        <v>18</v>
      </c>
      <c r="F148" s="95">
        <v>2</v>
      </c>
      <c r="G148" s="195" t="s">
        <v>874</v>
      </c>
      <c r="H148" s="196">
        <v>45670</v>
      </c>
      <c r="I148" s="104">
        <v>10</v>
      </c>
      <c r="J148" s="193" t="s">
        <v>19</v>
      </c>
      <c r="K148" s="197">
        <v>1799</v>
      </c>
      <c r="L148" s="104" t="s">
        <v>875</v>
      </c>
      <c r="M148" s="103"/>
      <c r="N148" s="104"/>
      <c r="O148" s="105"/>
      <c r="P148" s="106">
        <v>45747</v>
      </c>
      <c r="Q148" s="92"/>
      <c r="R148" s="68" t="str">
        <f t="shared" si="3"/>
        <v/>
      </c>
      <c r="S148" s="22"/>
    </row>
    <row r="149" spans="1:19" ht="18" customHeight="1">
      <c r="A149" s="85"/>
      <c r="B149" s="86"/>
      <c r="C149" s="22"/>
      <c r="D149" s="85"/>
      <c r="E149" s="87"/>
      <c r="F149" s="85"/>
      <c r="G149" s="22"/>
      <c r="H149" s="88"/>
      <c r="J149" s="22"/>
      <c r="M149" s="89"/>
      <c r="N149" s="60"/>
      <c r="O149" s="90"/>
      <c r="P149" s="91"/>
      <c r="Q149" s="92"/>
      <c r="R149" s="68" t="str">
        <f t="shared" si="3"/>
        <v/>
      </c>
      <c r="S149" s="22"/>
    </row>
    <row r="150" spans="1:19" ht="18" customHeight="1">
      <c r="A150" s="174">
        <v>38740</v>
      </c>
      <c r="B150" s="155">
        <v>72023</v>
      </c>
      <c r="C150" s="175" t="s">
        <v>20</v>
      </c>
      <c r="D150" s="174">
        <v>2</v>
      </c>
      <c r="E150" s="176" t="s">
        <v>136</v>
      </c>
      <c r="F150" s="174">
        <v>0</v>
      </c>
      <c r="G150" s="198" t="s">
        <v>876</v>
      </c>
      <c r="H150" s="177">
        <v>45699</v>
      </c>
      <c r="I150" s="178">
        <v>1</v>
      </c>
      <c r="J150" s="175" t="s">
        <v>860</v>
      </c>
      <c r="K150" s="179">
        <v>141549.74</v>
      </c>
      <c r="L150" s="199" t="s">
        <v>877</v>
      </c>
      <c r="M150" s="180"/>
      <c r="N150" s="178"/>
      <c r="O150" s="181"/>
      <c r="P150" s="200">
        <v>45919</v>
      </c>
      <c r="Q150" s="92"/>
      <c r="R150" s="68" t="str">
        <f t="shared" si="3"/>
        <v/>
      </c>
      <c r="S150" s="22"/>
    </row>
    <row r="151" spans="1:19" ht="18" customHeight="1">
      <c r="A151" s="174">
        <v>38740</v>
      </c>
      <c r="B151" s="155">
        <v>72024</v>
      </c>
      <c r="C151" s="175" t="s">
        <v>20</v>
      </c>
      <c r="D151" s="174" t="s">
        <v>150</v>
      </c>
      <c r="E151" s="176" t="s">
        <v>148</v>
      </c>
      <c r="F151" s="174"/>
      <c r="G151" s="198" t="s">
        <v>876</v>
      </c>
      <c r="H151" s="177" t="s">
        <v>878</v>
      </c>
      <c r="I151" s="178">
        <v>2</v>
      </c>
      <c r="J151" s="175" t="s">
        <v>149</v>
      </c>
      <c r="K151" s="179" t="s">
        <v>864</v>
      </c>
      <c r="L151" s="199" t="s">
        <v>877</v>
      </c>
      <c r="M151" s="180"/>
      <c r="N151" s="178"/>
      <c r="O151" s="181"/>
      <c r="P151" s="200">
        <v>45919</v>
      </c>
      <c r="Q151" s="92"/>
      <c r="R151" s="68" t="str">
        <f t="shared" si="3"/>
        <v/>
      </c>
      <c r="S151" s="22"/>
    </row>
    <row r="152" spans="1:19" ht="18" customHeight="1">
      <c r="A152" s="174">
        <v>38740</v>
      </c>
      <c r="B152" s="184">
        <v>72331</v>
      </c>
      <c r="C152" s="175" t="s">
        <v>20</v>
      </c>
      <c r="D152" s="185" t="s">
        <v>879</v>
      </c>
      <c r="E152" s="176" t="s">
        <v>273</v>
      </c>
      <c r="F152" s="174"/>
      <c r="G152" s="186" t="s">
        <v>862</v>
      </c>
      <c r="H152" s="177">
        <v>45771</v>
      </c>
      <c r="I152" s="178">
        <v>5</v>
      </c>
      <c r="J152" s="175" t="s">
        <v>276</v>
      </c>
      <c r="K152" s="179">
        <v>1950</v>
      </c>
      <c r="L152" s="199" t="s">
        <v>877</v>
      </c>
      <c r="M152" s="139"/>
      <c r="N152" s="136"/>
      <c r="O152" s="140"/>
      <c r="P152" s="200">
        <v>45919</v>
      </c>
      <c r="Q152" s="92"/>
      <c r="R152" s="68"/>
      <c r="S152" s="22"/>
    </row>
    <row r="153" spans="1:19" ht="18" customHeight="1">
      <c r="A153" s="85"/>
      <c r="B153" s="86"/>
      <c r="C153" s="22"/>
      <c r="D153" s="85"/>
      <c r="E153" s="87"/>
      <c r="F153" s="85"/>
      <c r="G153" s="22"/>
      <c r="H153" s="88"/>
      <c r="J153" s="22"/>
      <c r="M153" s="89"/>
      <c r="N153" s="60"/>
      <c r="O153" s="90"/>
      <c r="P153" s="91"/>
      <c r="Q153" s="92"/>
      <c r="R153" s="68" t="str">
        <f t="shared" ref="R153:R173" si="4">IF(SUM(Q153)&gt;0,SUM(Q153-P153),"")</f>
        <v/>
      </c>
      <c r="S153" s="22"/>
    </row>
    <row r="154" spans="1:19" ht="18" customHeight="1">
      <c r="A154" s="85">
        <v>38744</v>
      </c>
      <c r="B154" s="86">
        <v>72028</v>
      </c>
      <c r="C154" s="22" t="s">
        <v>49</v>
      </c>
      <c r="D154" s="85">
        <v>1</v>
      </c>
      <c r="E154" s="87" t="s">
        <v>154</v>
      </c>
      <c r="F154" s="85"/>
      <c r="G154" s="22" t="s">
        <v>880</v>
      </c>
      <c r="H154" s="88">
        <v>45703</v>
      </c>
      <c r="I154" s="60">
        <v>1</v>
      </c>
      <c r="J154" s="22" t="s">
        <v>881</v>
      </c>
      <c r="L154" s="60" t="s">
        <v>882</v>
      </c>
      <c r="M154" s="89"/>
      <c r="N154" s="60"/>
      <c r="O154" s="90"/>
      <c r="P154" s="91">
        <v>45709</v>
      </c>
      <c r="Q154" s="92"/>
      <c r="R154" s="68" t="str">
        <f t="shared" si="4"/>
        <v/>
      </c>
      <c r="S154" s="22"/>
    </row>
    <row r="155" spans="1:19" ht="18" customHeight="1">
      <c r="A155" s="85"/>
      <c r="B155" s="86"/>
      <c r="C155" s="22"/>
      <c r="D155" s="85"/>
      <c r="E155" s="87"/>
      <c r="F155" s="85"/>
      <c r="G155" s="22"/>
      <c r="H155" s="88"/>
      <c r="J155" s="22"/>
      <c r="M155" s="89"/>
      <c r="N155" s="60"/>
      <c r="O155" s="90"/>
      <c r="P155" s="91"/>
      <c r="Q155" s="92"/>
      <c r="R155" s="68" t="str">
        <f t="shared" si="4"/>
        <v/>
      </c>
      <c r="S155" s="22"/>
    </row>
    <row r="156" spans="1:19" ht="18" customHeight="1">
      <c r="A156" s="158">
        <v>38752</v>
      </c>
      <c r="B156" s="225">
        <v>72045</v>
      </c>
      <c r="C156" s="159" t="s">
        <v>20</v>
      </c>
      <c r="D156" s="158">
        <v>3</v>
      </c>
      <c r="E156" s="160" t="s">
        <v>122</v>
      </c>
      <c r="F156" s="158"/>
      <c r="G156" s="161" t="s">
        <v>856</v>
      </c>
      <c r="H156" s="162">
        <v>45708</v>
      </c>
      <c r="I156" s="163">
        <v>1</v>
      </c>
      <c r="J156" s="159" t="s">
        <v>123</v>
      </c>
      <c r="K156" s="164">
        <v>6273</v>
      </c>
      <c r="L156" s="163" t="s">
        <v>156</v>
      </c>
      <c r="M156" s="165"/>
      <c r="N156" s="163"/>
      <c r="O156" s="166"/>
      <c r="P156" s="167">
        <v>45835</v>
      </c>
      <c r="Q156" s="92"/>
      <c r="R156" s="68" t="str">
        <f t="shared" si="4"/>
        <v/>
      </c>
      <c r="S156" s="22"/>
    </row>
    <row r="157" spans="1:19" ht="18" customHeight="1">
      <c r="A157" s="158">
        <v>38752</v>
      </c>
      <c r="B157" s="158">
        <v>72046</v>
      </c>
      <c r="C157" s="159" t="s">
        <v>20</v>
      </c>
      <c r="D157" s="158">
        <v>4</v>
      </c>
      <c r="E157" s="160" t="s">
        <v>159</v>
      </c>
      <c r="F157" s="158"/>
      <c r="G157" s="161" t="s">
        <v>856</v>
      </c>
      <c r="H157" s="162">
        <v>45708</v>
      </c>
      <c r="I157" s="163">
        <v>2</v>
      </c>
      <c r="J157" s="159" t="s">
        <v>124</v>
      </c>
      <c r="K157" s="164">
        <v>4910</v>
      </c>
      <c r="L157" s="163" t="s">
        <v>156</v>
      </c>
      <c r="M157" s="165"/>
      <c r="N157" s="163"/>
      <c r="O157" s="166"/>
      <c r="P157" s="167">
        <v>45835</v>
      </c>
      <c r="Q157" s="92"/>
      <c r="R157" s="68" t="str">
        <f t="shared" si="4"/>
        <v/>
      </c>
      <c r="S157" s="22"/>
    </row>
    <row r="158" spans="1:19" ht="18" customHeight="1">
      <c r="A158" s="158">
        <v>38752</v>
      </c>
      <c r="B158" s="158">
        <v>72047</v>
      </c>
      <c r="C158" s="159" t="s">
        <v>20</v>
      </c>
      <c r="D158" s="158">
        <v>8</v>
      </c>
      <c r="E158" s="169" t="s">
        <v>160</v>
      </c>
      <c r="F158" s="158"/>
      <c r="G158" s="161" t="s">
        <v>856</v>
      </c>
      <c r="H158" s="162">
        <v>45708</v>
      </c>
      <c r="I158" s="163">
        <v>3</v>
      </c>
      <c r="J158" s="159" t="s">
        <v>126</v>
      </c>
      <c r="K158" s="164">
        <v>2317</v>
      </c>
      <c r="L158" s="163" t="s">
        <v>156</v>
      </c>
      <c r="M158" s="165"/>
      <c r="N158" s="163"/>
      <c r="O158" s="166"/>
      <c r="P158" s="167">
        <v>45835</v>
      </c>
      <c r="Q158" s="92"/>
      <c r="R158" s="68" t="str">
        <f t="shared" si="4"/>
        <v/>
      </c>
      <c r="S158" s="22"/>
    </row>
    <row r="159" spans="1:19" ht="18" customHeight="1">
      <c r="A159" s="158">
        <v>38752</v>
      </c>
      <c r="B159" s="158">
        <v>72048</v>
      </c>
      <c r="C159" s="159" t="s">
        <v>20</v>
      </c>
      <c r="D159" s="158">
        <v>4</v>
      </c>
      <c r="E159" s="160" t="s">
        <v>127</v>
      </c>
      <c r="F159" s="158"/>
      <c r="G159" s="161" t="s">
        <v>856</v>
      </c>
      <c r="H159" s="162">
        <v>45708</v>
      </c>
      <c r="I159" s="163">
        <v>4</v>
      </c>
      <c r="J159" s="159" t="s">
        <v>128</v>
      </c>
      <c r="K159" s="164">
        <v>3497</v>
      </c>
      <c r="L159" s="163" t="s">
        <v>156</v>
      </c>
      <c r="M159" s="165"/>
      <c r="N159" s="163"/>
      <c r="O159" s="166"/>
      <c r="P159" s="167">
        <v>45835</v>
      </c>
      <c r="Q159" s="92"/>
      <c r="R159" s="68" t="str">
        <f t="shared" si="4"/>
        <v/>
      </c>
      <c r="S159" s="22"/>
    </row>
    <row r="160" spans="1:19" ht="18" customHeight="1">
      <c r="A160" s="85"/>
      <c r="B160" s="86"/>
      <c r="C160" s="22"/>
      <c r="D160" s="85"/>
      <c r="E160" s="87"/>
      <c r="F160" s="85"/>
      <c r="G160" s="22"/>
      <c r="H160" s="88"/>
      <c r="J160" s="22"/>
      <c r="M160" s="89"/>
      <c r="N160" s="60"/>
      <c r="O160" s="90"/>
      <c r="P160" s="91"/>
      <c r="Q160" s="92"/>
      <c r="R160" s="68" t="str">
        <f t="shared" si="4"/>
        <v/>
      </c>
      <c r="S160" s="22"/>
    </row>
    <row r="161" spans="1:19" ht="18" customHeight="1">
      <c r="A161" s="85">
        <v>38754</v>
      </c>
      <c r="B161" s="86">
        <v>72057</v>
      </c>
      <c r="C161" s="22" t="s">
        <v>164</v>
      </c>
      <c r="D161" s="85">
        <v>1</v>
      </c>
      <c r="E161" s="128" t="s">
        <v>162</v>
      </c>
      <c r="F161" s="85">
        <v>6</v>
      </c>
      <c r="G161" s="22" t="s">
        <v>883</v>
      </c>
      <c r="H161" s="88">
        <v>45708</v>
      </c>
      <c r="I161" s="60" t="s">
        <v>884</v>
      </c>
      <c r="J161" s="22" t="s">
        <v>163</v>
      </c>
      <c r="K161" s="63">
        <v>9125</v>
      </c>
      <c r="L161" s="60" t="s">
        <v>161</v>
      </c>
      <c r="M161" s="89"/>
      <c r="N161" s="60"/>
      <c r="O161" s="90"/>
      <c r="P161" s="91">
        <v>45772</v>
      </c>
      <c r="Q161" s="92"/>
      <c r="R161" s="68" t="str">
        <f t="shared" si="4"/>
        <v/>
      </c>
      <c r="S161" s="22"/>
    </row>
    <row r="162" spans="1:19" ht="18" customHeight="1">
      <c r="A162" s="85"/>
      <c r="B162" s="86"/>
      <c r="C162" s="22"/>
      <c r="D162" s="85"/>
      <c r="E162" s="87"/>
      <c r="F162" s="85"/>
      <c r="G162" s="22"/>
      <c r="H162" s="88"/>
      <c r="J162" s="22"/>
      <c r="M162" s="89"/>
      <c r="N162" s="60"/>
      <c r="O162" s="90"/>
      <c r="P162" s="91"/>
      <c r="Q162" s="92"/>
      <c r="R162" s="68" t="str">
        <f t="shared" si="4"/>
        <v/>
      </c>
      <c r="S162" s="22"/>
    </row>
    <row r="163" spans="1:19" ht="18" customHeight="1">
      <c r="A163" s="85">
        <v>38755</v>
      </c>
      <c r="B163" s="86">
        <v>72061</v>
      </c>
      <c r="C163" s="22" t="s">
        <v>167</v>
      </c>
      <c r="D163" s="85">
        <v>1</v>
      </c>
      <c r="E163" s="87" t="s">
        <v>165</v>
      </c>
      <c r="F163" s="85"/>
      <c r="G163" s="22" t="s">
        <v>885</v>
      </c>
      <c r="H163" s="88">
        <v>45709</v>
      </c>
      <c r="I163" s="60">
        <v>30</v>
      </c>
      <c r="J163" s="22" t="s">
        <v>166</v>
      </c>
      <c r="K163" s="63">
        <v>735</v>
      </c>
      <c r="L163" s="60">
        <v>280099239</v>
      </c>
      <c r="M163" s="89"/>
      <c r="N163" s="60"/>
      <c r="O163" s="90"/>
      <c r="P163" s="91">
        <v>45751</v>
      </c>
      <c r="Q163" s="92"/>
      <c r="R163" s="68" t="str">
        <f t="shared" si="4"/>
        <v/>
      </c>
      <c r="S163" s="22"/>
    </row>
    <row r="164" spans="1:19" ht="18" customHeight="1">
      <c r="A164" s="85">
        <v>38755</v>
      </c>
      <c r="B164" s="86">
        <v>72066</v>
      </c>
      <c r="C164" s="22" t="s">
        <v>167</v>
      </c>
      <c r="D164" s="85">
        <v>1</v>
      </c>
      <c r="E164" s="87" t="s">
        <v>886</v>
      </c>
      <c r="F164" s="85">
        <v>1</v>
      </c>
      <c r="G164" s="22" t="s">
        <v>885</v>
      </c>
      <c r="H164" s="88">
        <v>45709</v>
      </c>
      <c r="I164" s="60">
        <v>80</v>
      </c>
      <c r="J164" s="22" t="s">
        <v>168</v>
      </c>
      <c r="K164" s="63">
        <v>10881</v>
      </c>
      <c r="L164" s="60">
        <v>280099239</v>
      </c>
      <c r="M164" s="89"/>
      <c r="N164" s="60"/>
      <c r="O164" s="90"/>
      <c r="P164" s="91">
        <v>45751</v>
      </c>
      <c r="Q164" s="92"/>
      <c r="R164" s="68" t="str">
        <f t="shared" si="4"/>
        <v/>
      </c>
      <c r="S164" s="22"/>
    </row>
    <row r="165" spans="1:19" ht="18" customHeight="1">
      <c r="A165" s="85">
        <v>38756</v>
      </c>
      <c r="B165" s="86">
        <v>72073</v>
      </c>
      <c r="C165" s="22" t="s">
        <v>167</v>
      </c>
      <c r="D165" s="85">
        <v>2</v>
      </c>
      <c r="E165" s="87" t="s">
        <v>169</v>
      </c>
      <c r="F165" s="89">
        <v>1</v>
      </c>
      <c r="G165" s="22" t="s">
        <v>885</v>
      </c>
      <c r="H165" s="88">
        <v>45709</v>
      </c>
      <c r="I165" s="60">
        <v>150</v>
      </c>
      <c r="J165" s="22" t="s">
        <v>887</v>
      </c>
      <c r="K165" s="63">
        <v>4400</v>
      </c>
      <c r="L165" s="60">
        <v>280099239</v>
      </c>
      <c r="M165" s="89"/>
      <c r="N165" s="60"/>
      <c r="O165" s="90"/>
      <c r="P165" s="91">
        <v>45751</v>
      </c>
      <c r="Q165" s="92"/>
      <c r="R165" s="68" t="str">
        <f t="shared" si="4"/>
        <v/>
      </c>
      <c r="S165" s="22"/>
    </row>
    <row r="166" spans="1:19" ht="18" customHeight="1">
      <c r="A166" s="85"/>
      <c r="B166" s="86"/>
      <c r="C166" s="22"/>
      <c r="D166" s="85"/>
      <c r="E166" s="87"/>
      <c r="F166" s="85"/>
      <c r="G166" s="22"/>
      <c r="H166" s="88"/>
      <c r="J166" s="22"/>
      <c r="M166" s="89"/>
      <c r="N166" s="60"/>
      <c r="O166" s="90"/>
      <c r="P166" s="91"/>
      <c r="Q166" s="92"/>
      <c r="R166" s="68" t="str">
        <f t="shared" si="4"/>
        <v/>
      </c>
      <c r="S166" s="22"/>
    </row>
    <row r="167" spans="1:19" ht="18" customHeight="1">
      <c r="A167" s="131">
        <v>38758</v>
      </c>
      <c r="B167" s="132">
        <v>72083</v>
      </c>
      <c r="C167" s="133" t="s">
        <v>20</v>
      </c>
      <c r="D167" s="131">
        <v>3</v>
      </c>
      <c r="E167" s="134" t="s">
        <v>172</v>
      </c>
      <c r="F167" s="131">
        <v>2</v>
      </c>
      <c r="G167" s="201" t="s">
        <v>888</v>
      </c>
      <c r="H167" s="135">
        <v>45709</v>
      </c>
      <c r="I167" s="136">
        <v>1</v>
      </c>
      <c r="J167" s="133" t="s">
        <v>173</v>
      </c>
      <c r="K167" s="142">
        <v>52899.78</v>
      </c>
      <c r="L167" s="187" t="s">
        <v>889</v>
      </c>
      <c r="M167" s="139"/>
      <c r="N167" s="136"/>
      <c r="O167" s="140"/>
      <c r="P167" s="143">
        <v>45859</v>
      </c>
      <c r="Q167" s="92"/>
      <c r="R167" s="68" t="str">
        <f t="shared" si="4"/>
        <v/>
      </c>
      <c r="S167" s="22"/>
    </row>
    <row r="168" spans="1:19" ht="18" customHeight="1">
      <c r="A168" s="131">
        <v>38758</v>
      </c>
      <c r="B168" s="132">
        <v>72084</v>
      </c>
      <c r="C168" s="133" t="s">
        <v>20</v>
      </c>
      <c r="D168" s="131">
        <v>4</v>
      </c>
      <c r="E168" s="134" t="s">
        <v>174</v>
      </c>
      <c r="F168" s="131">
        <v>1</v>
      </c>
      <c r="G168" s="201" t="s">
        <v>888</v>
      </c>
      <c r="H168" s="135">
        <v>45709</v>
      </c>
      <c r="I168" s="136">
        <v>2</v>
      </c>
      <c r="J168" s="133" t="s">
        <v>175</v>
      </c>
      <c r="K168" s="142">
        <v>23133.58</v>
      </c>
      <c r="L168" s="187" t="s">
        <v>889</v>
      </c>
      <c r="M168" s="139"/>
      <c r="N168" s="136"/>
      <c r="O168" s="140"/>
      <c r="P168" s="143">
        <v>45859</v>
      </c>
      <c r="Q168" s="92"/>
      <c r="R168" s="68" t="str">
        <f t="shared" si="4"/>
        <v/>
      </c>
      <c r="S168" s="22"/>
    </row>
    <row r="169" spans="1:19" ht="18" customHeight="1">
      <c r="A169" s="131">
        <v>38758</v>
      </c>
      <c r="B169" s="225">
        <v>72278</v>
      </c>
      <c r="C169" s="133" t="s">
        <v>20</v>
      </c>
      <c r="D169" s="131">
        <v>2</v>
      </c>
      <c r="E169" s="134" t="s">
        <v>239</v>
      </c>
      <c r="F169" s="131"/>
      <c r="G169" s="201" t="s">
        <v>822</v>
      </c>
      <c r="H169" s="135">
        <v>45747</v>
      </c>
      <c r="I169" s="136">
        <v>4</v>
      </c>
      <c r="J169" s="133" t="s">
        <v>240</v>
      </c>
      <c r="K169" s="142">
        <v>5218</v>
      </c>
      <c r="L169" s="187" t="s">
        <v>889</v>
      </c>
      <c r="M169" s="139"/>
      <c r="N169" s="136"/>
      <c r="O169" s="140"/>
      <c r="P169" s="143">
        <v>45859</v>
      </c>
      <c r="Q169" s="92"/>
      <c r="R169" s="68" t="str">
        <f t="shared" si="4"/>
        <v/>
      </c>
      <c r="S169" s="22"/>
    </row>
    <row r="170" spans="1:19" ht="18" customHeight="1">
      <c r="A170" s="85"/>
      <c r="B170" s="86"/>
      <c r="C170" s="22"/>
      <c r="D170" s="85"/>
      <c r="E170" s="87"/>
      <c r="F170" s="85"/>
      <c r="G170" s="202"/>
      <c r="H170" s="88"/>
      <c r="J170" s="22"/>
      <c r="M170" s="89"/>
      <c r="N170" s="60"/>
      <c r="O170" s="90"/>
      <c r="P170" s="91"/>
      <c r="Q170" s="92"/>
      <c r="R170" s="68" t="str">
        <f t="shared" si="4"/>
        <v/>
      </c>
      <c r="S170" s="22"/>
    </row>
    <row r="171" spans="1:19" ht="18" customHeight="1">
      <c r="A171" s="131">
        <v>38759</v>
      </c>
      <c r="B171" s="132">
        <v>72085</v>
      </c>
      <c r="C171" s="133" t="s">
        <v>20</v>
      </c>
      <c r="D171" s="131">
        <v>3</v>
      </c>
      <c r="E171" s="134" t="s">
        <v>172</v>
      </c>
      <c r="F171" s="131">
        <v>2</v>
      </c>
      <c r="G171" s="201" t="s">
        <v>888</v>
      </c>
      <c r="H171" s="135">
        <v>45709</v>
      </c>
      <c r="I171" s="136">
        <v>1</v>
      </c>
      <c r="J171" s="133" t="s">
        <v>173</v>
      </c>
      <c r="K171" s="142">
        <v>52899.78</v>
      </c>
      <c r="L171" s="203" t="s">
        <v>890</v>
      </c>
      <c r="M171" s="139"/>
      <c r="N171" s="136"/>
      <c r="O171" s="140"/>
      <c r="P171" s="143">
        <v>45859</v>
      </c>
      <c r="Q171" s="92"/>
      <c r="R171" s="68" t="str">
        <f t="shared" si="4"/>
        <v/>
      </c>
      <c r="S171" s="22"/>
    </row>
    <row r="172" spans="1:19" ht="18" customHeight="1">
      <c r="A172" s="131">
        <v>38759</v>
      </c>
      <c r="B172" s="132">
        <v>72086</v>
      </c>
      <c r="C172" s="133" t="s">
        <v>20</v>
      </c>
      <c r="D172" s="131">
        <v>6</v>
      </c>
      <c r="E172" s="134" t="s">
        <v>174</v>
      </c>
      <c r="F172" s="131">
        <v>1</v>
      </c>
      <c r="G172" s="201" t="s">
        <v>888</v>
      </c>
      <c r="H172" s="135">
        <v>45709</v>
      </c>
      <c r="I172" s="136">
        <v>2</v>
      </c>
      <c r="J172" s="133" t="s">
        <v>175</v>
      </c>
      <c r="K172" s="142">
        <v>23133.58</v>
      </c>
      <c r="L172" s="203" t="s">
        <v>890</v>
      </c>
      <c r="M172" s="139"/>
      <c r="N172" s="136"/>
      <c r="O172" s="140"/>
      <c r="P172" s="143">
        <v>45859</v>
      </c>
      <c r="Q172" s="92"/>
      <c r="R172" s="68" t="str">
        <f t="shared" si="4"/>
        <v/>
      </c>
      <c r="S172" s="22"/>
    </row>
    <row r="173" spans="1:19" ht="18" customHeight="1">
      <c r="A173" s="131">
        <v>38759</v>
      </c>
      <c r="B173" s="225">
        <v>72279</v>
      </c>
      <c r="C173" s="133" t="s">
        <v>20</v>
      </c>
      <c r="D173" s="131">
        <v>2</v>
      </c>
      <c r="E173" s="134" t="s">
        <v>239</v>
      </c>
      <c r="F173" s="131"/>
      <c r="G173" s="201" t="s">
        <v>822</v>
      </c>
      <c r="H173" s="135">
        <v>45747</v>
      </c>
      <c r="I173" s="136">
        <v>4</v>
      </c>
      <c r="J173" s="133" t="s">
        <v>240</v>
      </c>
      <c r="K173" s="142">
        <v>5218</v>
      </c>
      <c r="L173" s="203" t="s">
        <v>890</v>
      </c>
      <c r="M173" s="139"/>
      <c r="N173" s="136"/>
      <c r="O173" s="140"/>
      <c r="P173" s="143">
        <v>45859</v>
      </c>
      <c r="Q173" s="92"/>
      <c r="R173" s="68" t="str">
        <f t="shared" si="4"/>
        <v/>
      </c>
      <c r="S173" s="22"/>
    </row>
    <row r="174" spans="1:19" ht="18" customHeight="1">
      <c r="A174" s="131">
        <v>38759</v>
      </c>
      <c r="B174" s="204">
        <v>72459</v>
      </c>
      <c r="C174" s="133" t="s">
        <v>20</v>
      </c>
      <c r="D174" s="131">
        <v>2</v>
      </c>
      <c r="E174" s="205" t="s">
        <v>379</v>
      </c>
      <c r="F174" s="131"/>
      <c r="G174" s="201" t="s">
        <v>822</v>
      </c>
      <c r="H174" s="135">
        <v>45819</v>
      </c>
      <c r="I174" s="136">
        <v>5</v>
      </c>
      <c r="J174" s="133" t="s">
        <v>380</v>
      </c>
      <c r="K174" s="142">
        <v>8656</v>
      </c>
      <c r="L174" s="203" t="s">
        <v>891</v>
      </c>
      <c r="M174" s="139"/>
      <c r="N174" s="136"/>
      <c r="O174" s="140"/>
      <c r="P174" s="143">
        <v>45896</v>
      </c>
      <c r="Q174" s="92"/>
      <c r="R174" s="68"/>
      <c r="S174" s="22"/>
    </row>
    <row r="175" spans="1:19" ht="18" customHeight="1">
      <c r="A175" s="131">
        <v>38759</v>
      </c>
      <c r="B175" s="204">
        <v>72460</v>
      </c>
      <c r="C175" s="133" t="s">
        <v>20</v>
      </c>
      <c r="D175" s="131">
        <v>2</v>
      </c>
      <c r="E175" s="205" t="s">
        <v>382</v>
      </c>
      <c r="F175" s="131"/>
      <c r="G175" s="201" t="s">
        <v>822</v>
      </c>
      <c r="H175" s="135">
        <v>45819</v>
      </c>
      <c r="I175" s="136">
        <v>6</v>
      </c>
      <c r="J175" s="133" t="s">
        <v>383</v>
      </c>
      <c r="K175" s="142">
        <v>9903</v>
      </c>
      <c r="L175" s="203" t="s">
        <v>891</v>
      </c>
      <c r="M175" s="139"/>
      <c r="N175" s="136"/>
      <c r="O175" s="140"/>
      <c r="P175" s="143">
        <v>45896</v>
      </c>
      <c r="Q175" s="92"/>
      <c r="R175" s="68"/>
      <c r="S175" s="22"/>
    </row>
    <row r="176" spans="1:19" ht="18" customHeight="1">
      <c r="A176" s="85"/>
      <c r="B176" s="86"/>
      <c r="C176" s="22"/>
      <c r="D176" s="85"/>
      <c r="E176" s="87"/>
      <c r="F176" s="85"/>
      <c r="G176" s="22"/>
      <c r="H176" s="88"/>
      <c r="J176" s="22"/>
      <c r="M176" s="89"/>
      <c r="N176" s="60"/>
      <c r="O176" s="90"/>
      <c r="P176" s="91"/>
      <c r="Q176" s="92"/>
      <c r="R176" s="68" t="str">
        <f>IF(SUM(Q176)&gt;0,SUM(Q176-P176),"")</f>
        <v/>
      </c>
      <c r="S176" s="22"/>
    </row>
    <row r="177" spans="1:19" ht="18" customHeight="1">
      <c r="A177" s="85">
        <v>38764</v>
      </c>
      <c r="B177" s="86">
        <v>72098</v>
      </c>
      <c r="C177" s="22" t="s">
        <v>179</v>
      </c>
      <c r="D177" s="85">
        <v>1</v>
      </c>
      <c r="E177" s="87" t="s">
        <v>177</v>
      </c>
      <c r="F177" s="85"/>
      <c r="G177" s="22" t="s">
        <v>892</v>
      </c>
      <c r="H177" s="88">
        <v>45712</v>
      </c>
      <c r="I177" s="60">
        <v>3</v>
      </c>
      <c r="J177" s="206" t="s">
        <v>893</v>
      </c>
      <c r="L177" s="60">
        <v>19509</v>
      </c>
      <c r="M177" s="89"/>
      <c r="N177" s="60"/>
      <c r="O177" s="90"/>
      <c r="P177" s="91">
        <v>45740</v>
      </c>
      <c r="Q177" s="92"/>
      <c r="R177" s="68" t="str">
        <f>IF(SUM(Q177)&gt;0,SUM(Q177-P177),"")</f>
        <v/>
      </c>
      <c r="S177" s="22"/>
    </row>
    <row r="178" spans="1:19" ht="18" customHeight="1">
      <c r="A178" s="85"/>
      <c r="B178" s="86"/>
      <c r="C178" s="22"/>
      <c r="D178" s="85"/>
      <c r="E178" s="87"/>
      <c r="F178" s="85"/>
      <c r="G178" s="22"/>
      <c r="H178" s="88"/>
      <c r="J178" s="22"/>
      <c r="M178" s="89"/>
      <c r="N178" s="60"/>
      <c r="O178" s="90"/>
      <c r="P178" s="91"/>
      <c r="Q178" s="92"/>
      <c r="R178" s="68" t="str">
        <f>IF(SUM(Q178)&gt;0,SUM(Q178-P178),"")</f>
        <v/>
      </c>
      <c r="S178" s="22"/>
    </row>
    <row r="179" spans="1:19" ht="18" customHeight="1">
      <c r="A179" s="207" t="s">
        <v>894</v>
      </c>
      <c r="B179" s="86">
        <v>72113</v>
      </c>
      <c r="C179" s="22" t="s">
        <v>183</v>
      </c>
      <c r="D179" s="85">
        <v>1</v>
      </c>
      <c r="E179" s="87" t="s">
        <v>181</v>
      </c>
      <c r="F179" s="85"/>
      <c r="G179" s="22" t="s">
        <v>895</v>
      </c>
      <c r="H179" s="88">
        <v>45712</v>
      </c>
      <c r="I179" s="60">
        <v>1</v>
      </c>
      <c r="J179" s="22" t="s">
        <v>182</v>
      </c>
      <c r="L179" s="60" t="s">
        <v>180</v>
      </c>
      <c r="M179" s="89"/>
      <c r="N179" s="60"/>
      <c r="O179" s="90"/>
      <c r="P179" s="91">
        <v>45713</v>
      </c>
      <c r="Q179" s="92"/>
      <c r="R179" s="68" t="str">
        <f>IF(SUM(Q179)&gt;0,SUM(Q179-P179),"")</f>
        <v/>
      </c>
      <c r="S179" s="22"/>
    </row>
    <row r="180" spans="1:19" ht="18" customHeight="1">
      <c r="A180" s="207" t="s">
        <v>894</v>
      </c>
      <c r="B180" s="86">
        <v>72113</v>
      </c>
      <c r="C180" s="22" t="s">
        <v>183</v>
      </c>
      <c r="D180" s="85">
        <v>1</v>
      </c>
      <c r="E180" s="87" t="s">
        <v>181</v>
      </c>
      <c r="F180" s="85"/>
      <c r="G180" s="22" t="s">
        <v>895</v>
      </c>
      <c r="H180" s="88">
        <v>45779</v>
      </c>
      <c r="I180" s="60">
        <v>2</v>
      </c>
      <c r="J180" s="22" t="s">
        <v>896</v>
      </c>
      <c r="L180" s="60" t="s">
        <v>180</v>
      </c>
      <c r="M180" s="89"/>
      <c r="N180" s="60"/>
      <c r="O180" s="90"/>
      <c r="P180" s="91">
        <v>45786</v>
      </c>
      <c r="Q180" s="92"/>
      <c r="R180" s="68" t="str">
        <f>IF(SUM(Q180)&gt;0,SUM(Q180-P180),"")</f>
        <v/>
      </c>
      <c r="S180" s="22"/>
    </row>
    <row r="181" spans="1:19" ht="18" customHeight="1">
      <c r="A181" s="207" t="s">
        <v>894</v>
      </c>
      <c r="B181" s="86">
        <v>72113</v>
      </c>
      <c r="C181" s="22" t="s">
        <v>183</v>
      </c>
      <c r="D181" s="85">
        <v>1</v>
      </c>
      <c r="E181" s="87" t="s">
        <v>181</v>
      </c>
      <c r="F181" s="85"/>
      <c r="G181" s="22" t="s">
        <v>895</v>
      </c>
      <c r="H181" s="88">
        <v>45780</v>
      </c>
      <c r="I181" s="60">
        <v>3</v>
      </c>
      <c r="J181" s="22" t="s">
        <v>897</v>
      </c>
      <c r="L181" s="60" t="s">
        <v>180</v>
      </c>
      <c r="M181" s="89"/>
      <c r="N181" s="60"/>
      <c r="O181" s="90"/>
      <c r="P181" s="91">
        <v>45786</v>
      </c>
      <c r="Q181" s="92"/>
      <c r="R181" s="68"/>
      <c r="S181" s="22"/>
    </row>
    <row r="182" spans="1:19" ht="18" customHeight="1">
      <c r="A182" s="207" t="s">
        <v>894</v>
      </c>
      <c r="B182" s="86">
        <v>72113</v>
      </c>
      <c r="C182" s="22" t="s">
        <v>183</v>
      </c>
      <c r="D182" s="85">
        <v>1</v>
      </c>
      <c r="E182" s="87" t="s">
        <v>181</v>
      </c>
      <c r="F182" s="85"/>
      <c r="G182" s="22" t="s">
        <v>895</v>
      </c>
      <c r="H182" s="88">
        <v>45781</v>
      </c>
      <c r="I182" s="60">
        <v>4</v>
      </c>
      <c r="J182" s="22" t="s">
        <v>898</v>
      </c>
      <c r="L182" s="60" t="s">
        <v>180</v>
      </c>
      <c r="M182" s="89"/>
      <c r="N182" s="60"/>
      <c r="O182" s="90"/>
      <c r="P182" s="91">
        <v>45786</v>
      </c>
      <c r="Q182" s="92"/>
      <c r="R182" s="68"/>
      <c r="S182" s="22"/>
    </row>
    <row r="183" spans="1:19" ht="18" customHeight="1">
      <c r="A183" s="207" t="s">
        <v>894</v>
      </c>
      <c r="B183" s="86">
        <v>72113</v>
      </c>
      <c r="C183" s="22" t="s">
        <v>183</v>
      </c>
      <c r="D183" s="85">
        <v>1</v>
      </c>
      <c r="E183" s="87" t="s">
        <v>181</v>
      </c>
      <c r="F183" s="85"/>
      <c r="G183" s="22" t="s">
        <v>895</v>
      </c>
      <c r="H183" s="88">
        <v>45782</v>
      </c>
      <c r="I183" s="60">
        <v>5</v>
      </c>
      <c r="J183" s="22" t="s">
        <v>899</v>
      </c>
      <c r="L183" s="60" t="s">
        <v>180</v>
      </c>
      <c r="M183" s="89"/>
      <c r="N183" s="60"/>
      <c r="O183" s="90"/>
      <c r="P183" s="91">
        <v>45786</v>
      </c>
      <c r="Q183" s="92"/>
      <c r="R183" s="68"/>
      <c r="S183" s="22"/>
    </row>
    <row r="184" spans="1:19" ht="18" customHeight="1">
      <c r="A184" s="207" t="s">
        <v>894</v>
      </c>
      <c r="B184" s="86">
        <v>72113</v>
      </c>
      <c r="C184" s="22" t="s">
        <v>183</v>
      </c>
      <c r="D184" s="85">
        <v>1</v>
      </c>
      <c r="E184" s="87" t="s">
        <v>900</v>
      </c>
      <c r="F184" s="85"/>
      <c r="G184" s="22" t="s">
        <v>895</v>
      </c>
      <c r="H184" s="88">
        <v>45783</v>
      </c>
      <c r="I184" s="60">
        <v>6</v>
      </c>
      <c r="J184" s="22" t="s">
        <v>901</v>
      </c>
      <c r="L184" s="60" t="s">
        <v>180</v>
      </c>
      <c r="M184" s="89"/>
      <c r="N184" s="60"/>
      <c r="O184" s="90"/>
      <c r="P184" s="91">
        <v>45786</v>
      </c>
      <c r="Q184" s="92"/>
      <c r="R184" s="68"/>
      <c r="S184" s="22"/>
    </row>
    <row r="185" spans="1:19" ht="18" customHeight="1">
      <c r="A185" s="85"/>
      <c r="B185" s="86"/>
      <c r="C185" s="22"/>
      <c r="D185" s="85"/>
      <c r="E185" s="87"/>
      <c r="F185" s="85"/>
      <c r="G185" s="22"/>
      <c r="H185" s="88"/>
      <c r="J185" s="22"/>
      <c r="M185" s="89"/>
      <c r="N185" s="60"/>
      <c r="O185" s="90"/>
      <c r="P185" s="91"/>
      <c r="Q185" s="92"/>
      <c r="R185" s="68" t="str">
        <f t="shared" ref="R185:R248" si="5">IF(SUM(Q185)&gt;0,SUM(Q185-P185),"")</f>
        <v/>
      </c>
      <c r="S185" s="22"/>
    </row>
    <row r="186" spans="1:19" ht="18" customHeight="1">
      <c r="A186" s="85">
        <v>38776</v>
      </c>
      <c r="B186" s="86">
        <v>72129</v>
      </c>
      <c r="C186" s="22" t="s">
        <v>45</v>
      </c>
      <c r="D186" s="85" t="s">
        <v>187</v>
      </c>
      <c r="E186" s="87" t="s">
        <v>185</v>
      </c>
      <c r="F186" s="85"/>
      <c r="G186" s="22" t="s">
        <v>844</v>
      </c>
      <c r="H186" s="88">
        <v>45716</v>
      </c>
      <c r="I186" s="60">
        <v>1</v>
      </c>
      <c r="J186" s="22" t="s">
        <v>186</v>
      </c>
      <c r="K186" s="63">
        <v>590</v>
      </c>
      <c r="L186" s="60" t="s">
        <v>184</v>
      </c>
      <c r="M186" s="89"/>
      <c r="N186" s="60"/>
      <c r="O186" s="90"/>
      <c r="P186" s="91">
        <v>45730</v>
      </c>
      <c r="Q186" s="92"/>
      <c r="R186" s="68" t="str">
        <f t="shared" si="5"/>
        <v/>
      </c>
      <c r="S186" s="22"/>
    </row>
    <row r="187" spans="1:19" ht="18" customHeight="1">
      <c r="A187" s="85"/>
      <c r="B187" s="86"/>
      <c r="C187" s="22"/>
      <c r="D187" s="85"/>
      <c r="E187" s="87"/>
      <c r="F187" s="85"/>
      <c r="G187" s="22"/>
      <c r="H187" s="88"/>
      <c r="J187" s="22"/>
      <c r="M187" s="89"/>
      <c r="N187" s="60"/>
      <c r="O187" s="90"/>
      <c r="P187" s="91"/>
      <c r="Q187" s="92"/>
      <c r="R187" s="68" t="str">
        <f t="shared" si="5"/>
        <v/>
      </c>
      <c r="S187" s="22"/>
    </row>
    <row r="188" spans="1:19" ht="18" customHeight="1">
      <c r="A188" s="208">
        <v>38785</v>
      </c>
      <c r="B188" s="209">
        <v>72139</v>
      </c>
      <c r="C188" s="117" t="s">
        <v>20</v>
      </c>
      <c r="D188" s="208">
        <v>1</v>
      </c>
      <c r="E188" s="210" t="s">
        <v>189</v>
      </c>
      <c r="F188" s="208"/>
      <c r="G188" s="211" t="s">
        <v>888</v>
      </c>
      <c r="H188" s="212">
        <v>45720</v>
      </c>
      <c r="I188" s="213">
        <v>1</v>
      </c>
      <c r="J188" s="117" t="s">
        <v>190</v>
      </c>
      <c r="K188" s="214">
        <v>39444.42</v>
      </c>
      <c r="L188" s="215" t="s">
        <v>902</v>
      </c>
      <c r="M188" s="216"/>
      <c r="N188" s="213"/>
      <c r="O188" s="217"/>
      <c r="P188" s="218">
        <v>45985</v>
      </c>
      <c r="Q188" s="219"/>
      <c r="R188" s="68" t="str">
        <f t="shared" si="5"/>
        <v/>
      </c>
      <c r="S188" s="22"/>
    </row>
    <row r="189" spans="1:19" ht="18" customHeight="1">
      <c r="A189" s="208">
        <v>38785</v>
      </c>
      <c r="B189" s="209">
        <v>72140</v>
      </c>
      <c r="C189" s="117" t="s">
        <v>20</v>
      </c>
      <c r="D189" s="208">
        <v>1</v>
      </c>
      <c r="E189" s="210" t="s">
        <v>191</v>
      </c>
      <c r="F189" s="208"/>
      <c r="G189" s="211" t="s">
        <v>888</v>
      </c>
      <c r="H189" s="212">
        <v>45720</v>
      </c>
      <c r="I189" s="213">
        <v>2</v>
      </c>
      <c r="J189" s="117" t="s">
        <v>192</v>
      </c>
      <c r="K189" s="214">
        <v>38305.699999999997</v>
      </c>
      <c r="L189" s="215" t="s">
        <v>902</v>
      </c>
      <c r="M189" s="216"/>
      <c r="N189" s="213"/>
      <c r="O189" s="217"/>
      <c r="P189" s="218">
        <v>45985</v>
      </c>
      <c r="Q189" s="219"/>
      <c r="R189" s="68" t="str">
        <f t="shared" si="5"/>
        <v/>
      </c>
      <c r="S189" s="22"/>
    </row>
    <row r="190" spans="1:19" ht="18" customHeight="1">
      <c r="A190" s="208">
        <v>38785</v>
      </c>
      <c r="B190" s="209">
        <v>72141</v>
      </c>
      <c r="C190" s="117" t="s">
        <v>20</v>
      </c>
      <c r="D190" s="208">
        <v>1</v>
      </c>
      <c r="E190" s="210" t="s">
        <v>193</v>
      </c>
      <c r="F190" s="208"/>
      <c r="G190" s="211" t="s">
        <v>888</v>
      </c>
      <c r="H190" s="212">
        <v>45720</v>
      </c>
      <c r="I190" s="213">
        <v>3</v>
      </c>
      <c r="J190" s="117" t="s">
        <v>194</v>
      </c>
      <c r="K190" s="214">
        <v>39684.129999999997</v>
      </c>
      <c r="L190" s="215" t="s">
        <v>902</v>
      </c>
      <c r="M190" s="216"/>
      <c r="N190" s="213"/>
      <c r="O190" s="217"/>
      <c r="P190" s="218">
        <v>45985</v>
      </c>
      <c r="Q190" s="219"/>
      <c r="R190" s="68" t="str">
        <f t="shared" si="5"/>
        <v/>
      </c>
      <c r="S190" s="22"/>
    </row>
    <row r="191" spans="1:19" ht="18" customHeight="1">
      <c r="A191" s="208">
        <v>38785</v>
      </c>
      <c r="B191" s="209">
        <v>72142</v>
      </c>
      <c r="C191" s="117" t="s">
        <v>20</v>
      </c>
      <c r="D191" s="208">
        <v>1</v>
      </c>
      <c r="E191" s="210" t="s">
        <v>195</v>
      </c>
      <c r="F191" s="208"/>
      <c r="G191" s="211" t="s">
        <v>888</v>
      </c>
      <c r="H191" s="212">
        <v>45720</v>
      </c>
      <c r="I191" s="213">
        <v>4</v>
      </c>
      <c r="J191" s="117" t="s">
        <v>196</v>
      </c>
      <c r="K191" s="214">
        <v>39684.129999999997</v>
      </c>
      <c r="L191" s="215" t="s">
        <v>902</v>
      </c>
      <c r="M191" s="216"/>
      <c r="N191" s="213"/>
      <c r="O191" s="217"/>
      <c r="P191" s="218">
        <v>45985</v>
      </c>
      <c r="Q191" s="219"/>
      <c r="R191" s="68" t="str">
        <f t="shared" si="5"/>
        <v/>
      </c>
      <c r="S191" s="22"/>
    </row>
    <row r="192" spans="1:19" ht="18" customHeight="1">
      <c r="A192" s="208">
        <v>38785</v>
      </c>
      <c r="B192" s="209">
        <v>72143</v>
      </c>
      <c r="C192" s="117" t="s">
        <v>20</v>
      </c>
      <c r="D192" s="208">
        <v>1</v>
      </c>
      <c r="E192" s="210" t="s">
        <v>197</v>
      </c>
      <c r="F192" s="208"/>
      <c r="G192" s="211" t="s">
        <v>888</v>
      </c>
      <c r="H192" s="212">
        <v>45720</v>
      </c>
      <c r="I192" s="213">
        <v>5</v>
      </c>
      <c r="J192" s="117" t="s">
        <v>198</v>
      </c>
      <c r="K192" s="214">
        <v>16803.5</v>
      </c>
      <c r="L192" s="215" t="s">
        <v>902</v>
      </c>
      <c r="M192" s="216"/>
      <c r="N192" s="213"/>
      <c r="O192" s="217"/>
      <c r="P192" s="218">
        <v>45985</v>
      </c>
      <c r="Q192" s="219"/>
      <c r="R192" s="68" t="str">
        <f t="shared" si="5"/>
        <v/>
      </c>
      <c r="S192" s="22"/>
    </row>
    <row r="193" spans="1:19" ht="18" customHeight="1">
      <c r="A193" s="208">
        <v>38785</v>
      </c>
      <c r="B193" s="209">
        <v>72144</v>
      </c>
      <c r="C193" s="117" t="s">
        <v>20</v>
      </c>
      <c r="D193" s="208">
        <v>1</v>
      </c>
      <c r="E193" s="210" t="s">
        <v>199</v>
      </c>
      <c r="F193" s="208"/>
      <c r="G193" s="211" t="s">
        <v>888</v>
      </c>
      <c r="H193" s="212">
        <v>45720</v>
      </c>
      <c r="I193" s="213">
        <v>6</v>
      </c>
      <c r="J193" s="117" t="s">
        <v>200</v>
      </c>
      <c r="K193" s="214">
        <v>17217.82</v>
      </c>
      <c r="L193" s="215" t="s">
        <v>902</v>
      </c>
      <c r="M193" s="216"/>
      <c r="N193" s="213"/>
      <c r="O193" s="217"/>
      <c r="P193" s="218">
        <v>45985</v>
      </c>
      <c r="Q193" s="219"/>
      <c r="R193" s="68" t="str">
        <f t="shared" si="5"/>
        <v/>
      </c>
      <c r="S193" s="22"/>
    </row>
    <row r="194" spans="1:19" ht="18" customHeight="1">
      <c r="A194" s="208">
        <v>38785</v>
      </c>
      <c r="B194" s="209">
        <v>72145</v>
      </c>
      <c r="C194" s="117" t="s">
        <v>20</v>
      </c>
      <c r="D194" s="208">
        <v>1</v>
      </c>
      <c r="E194" s="210" t="s">
        <v>201</v>
      </c>
      <c r="F194" s="208"/>
      <c r="G194" s="211" t="s">
        <v>888</v>
      </c>
      <c r="H194" s="212">
        <v>45720</v>
      </c>
      <c r="I194" s="213">
        <v>7</v>
      </c>
      <c r="J194" s="117" t="s">
        <v>202</v>
      </c>
      <c r="K194" s="214">
        <v>17288.48</v>
      </c>
      <c r="L194" s="215" t="s">
        <v>902</v>
      </c>
      <c r="M194" s="216"/>
      <c r="N194" s="213"/>
      <c r="O194" s="217"/>
      <c r="P194" s="218">
        <v>45985</v>
      </c>
      <c r="Q194" s="219"/>
      <c r="R194" s="68" t="str">
        <f t="shared" si="5"/>
        <v/>
      </c>
      <c r="S194" s="22"/>
    </row>
    <row r="195" spans="1:19" ht="18" customHeight="1">
      <c r="A195" s="208">
        <v>38785</v>
      </c>
      <c r="B195" s="209">
        <v>72146</v>
      </c>
      <c r="C195" s="117" t="s">
        <v>20</v>
      </c>
      <c r="D195" s="208">
        <v>1</v>
      </c>
      <c r="E195" s="210" t="s">
        <v>203</v>
      </c>
      <c r="F195" s="208"/>
      <c r="G195" s="211" t="s">
        <v>888</v>
      </c>
      <c r="H195" s="212">
        <v>45720</v>
      </c>
      <c r="I195" s="213">
        <v>8</v>
      </c>
      <c r="J195" s="117" t="s">
        <v>204</v>
      </c>
      <c r="K195" s="214">
        <v>15059.18</v>
      </c>
      <c r="L195" s="215" t="s">
        <v>902</v>
      </c>
      <c r="M195" s="216"/>
      <c r="N195" s="213"/>
      <c r="O195" s="217"/>
      <c r="P195" s="218">
        <v>45985</v>
      </c>
      <c r="Q195" s="219"/>
      <c r="R195" s="68" t="str">
        <f t="shared" si="5"/>
        <v/>
      </c>
      <c r="S195" s="22"/>
    </row>
    <row r="196" spans="1:19" ht="18" customHeight="1">
      <c r="A196" s="208">
        <v>38785</v>
      </c>
      <c r="B196" s="209">
        <v>72147</v>
      </c>
      <c r="C196" s="117" t="s">
        <v>20</v>
      </c>
      <c r="D196" s="208">
        <v>2</v>
      </c>
      <c r="E196" s="210" t="s">
        <v>205</v>
      </c>
      <c r="F196" s="208"/>
      <c r="G196" s="211" t="s">
        <v>888</v>
      </c>
      <c r="H196" s="212">
        <v>45720</v>
      </c>
      <c r="I196" s="213">
        <v>9</v>
      </c>
      <c r="J196" s="117" t="s">
        <v>206</v>
      </c>
      <c r="K196" s="214">
        <v>84206.32</v>
      </c>
      <c r="L196" s="215" t="s">
        <v>902</v>
      </c>
      <c r="M196" s="216"/>
      <c r="N196" s="213"/>
      <c r="O196" s="217"/>
      <c r="P196" s="218">
        <v>45985</v>
      </c>
      <c r="Q196" s="219"/>
      <c r="R196" s="68" t="str">
        <f t="shared" si="5"/>
        <v/>
      </c>
      <c r="S196" s="22"/>
    </row>
    <row r="197" spans="1:19" ht="18" customHeight="1">
      <c r="A197" s="85"/>
      <c r="B197" s="86"/>
      <c r="C197" s="22"/>
      <c r="D197" s="85"/>
      <c r="E197" s="87"/>
      <c r="F197" s="85"/>
      <c r="G197" s="22"/>
      <c r="H197" s="88"/>
      <c r="J197" s="22"/>
      <c r="M197" s="89"/>
      <c r="N197" s="60"/>
      <c r="O197" s="90"/>
      <c r="P197" s="91"/>
      <c r="Q197" s="92"/>
      <c r="R197" s="68" t="str">
        <f t="shared" si="5"/>
        <v/>
      </c>
      <c r="S197" s="22"/>
    </row>
    <row r="198" spans="1:19" ht="18" customHeight="1">
      <c r="A198" s="85">
        <v>38790</v>
      </c>
      <c r="B198" s="86">
        <v>72180</v>
      </c>
      <c r="C198" s="22" t="s">
        <v>167</v>
      </c>
      <c r="D198" s="85">
        <v>4</v>
      </c>
      <c r="E198" s="87" t="s">
        <v>207</v>
      </c>
      <c r="F198" s="89">
        <v>1</v>
      </c>
      <c r="G198" s="22" t="s">
        <v>903</v>
      </c>
      <c r="H198" s="88">
        <v>45722</v>
      </c>
      <c r="I198" s="60">
        <v>320</v>
      </c>
      <c r="J198" s="22" t="s">
        <v>208</v>
      </c>
      <c r="K198" s="63">
        <v>361</v>
      </c>
      <c r="L198" s="60">
        <v>280099616</v>
      </c>
      <c r="M198" s="89"/>
      <c r="N198" s="60"/>
      <c r="O198" s="90"/>
      <c r="P198" s="91">
        <v>45806</v>
      </c>
      <c r="Q198" s="92"/>
      <c r="R198" s="68" t="str">
        <f t="shared" si="5"/>
        <v/>
      </c>
      <c r="S198" s="22"/>
    </row>
    <row r="199" spans="1:19" ht="18" customHeight="1">
      <c r="A199" s="85">
        <v>38790</v>
      </c>
      <c r="B199" s="86">
        <v>72181</v>
      </c>
      <c r="C199" s="22" t="s">
        <v>167</v>
      </c>
      <c r="D199" s="85">
        <v>2</v>
      </c>
      <c r="E199" s="87" t="s">
        <v>209</v>
      </c>
      <c r="F199" s="85"/>
      <c r="G199" s="22" t="s">
        <v>903</v>
      </c>
      <c r="H199" s="88">
        <v>45722</v>
      </c>
      <c r="I199" s="60">
        <v>330</v>
      </c>
      <c r="J199" s="22" t="s">
        <v>210</v>
      </c>
      <c r="K199" s="63">
        <v>695</v>
      </c>
      <c r="L199" s="60">
        <v>280099616</v>
      </c>
      <c r="M199" s="89"/>
      <c r="N199" s="60"/>
      <c r="O199" s="90"/>
      <c r="P199" s="91">
        <v>45806</v>
      </c>
      <c r="Q199" s="92"/>
      <c r="R199" s="68" t="str">
        <f t="shared" si="5"/>
        <v/>
      </c>
      <c r="S199" s="22"/>
    </row>
    <row r="200" spans="1:19" ht="18" customHeight="1">
      <c r="A200" s="85">
        <v>38790</v>
      </c>
      <c r="B200" s="89">
        <v>72183</v>
      </c>
      <c r="C200" s="22" t="s">
        <v>167</v>
      </c>
      <c r="D200" s="85">
        <v>1</v>
      </c>
      <c r="E200" s="87" t="s">
        <v>904</v>
      </c>
      <c r="F200" s="85"/>
      <c r="G200" s="22" t="s">
        <v>903</v>
      </c>
      <c r="H200" s="88">
        <v>45722</v>
      </c>
      <c r="I200" s="60">
        <v>350</v>
      </c>
      <c r="J200" s="22" t="s">
        <v>905</v>
      </c>
      <c r="K200" s="220">
        <v>2172.1799999999998</v>
      </c>
      <c r="L200" s="60">
        <v>280099616</v>
      </c>
      <c r="M200" s="89"/>
      <c r="N200" s="60"/>
      <c r="O200" s="90"/>
      <c r="P200" s="91">
        <v>45806</v>
      </c>
      <c r="Q200" s="92"/>
      <c r="R200" s="68" t="str">
        <f t="shared" si="5"/>
        <v/>
      </c>
      <c r="S200" s="22"/>
    </row>
    <row r="201" spans="1:19" ht="18" customHeight="1">
      <c r="A201" s="85">
        <v>38790</v>
      </c>
      <c r="B201" s="86">
        <v>72190</v>
      </c>
      <c r="C201" s="22" t="s">
        <v>167</v>
      </c>
      <c r="D201" s="85">
        <v>3</v>
      </c>
      <c r="E201" s="87" t="s">
        <v>213</v>
      </c>
      <c r="F201" s="85"/>
      <c r="G201" s="22" t="s">
        <v>903</v>
      </c>
      <c r="H201" s="88">
        <v>45722</v>
      </c>
      <c r="I201" s="60">
        <v>420</v>
      </c>
      <c r="J201" s="22" t="s">
        <v>214</v>
      </c>
      <c r="K201" s="63">
        <v>353</v>
      </c>
      <c r="L201" s="60">
        <v>280099616</v>
      </c>
      <c r="M201" s="89"/>
      <c r="N201" s="60"/>
      <c r="O201" s="90"/>
      <c r="P201" s="91">
        <v>45806</v>
      </c>
      <c r="Q201" s="92"/>
      <c r="R201" s="68" t="str">
        <f t="shared" si="5"/>
        <v/>
      </c>
      <c r="S201" s="22"/>
    </row>
    <row r="202" spans="1:19" ht="18" customHeight="1">
      <c r="A202" s="85">
        <v>38790</v>
      </c>
      <c r="B202" s="89">
        <v>72200</v>
      </c>
      <c r="C202" s="22" t="s">
        <v>167</v>
      </c>
      <c r="D202" s="85">
        <v>2</v>
      </c>
      <c r="E202" s="87" t="s">
        <v>215</v>
      </c>
      <c r="F202" s="85"/>
      <c r="G202" s="22" t="s">
        <v>903</v>
      </c>
      <c r="H202" s="88">
        <v>45722</v>
      </c>
      <c r="I202" s="60">
        <v>520</v>
      </c>
      <c r="J202" s="22" t="s">
        <v>216</v>
      </c>
      <c r="K202" s="63">
        <v>1150</v>
      </c>
      <c r="L202" s="60">
        <v>280099616</v>
      </c>
      <c r="M202" s="89"/>
      <c r="N202" s="60"/>
      <c r="O202" s="90"/>
      <c r="P202" s="91">
        <v>45806</v>
      </c>
      <c r="Q202" s="92"/>
      <c r="R202" s="68" t="str">
        <f t="shared" si="5"/>
        <v/>
      </c>
      <c r="S202" s="22"/>
    </row>
    <row r="203" spans="1:19" ht="18" customHeight="1">
      <c r="A203" s="85">
        <v>38790</v>
      </c>
      <c r="B203" s="86">
        <v>72203</v>
      </c>
      <c r="C203" s="22" t="s">
        <v>167</v>
      </c>
      <c r="D203" s="85">
        <v>2</v>
      </c>
      <c r="E203" s="87" t="s">
        <v>218</v>
      </c>
      <c r="F203" s="85"/>
      <c r="G203" s="22" t="s">
        <v>903</v>
      </c>
      <c r="H203" s="88">
        <v>45722</v>
      </c>
      <c r="I203" s="60">
        <v>550</v>
      </c>
      <c r="J203" s="22" t="s">
        <v>219</v>
      </c>
      <c r="K203" s="63">
        <v>1075</v>
      </c>
      <c r="L203" s="60">
        <v>280099616</v>
      </c>
      <c r="M203" s="89"/>
      <c r="N203" s="60"/>
      <c r="O203" s="90"/>
      <c r="P203" s="91">
        <v>45806</v>
      </c>
      <c r="Q203" s="92"/>
      <c r="R203" s="68" t="str">
        <f t="shared" si="5"/>
        <v/>
      </c>
      <c r="S203" s="22"/>
    </row>
    <row r="204" spans="1:19" ht="18" customHeight="1">
      <c r="A204" s="85">
        <v>38790</v>
      </c>
      <c r="B204" s="86">
        <v>72205</v>
      </c>
      <c r="C204" s="22" t="s">
        <v>167</v>
      </c>
      <c r="D204" s="85">
        <v>2</v>
      </c>
      <c r="E204" s="87" t="s">
        <v>220</v>
      </c>
      <c r="F204" s="85"/>
      <c r="G204" s="22" t="s">
        <v>903</v>
      </c>
      <c r="H204" s="88">
        <v>45722</v>
      </c>
      <c r="I204" s="60">
        <v>570</v>
      </c>
      <c r="J204" s="22" t="s">
        <v>221</v>
      </c>
      <c r="K204" s="63">
        <v>1150</v>
      </c>
      <c r="L204" s="60">
        <v>280099616</v>
      </c>
      <c r="M204" s="89"/>
      <c r="N204" s="60"/>
      <c r="O204" s="90"/>
      <c r="P204" s="91">
        <v>45806</v>
      </c>
      <c r="Q204" s="92"/>
      <c r="R204" s="68" t="str">
        <f t="shared" si="5"/>
        <v/>
      </c>
      <c r="S204" s="22"/>
    </row>
    <row r="205" spans="1:19" ht="18" customHeight="1">
      <c r="A205" s="85">
        <v>38790</v>
      </c>
      <c r="B205" s="86">
        <v>72207</v>
      </c>
      <c r="C205" s="22" t="s">
        <v>167</v>
      </c>
      <c r="D205" s="85">
        <v>2</v>
      </c>
      <c r="E205" s="87" t="s">
        <v>222</v>
      </c>
      <c r="F205" s="85"/>
      <c r="G205" s="22" t="s">
        <v>903</v>
      </c>
      <c r="H205" s="88">
        <v>45722</v>
      </c>
      <c r="I205" s="60">
        <v>590</v>
      </c>
      <c r="J205" s="22" t="s">
        <v>223</v>
      </c>
      <c r="K205" s="63">
        <v>1150</v>
      </c>
      <c r="L205" s="60">
        <v>280099616</v>
      </c>
      <c r="M205" s="89"/>
      <c r="N205" s="60"/>
      <c r="O205" s="90" t="s">
        <v>50</v>
      </c>
      <c r="P205" s="91">
        <v>45806</v>
      </c>
      <c r="Q205" s="92"/>
      <c r="R205" s="68" t="str">
        <f t="shared" si="5"/>
        <v/>
      </c>
      <c r="S205" s="22"/>
    </row>
    <row r="206" spans="1:19" ht="18" customHeight="1">
      <c r="A206" s="85"/>
      <c r="B206" s="86"/>
      <c r="C206" s="22"/>
      <c r="D206" s="85"/>
      <c r="E206" s="87"/>
      <c r="F206" s="85"/>
      <c r="G206" s="22"/>
      <c r="H206" s="88"/>
      <c r="J206" s="22"/>
      <c r="M206" s="89"/>
      <c r="N206" s="60"/>
      <c r="O206" s="90"/>
      <c r="P206" s="91"/>
      <c r="Q206" s="92"/>
      <c r="R206" s="68" t="str">
        <f t="shared" si="5"/>
        <v/>
      </c>
      <c r="S206" s="22"/>
    </row>
    <row r="207" spans="1:19" ht="18" customHeight="1">
      <c r="A207" s="85">
        <v>38799</v>
      </c>
      <c r="B207" s="86">
        <v>72226</v>
      </c>
      <c r="C207" s="22" t="s">
        <v>226</v>
      </c>
      <c r="D207" s="85">
        <v>2</v>
      </c>
      <c r="E207" s="87" t="s">
        <v>224</v>
      </c>
      <c r="F207" s="85">
        <v>0</v>
      </c>
      <c r="G207" s="22" t="s">
        <v>906</v>
      </c>
      <c r="H207" s="88">
        <v>45730</v>
      </c>
      <c r="I207" s="60">
        <v>1</v>
      </c>
      <c r="J207" s="22" t="s">
        <v>225</v>
      </c>
      <c r="K207" s="63">
        <v>4735</v>
      </c>
      <c r="L207" s="60">
        <v>4500933778</v>
      </c>
      <c r="M207" s="89"/>
      <c r="N207" s="60"/>
      <c r="O207" s="90"/>
      <c r="P207" s="91">
        <v>45832</v>
      </c>
      <c r="Q207" s="92"/>
      <c r="R207" s="68" t="str">
        <f t="shared" si="5"/>
        <v/>
      </c>
      <c r="S207" s="22"/>
    </row>
    <row r="208" spans="1:19" ht="18" customHeight="1">
      <c r="A208" s="85"/>
      <c r="B208" s="86"/>
      <c r="C208" s="22"/>
      <c r="D208" s="85"/>
      <c r="E208" s="87"/>
      <c r="F208" s="85"/>
      <c r="G208" s="22"/>
      <c r="H208" s="88"/>
      <c r="J208" s="22"/>
      <c r="M208" s="89"/>
      <c r="N208" s="60"/>
      <c r="O208" s="90"/>
      <c r="P208" s="91"/>
      <c r="Q208" s="92"/>
      <c r="R208" s="68" t="str">
        <f t="shared" si="5"/>
        <v/>
      </c>
      <c r="S208" s="22"/>
    </row>
    <row r="209" spans="1:19" ht="18" customHeight="1">
      <c r="A209" s="208">
        <v>38804</v>
      </c>
      <c r="B209" s="209">
        <v>72234</v>
      </c>
      <c r="C209" s="117" t="s">
        <v>20</v>
      </c>
      <c r="D209" s="208">
        <v>1</v>
      </c>
      <c r="E209" s="210" t="s">
        <v>189</v>
      </c>
      <c r="F209" s="208"/>
      <c r="G209" s="211" t="s">
        <v>888</v>
      </c>
      <c r="H209" s="212">
        <v>45736</v>
      </c>
      <c r="I209" s="213">
        <v>1</v>
      </c>
      <c r="J209" s="117" t="s">
        <v>190</v>
      </c>
      <c r="K209" s="214">
        <v>39444.42</v>
      </c>
      <c r="L209" s="215" t="s">
        <v>907</v>
      </c>
      <c r="M209" s="216"/>
      <c r="N209" s="213"/>
      <c r="O209" s="217"/>
      <c r="P209" s="221">
        <v>45985</v>
      </c>
      <c r="Q209" s="219"/>
      <c r="R209" s="68" t="str">
        <f t="shared" si="5"/>
        <v/>
      </c>
      <c r="S209" s="22"/>
    </row>
    <row r="210" spans="1:19" ht="18" customHeight="1">
      <c r="A210" s="208">
        <v>38804</v>
      </c>
      <c r="B210" s="209">
        <v>72235</v>
      </c>
      <c r="C210" s="117" t="s">
        <v>20</v>
      </c>
      <c r="D210" s="208">
        <v>1</v>
      </c>
      <c r="E210" s="210" t="s">
        <v>191</v>
      </c>
      <c r="F210" s="208"/>
      <c r="G210" s="211" t="s">
        <v>888</v>
      </c>
      <c r="H210" s="212">
        <v>45736</v>
      </c>
      <c r="I210" s="213">
        <v>2</v>
      </c>
      <c r="J210" s="117" t="s">
        <v>192</v>
      </c>
      <c r="K210" s="214">
        <v>38305.699999999997</v>
      </c>
      <c r="L210" s="215" t="s">
        <v>907</v>
      </c>
      <c r="M210" s="216"/>
      <c r="N210" s="213"/>
      <c r="O210" s="217"/>
      <c r="P210" s="221">
        <v>45985</v>
      </c>
      <c r="Q210" s="219"/>
      <c r="R210" s="68" t="str">
        <f t="shared" si="5"/>
        <v/>
      </c>
      <c r="S210" s="22"/>
    </row>
    <row r="211" spans="1:19" ht="18" customHeight="1">
      <c r="A211" s="208">
        <v>38804</v>
      </c>
      <c r="B211" s="209">
        <v>72236</v>
      </c>
      <c r="C211" s="117" t="s">
        <v>20</v>
      </c>
      <c r="D211" s="208">
        <v>1</v>
      </c>
      <c r="E211" s="210" t="s">
        <v>193</v>
      </c>
      <c r="F211" s="208"/>
      <c r="G211" s="211" t="s">
        <v>888</v>
      </c>
      <c r="H211" s="212">
        <v>45736</v>
      </c>
      <c r="I211" s="213">
        <v>3</v>
      </c>
      <c r="J211" s="117" t="s">
        <v>194</v>
      </c>
      <c r="K211" s="214">
        <v>39684.129999999997</v>
      </c>
      <c r="L211" s="215" t="s">
        <v>907</v>
      </c>
      <c r="M211" s="216"/>
      <c r="N211" s="213"/>
      <c r="O211" s="217"/>
      <c r="P211" s="221">
        <v>45985</v>
      </c>
      <c r="Q211" s="219"/>
      <c r="R211" s="68" t="str">
        <f t="shared" si="5"/>
        <v/>
      </c>
      <c r="S211" s="22"/>
    </row>
    <row r="212" spans="1:19" ht="18" customHeight="1">
      <c r="A212" s="208">
        <v>38804</v>
      </c>
      <c r="B212" s="209">
        <v>72237</v>
      </c>
      <c r="C212" s="117" t="s">
        <v>20</v>
      </c>
      <c r="D212" s="208">
        <v>1</v>
      </c>
      <c r="E212" s="210" t="s">
        <v>195</v>
      </c>
      <c r="F212" s="208"/>
      <c r="G212" s="211" t="s">
        <v>888</v>
      </c>
      <c r="H212" s="212">
        <v>45736</v>
      </c>
      <c r="I212" s="213">
        <v>4</v>
      </c>
      <c r="J212" s="117" t="s">
        <v>196</v>
      </c>
      <c r="K212" s="214">
        <v>39684.129999999997</v>
      </c>
      <c r="L212" s="215" t="s">
        <v>907</v>
      </c>
      <c r="M212" s="216"/>
      <c r="N212" s="213"/>
      <c r="O212" s="217"/>
      <c r="P212" s="221">
        <v>45985</v>
      </c>
      <c r="Q212" s="219"/>
      <c r="R212" s="68" t="str">
        <f t="shared" si="5"/>
        <v/>
      </c>
      <c r="S212" s="22"/>
    </row>
    <row r="213" spans="1:19" ht="18" customHeight="1">
      <c r="A213" s="208">
        <v>38804</v>
      </c>
      <c r="B213" s="209">
        <v>72238</v>
      </c>
      <c r="C213" s="117" t="s">
        <v>20</v>
      </c>
      <c r="D213" s="208">
        <v>1</v>
      </c>
      <c r="E213" s="210" t="s">
        <v>197</v>
      </c>
      <c r="F213" s="208"/>
      <c r="G213" s="211" t="s">
        <v>888</v>
      </c>
      <c r="H213" s="212">
        <v>45736</v>
      </c>
      <c r="I213" s="213">
        <v>5</v>
      </c>
      <c r="J213" s="117" t="s">
        <v>198</v>
      </c>
      <c r="K213" s="214">
        <v>16803.5</v>
      </c>
      <c r="L213" s="215" t="s">
        <v>907</v>
      </c>
      <c r="M213" s="216"/>
      <c r="N213" s="213"/>
      <c r="O213" s="217"/>
      <c r="P213" s="221">
        <v>45985</v>
      </c>
      <c r="Q213" s="219"/>
      <c r="R213" s="68" t="str">
        <f t="shared" si="5"/>
        <v/>
      </c>
      <c r="S213" s="22"/>
    </row>
    <row r="214" spans="1:19" ht="18" customHeight="1">
      <c r="A214" s="208">
        <v>38804</v>
      </c>
      <c r="B214" s="209">
        <v>72239</v>
      </c>
      <c r="C214" s="117" t="s">
        <v>20</v>
      </c>
      <c r="D214" s="208">
        <v>1</v>
      </c>
      <c r="E214" s="210" t="s">
        <v>199</v>
      </c>
      <c r="F214" s="208"/>
      <c r="G214" s="211" t="s">
        <v>888</v>
      </c>
      <c r="H214" s="212">
        <v>45736</v>
      </c>
      <c r="I214" s="213">
        <v>6</v>
      </c>
      <c r="J214" s="117" t="s">
        <v>200</v>
      </c>
      <c r="K214" s="214">
        <v>17217.82</v>
      </c>
      <c r="L214" s="215" t="s">
        <v>907</v>
      </c>
      <c r="M214" s="216"/>
      <c r="N214" s="213"/>
      <c r="O214" s="217"/>
      <c r="P214" s="221">
        <v>45985</v>
      </c>
      <c r="Q214" s="219"/>
      <c r="R214" s="68" t="str">
        <f t="shared" si="5"/>
        <v/>
      </c>
      <c r="S214" s="22"/>
    </row>
    <row r="215" spans="1:19" ht="18" customHeight="1">
      <c r="A215" s="208">
        <v>38804</v>
      </c>
      <c r="B215" s="209">
        <v>72240</v>
      </c>
      <c r="C215" s="117" t="s">
        <v>20</v>
      </c>
      <c r="D215" s="208">
        <v>1</v>
      </c>
      <c r="E215" s="210" t="s">
        <v>201</v>
      </c>
      <c r="F215" s="208"/>
      <c r="G215" s="211" t="s">
        <v>888</v>
      </c>
      <c r="H215" s="212">
        <v>45736</v>
      </c>
      <c r="I215" s="213">
        <v>7</v>
      </c>
      <c r="J215" s="117" t="s">
        <v>202</v>
      </c>
      <c r="K215" s="214">
        <v>17288.48</v>
      </c>
      <c r="L215" s="215" t="s">
        <v>907</v>
      </c>
      <c r="M215" s="216"/>
      <c r="N215" s="213"/>
      <c r="O215" s="217"/>
      <c r="P215" s="221">
        <v>45985</v>
      </c>
      <c r="Q215" s="219"/>
      <c r="R215" s="68" t="str">
        <f t="shared" si="5"/>
        <v/>
      </c>
      <c r="S215" s="22"/>
    </row>
    <row r="216" spans="1:19" ht="18" customHeight="1">
      <c r="A216" s="208">
        <v>38804</v>
      </c>
      <c r="B216" s="209">
        <v>72241</v>
      </c>
      <c r="C216" s="117" t="s">
        <v>20</v>
      </c>
      <c r="D216" s="208">
        <v>1</v>
      </c>
      <c r="E216" s="210" t="s">
        <v>203</v>
      </c>
      <c r="F216" s="208"/>
      <c r="G216" s="211" t="s">
        <v>888</v>
      </c>
      <c r="H216" s="212">
        <v>45736</v>
      </c>
      <c r="I216" s="213">
        <v>8</v>
      </c>
      <c r="J216" s="117" t="s">
        <v>204</v>
      </c>
      <c r="K216" s="214">
        <v>15059.18</v>
      </c>
      <c r="L216" s="215" t="s">
        <v>907</v>
      </c>
      <c r="M216" s="216"/>
      <c r="N216" s="213"/>
      <c r="O216" s="217"/>
      <c r="P216" s="221">
        <v>45985</v>
      </c>
      <c r="Q216" s="219"/>
      <c r="R216" s="68" t="str">
        <f t="shared" si="5"/>
        <v/>
      </c>
      <c r="S216" s="22"/>
    </row>
    <row r="217" spans="1:19" ht="18" customHeight="1">
      <c r="A217" s="208">
        <v>38804</v>
      </c>
      <c r="B217" s="209">
        <v>72242</v>
      </c>
      <c r="C217" s="117" t="s">
        <v>20</v>
      </c>
      <c r="D217" s="208">
        <v>2</v>
      </c>
      <c r="E217" s="210" t="s">
        <v>205</v>
      </c>
      <c r="F217" s="208"/>
      <c r="G217" s="211" t="s">
        <v>888</v>
      </c>
      <c r="H217" s="212">
        <v>45736</v>
      </c>
      <c r="I217" s="213">
        <v>9</v>
      </c>
      <c r="J217" s="117" t="s">
        <v>206</v>
      </c>
      <c r="K217" s="214">
        <v>84206.32</v>
      </c>
      <c r="L217" s="215" t="s">
        <v>907</v>
      </c>
      <c r="M217" s="216"/>
      <c r="N217" s="213"/>
      <c r="O217" s="217"/>
      <c r="P217" s="221">
        <v>45985</v>
      </c>
      <c r="Q217" s="219"/>
      <c r="R217" s="68" t="str">
        <f t="shared" si="5"/>
        <v/>
      </c>
      <c r="S217" s="22"/>
    </row>
    <row r="218" spans="1:19" ht="18" customHeight="1">
      <c r="A218" s="85"/>
      <c r="B218" s="86"/>
      <c r="C218" s="22"/>
      <c r="D218" s="85"/>
      <c r="E218" s="87"/>
      <c r="F218" s="85"/>
      <c r="G218" s="222"/>
      <c r="H218" s="88"/>
      <c r="J218" s="22"/>
      <c r="M218" s="89"/>
      <c r="N218" s="60"/>
      <c r="O218" s="90"/>
      <c r="P218" s="91"/>
      <c r="Q218" s="92"/>
      <c r="R218" s="68" t="str">
        <f t="shared" si="5"/>
        <v/>
      </c>
      <c r="S218" s="22"/>
    </row>
    <row r="219" spans="1:19" ht="18" customHeight="1">
      <c r="A219" s="85">
        <v>38816</v>
      </c>
      <c r="B219" s="225">
        <v>72264</v>
      </c>
      <c r="C219" s="22" t="s">
        <v>20</v>
      </c>
      <c r="D219" s="85">
        <v>1</v>
      </c>
      <c r="E219" s="87" t="s">
        <v>229</v>
      </c>
      <c r="F219" s="85">
        <v>0</v>
      </c>
      <c r="G219" s="222" t="s">
        <v>888</v>
      </c>
      <c r="H219" s="88">
        <v>45743</v>
      </c>
      <c r="I219" s="60">
        <v>1</v>
      </c>
      <c r="J219" s="22" t="s">
        <v>230</v>
      </c>
      <c r="K219" s="63">
        <v>6638</v>
      </c>
      <c r="L219" s="60" t="s">
        <v>908</v>
      </c>
      <c r="M219" s="89"/>
      <c r="N219" s="60"/>
      <c r="O219" s="90"/>
      <c r="P219" s="91">
        <v>45845</v>
      </c>
      <c r="Q219" s="92"/>
      <c r="R219" s="68" t="str">
        <f t="shared" si="5"/>
        <v/>
      </c>
      <c r="S219" s="22"/>
    </row>
    <row r="220" spans="1:19" ht="18" customHeight="1">
      <c r="A220" s="85">
        <v>38816</v>
      </c>
      <c r="B220" s="86">
        <v>72265</v>
      </c>
      <c r="C220" s="22" t="s">
        <v>20</v>
      </c>
      <c r="D220" s="85">
        <v>1</v>
      </c>
      <c r="E220" s="87" t="s">
        <v>231</v>
      </c>
      <c r="F220" s="85">
        <v>0</v>
      </c>
      <c r="G220" s="222" t="s">
        <v>888</v>
      </c>
      <c r="H220" s="88">
        <v>45743</v>
      </c>
      <c r="I220" s="60">
        <v>2</v>
      </c>
      <c r="J220" s="22" t="s">
        <v>909</v>
      </c>
      <c r="K220" s="63">
        <v>49476</v>
      </c>
      <c r="L220" s="60" t="s">
        <v>908</v>
      </c>
      <c r="M220" s="89"/>
      <c r="N220" s="60"/>
      <c r="O220" s="90"/>
      <c r="P220" s="91">
        <v>45845</v>
      </c>
      <c r="Q220" s="92"/>
      <c r="R220" s="68" t="str">
        <f t="shared" si="5"/>
        <v/>
      </c>
      <c r="S220" s="22"/>
    </row>
    <row r="221" spans="1:19" ht="18" customHeight="1">
      <c r="A221" s="85"/>
      <c r="B221" s="86"/>
      <c r="C221" s="22"/>
      <c r="D221" s="85"/>
      <c r="E221" s="87"/>
      <c r="F221" s="85"/>
      <c r="G221" s="22"/>
      <c r="H221" s="88"/>
      <c r="J221" s="22"/>
      <c r="M221" s="89"/>
      <c r="N221" s="60"/>
      <c r="O221" s="90"/>
      <c r="P221" s="91"/>
      <c r="Q221" s="92"/>
      <c r="R221" s="68" t="str">
        <f t="shared" si="5"/>
        <v/>
      </c>
      <c r="S221" s="22"/>
    </row>
    <row r="222" spans="1:19" ht="18" customHeight="1">
      <c r="A222" s="85">
        <v>38821</v>
      </c>
      <c r="B222" s="86">
        <v>72272</v>
      </c>
      <c r="C222" s="22" t="s">
        <v>164</v>
      </c>
      <c r="D222" s="85">
        <v>3</v>
      </c>
      <c r="E222" s="87">
        <v>700567102</v>
      </c>
      <c r="F222" s="89" t="s">
        <v>910</v>
      </c>
      <c r="G222" s="22" t="s">
        <v>911</v>
      </c>
      <c r="H222" s="88">
        <v>45744</v>
      </c>
      <c r="I222" s="60">
        <v>2</v>
      </c>
      <c r="J222" s="22" t="s">
        <v>912</v>
      </c>
      <c r="K222" s="63">
        <v>17726</v>
      </c>
      <c r="L222" s="60" t="s">
        <v>913</v>
      </c>
      <c r="M222" s="89"/>
      <c r="N222" s="60"/>
      <c r="O222" s="90"/>
      <c r="P222" s="91">
        <v>45825</v>
      </c>
      <c r="Q222" s="92"/>
      <c r="R222" s="68" t="str">
        <f t="shared" si="5"/>
        <v/>
      </c>
      <c r="S222" s="22"/>
    </row>
    <row r="223" spans="1:19" ht="18" customHeight="1">
      <c r="A223" s="85"/>
      <c r="B223" s="86"/>
      <c r="C223" s="22"/>
      <c r="D223" s="85"/>
      <c r="E223" s="87"/>
      <c r="F223" s="85"/>
      <c r="G223" s="22"/>
      <c r="H223" s="88"/>
      <c r="J223" s="22"/>
      <c r="M223" s="89"/>
      <c r="N223" s="60"/>
      <c r="O223" s="90"/>
      <c r="P223" s="91"/>
      <c r="Q223" s="92"/>
      <c r="R223" s="68" t="str">
        <f t="shared" si="5"/>
        <v/>
      </c>
      <c r="S223" s="22"/>
    </row>
    <row r="224" spans="1:19" ht="18" customHeight="1">
      <c r="A224" s="85">
        <v>38824</v>
      </c>
      <c r="B224" s="225">
        <v>72276</v>
      </c>
      <c r="C224" s="22" t="s">
        <v>20</v>
      </c>
      <c r="D224" s="85">
        <v>5</v>
      </c>
      <c r="E224" s="87" t="s">
        <v>234</v>
      </c>
      <c r="F224" s="85">
        <v>2</v>
      </c>
      <c r="G224" s="222" t="s">
        <v>847</v>
      </c>
      <c r="H224" s="88">
        <v>45747</v>
      </c>
      <c r="I224" s="60">
        <v>1</v>
      </c>
      <c r="J224" s="22" t="s">
        <v>235</v>
      </c>
      <c r="K224" s="63">
        <v>3358</v>
      </c>
      <c r="L224" s="60" t="s">
        <v>914</v>
      </c>
      <c r="M224" s="89"/>
      <c r="N224" s="60"/>
      <c r="O224" s="90"/>
      <c r="P224" s="91">
        <v>45821</v>
      </c>
      <c r="Q224" s="92"/>
      <c r="R224" s="68" t="str">
        <f t="shared" si="5"/>
        <v/>
      </c>
      <c r="S224" s="22"/>
    </row>
    <row r="225" spans="1:19" ht="18" customHeight="1">
      <c r="A225" s="85">
        <v>38824</v>
      </c>
      <c r="B225" s="225">
        <v>72277</v>
      </c>
      <c r="C225" s="22" t="s">
        <v>20</v>
      </c>
      <c r="D225" s="85">
        <v>5</v>
      </c>
      <c r="E225" s="87" t="s">
        <v>236</v>
      </c>
      <c r="F225" s="85">
        <v>5</v>
      </c>
      <c r="G225" s="222" t="s">
        <v>847</v>
      </c>
      <c r="H225" s="88">
        <v>45747</v>
      </c>
      <c r="I225" s="60">
        <v>2</v>
      </c>
      <c r="J225" s="22" t="s">
        <v>237</v>
      </c>
      <c r="K225" s="63">
        <v>3358</v>
      </c>
      <c r="L225" s="60" t="s">
        <v>915</v>
      </c>
      <c r="M225" s="89"/>
      <c r="N225" s="60"/>
      <c r="O225" s="90"/>
      <c r="P225" s="91">
        <v>45821</v>
      </c>
      <c r="Q225" s="92"/>
      <c r="R225" s="68" t="str">
        <f t="shared" si="5"/>
        <v/>
      </c>
      <c r="S225" s="22"/>
    </row>
    <row r="226" spans="1:19" ht="18" customHeight="1">
      <c r="A226" s="85"/>
      <c r="B226" s="86"/>
      <c r="C226" s="22"/>
      <c r="D226" s="85"/>
      <c r="E226" s="87"/>
      <c r="F226" s="85"/>
      <c r="G226" s="222"/>
      <c r="H226" s="88"/>
      <c r="J226" s="22"/>
      <c r="M226" s="89"/>
      <c r="N226" s="60"/>
      <c r="O226" s="90"/>
      <c r="P226" s="91"/>
      <c r="Q226" s="92"/>
      <c r="R226" s="68" t="str">
        <f t="shared" si="5"/>
        <v/>
      </c>
      <c r="S226" s="22"/>
    </row>
    <row r="227" spans="1:19" ht="18" customHeight="1">
      <c r="A227" s="85">
        <v>38825</v>
      </c>
      <c r="B227" s="86">
        <v>72280</v>
      </c>
      <c r="C227" s="22" t="s">
        <v>20</v>
      </c>
      <c r="D227" s="85">
        <v>1</v>
      </c>
      <c r="E227" s="87" t="s">
        <v>243</v>
      </c>
      <c r="F227" s="85">
        <v>0</v>
      </c>
      <c r="G227" s="222" t="s">
        <v>847</v>
      </c>
      <c r="H227" s="88">
        <v>45748</v>
      </c>
      <c r="I227" s="60">
        <v>1</v>
      </c>
      <c r="J227" s="22" t="s">
        <v>244</v>
      </c>
      <c r="K227" s="63">
        <v>122666</v>
      </c>
      <c r="L227" s="60" t="s">
        <v>916</v>
      </c>
      <c r="M227" s="89"/>
      <c r="N227" s="60"/>
      <c r="O227" s="90"/>
      <c r="P227" s="91">
        <v>45884</v>
      </c>
      <c r="Q227" s="92"/>
      <c r="R227" s="68" t="str">
        <f t="shared" si="5"/>
        <v/>
      </c>
      <c r="S227" s="22"/>
    </row>
    <row r="228" spans="1:19" ht="18" customHeight="1">
      <c r="A228" s="85"/>
      <c r="B228" s="86"/>
      <c r="C228" s="22"/>
      <c r="D228" s="85"/>
      <c r="E228" s="87"/>
      <c r="F228" s="85"/>
      <c r="G228" s="22"/>
      <c r="H228" s="88"/>
      <c r="J228" s="22"/>
      <c r="M228" s="89"/>
      <c r="N228" s="60"/>
      <c r="O228" s="90"/>
      <c r="P228" s="91"/>
      <c r="Q228" s="92"/>
      <c r="R228" s="68" t="str">
        <f t="shared" si="5"/>
        <v/>
      </c>
      <c r="S228" s="22"/>
    </row>
    <row r="229" spans="1:19" ht="18" customHeight="1">
      <c r="A229" s="85">
        <v>38828</v>
      </c>
      <c r="B229" s="86">
        <v>72284</v>
      </c>
      <c r="C229" s="22" t="s">
        <v>164</v>
      </c>
      <c r="D229" s="85">
        <v>1</v>
      </c>
      <c r="E229" s="223" t="s">
        <v>245</v>
      </c>
      <c r="F229" s="86">
        <v>2</v>
      </c>
      <c r="G229" s="22" t="s">
        <v>917</v>
      </c>
      <c r="H229" s="88">
        <v>45750</v>
      </c>
      <c r="I229" s="60">
        <v>1</v>
      </c>
      <c r="J229" s="22" t="s">
        <v>246</v>
      </c>
      <c r="K229" s="63">
        <v>5657</v>
      </c>
      <c r="L229" s="60" t="s">
        <v>918</v>
      </c>
      <c r="M229" s="89"/>
      <c r="N229" s="60"/>
      <c r="O229" s="90"/>
      <c r="P229" s="130">
        <v>45828</v>
      </c>
      <c r="Q229" s="92"/>
      <c r="R229" s="68" t="str">
        <f t="shared" si="5"/>
        <v/>
      </c>
      <c r="S229" s="22"/>
    </row>
    <row r="230" spans="1:19" ht="18" customHeight="1">
      <c r="A230" s="85">
        <v>38828</v>
      </c>
      <c r="B230" s="86">
        <v>72286</v>
      </c>
      <c r="C230" s="22" t="s">
        <v>164</v>
      </c>
      <c r="D230" s="85">
        <v>1</v>
      </c>
      <c r="E230" s="223" t="s">
        <v>247</v>
      </c>
      <c r="F230" s="86">
        <v>2</v>
      </c>
      <c r="G230" s="22" t="s">
        <v>917</v>
      </c>
      <c r="H230" s="88">
        <v>45750</v>
      </c>
      <c r="I230" s="60">
        <v>3</v>
      </c>
      <c r="J230" s="22" t="s">
        <v>248</v>
      </c>
      <c r="K230" s="63" t="s">
        <v>919</v>
      </c>
      <c r="L230" s="60" t="s">
        <v>918</v>
      </c>
      <c r="M230" s="89"/>
      <c r="N230" s="60"/>
      <c r="O230" s="90"/>
      <c r="P230" s="130">
        <v>45826</v>
      </c>
      <c r="Q230" s="92"/>
      <c r="R230" s="68" t="str">
        <f t="shared" si="5"/>
        <v/>
      </c>
      <c r="S230" s="22"/>
    </row>
    <row r="231" spans="1:19" ht="18" customHeight="1">
      <c r="A231" s="85">
        <v>38828</v>
      </c>
      <c r="B231" s="86">
        <v>72287</v>
      </c>
      <c r="C231" s="22" t="s">
        <v>164</v>
      </c>
      <c r="D231" s="85">
        <v>1</v>
      </c>
      <c r="E231" s="223" t="s">
        <v>920</v>
      </c>
      <c r="F231" s="85" t="s">
        <v>921</v>
      </c>
      <c r="G231" s="22" t="s">
        <v>917</v>
      </c>
      <c r="H231" s="88">
        <v>45750</v>
      </c>
      <c r="I231" s="60">
        <v>4</v>
      </c>
      <c r="J231" s="22" t="s">
        <v>922</v>
      </c>
      <c r="K231" s="63">
        <v>1985</v>
      </c>
      <c r="L231" s="60" t="s">
        <v>918</v>
      </c>
      <c r="M231" s="89">
        <v>44573</v>
      </c>
      <c r="N231" s="60">
        <v>1</v>
      </c>
      <c r="O231" s="90">
        <v>52837</v>
      </c>
      <c r="P231" s="130">
        <v>45825</v>
      </c>
      <c r="Q231" s="92">
        <v>45841</v>
      </c>
      <c r="R231" s="68">
        <f t="shared" si="5"/>
        <v>16</v>
      </c>
      <c r="S231" s="22"/>
    </row>
    <row r="232" spans="1:19" ht="18" customHeight="1">
      <c r="A232" s="85">
        <v>38828</v>
      </c>
      <c r="B232" s="86">
        <v>72288</v>
      </c>
      <c r="C232" s="22" t="s">
        <v>164</v>
      </c>
      <c r="D232" s="85">
        <v>1</v>
      </c>
      <c r="E232" s="223" t="s">
        <v>923</v>
      </c>
      <c r="F232" s="85" t="s">
        <v>924</v>
      </c>
      <c r="G232" s="22" t="s">
        <v>917</v>
      </c>
      <c r="H232" s="88">
        <v>45750</v>
      </c>
      <c r="I232" s="60">
        <v>5</v>
      </c>
      <c r="J232" s="22" t="s">
        <v>925</v>
      </c>
      <c r="K232" s="63">
        <v>1560</v>
      </c>
      <c r="L232" s="60" t="s">
        <v>918</v>
      </c>
      <c r="M232" s="89">
        <v>44573</v>
      </c>
      <c r="N232" s="60">
        <v>1</v>
      </c>
      <c r="O232" s="90">
        <v>52837</v>
      </c>
      <c r="P232" s="130">
        <v>45814</v>
      </c>
      <c r="Q232" s="92">
        <v>45841</v>
      </c>
      <c r="R232" s="68">
        <f t="shared" si="5"/>
        <v>27</v>
      </c>
      <c r="S232" s="22"/>
    </row>
    <row r="233" spans="1:19" ht="18" customHeight="1">
      <c r="A233" s="85">
        <v>38828</v>
      </c>
      <c r="B233" s="86">
        <v>72289</v>
      </c>
      <c r="C233" s="22" t="s">
        <v>164</v>
      </c>
      <c r="D233" s="85">
        <v>1</v>
      </c>
      <c r="E233" s="223" t="s">
        <v>926</v>
      </c>
      <c r="F233" s="85" t="s">
        <v>924</v>
      </c>
      <c r="G233" s="22" t="s">
        <v>917</v>
      </c>
      <c r="H233" s="88">
        <v>45750</v>
      </c>
      <c r="I233" s="60">
        <v>6</v>
      </c>
      <c r="J233" s="22" t="s">
        <v>927</v>
      </c>
      <c r="K233" s="63">
        <v>1760</v>
      </c>
      <c r="L233" s="60" t="s">
        <v>918</v>
      </c>
      <c r="M233" s="89">
        <v>44573</v>
      </c>
      <c r="N233" s="60">
        <v>1</v>
      </c>
      <c r="O233" s="90">
        <v>52837</v>
      </c>
      <c r="P233" s="130">
        <v>45814</v>
      </c>
      <c r="Q233" s="92">
        <v>45841</v>
      </c>
      <c r="R233" s="68">
        <f t="shared" si="5"/>
        <v>27</v>
      </c>
      <c r="S233" s="22"/>
    </row>
    <row r="234" spans="1:19" ht="18" customHeight="1">
      <c r="A234" s="85">
        <v>38828</v>
      </c>
      <c r="B234" s="86">
        <v>72290</v>
      </c>
      <c r="C234" s="22" t="s">
        <v>164</v>
      </c>
      <c r="D234" s="85">
        <v>1</v>
      </c>
      <c r="E234" s="223" t="s">
        <v>249</v>
      </c>
      <c r="F234" s="85">
        <v>6</v>
      </c>
      <c r="G234" s="22" t="s">
        <v>917</v>
      </c>
      <c r="H234" s="88">
        <v>45750</v>
      </c>
      <c r="I234" s="60">
        <v>7</v>
      </c>
      <c r="J234" s="22" t="s">
        <v>250</v>
      </c>
      <c r="K234" s="63">
        <v>1846</v>
      </c>
      <c r="L234" s="60" t="s">
        <v>918</v>
      </c>
      <c r="M234" s="89"/>
      <c r="N234" s="60"/>
      <c r="O234" s="90"/>
      <c r="P234" s="130">
        <v>45814</v>
      </c>
      <c r="Q234" s="92"/>
      <c r="R234" s="68" t="str">
        <f t="shared" si="5"/>
        <v/>
      </c>
      <c r="S234" s="22"/>
    </row>
    <row r="235" spans="1:19" ht="18" customHeight="1">
      <c r="A235" s="85"/>
      <c r="B235" s="86"/>
      <c r="C235" s="22"/>
      <c r="D235" s="85"/>
      <c r="E235" s="87"/>
      <c r="F235" s="85"/>
      <c r="G235" s="22"/>
      <c r="H235" s="88"/>
      <c r="J235" s="22"/>
      <c r="M235" s="89"/>
      <c r="N235" s="60"/>
      <c r="O235" s="90"/>
      <c r="P235" s="91"/>
      <c r="Q235" s="92"/>
      <c r="R235" s="68" t="str">
        <f t="shared" si="5"/>
        <v/>
      </c>
      <c r="S235" s="22"/>
    </row>
    <row r="236" spans="1:19" ht="18" customHeight="1">
      <c r="A236" s="85">
        <v>38833</v>
      </c>
      <c r="B236" s="225">
        <v>72295</v>
      </c>
      <c r="C236" s="22" t="s">
        <v>20</v>
      </c>
      <c r="D236" s="85">
        <v>3</v>
      </c>
      <c r="E236" s="87" t="s">
        <v>251</v>
      </c>
      <c r="F236" s="85"/>
      <c r="G236" s="22" t="s">
        <v>928</v>
      </c>
      <c r="H236" s="88">
        <v>45754</v>
      </c>
      <c r="I236" s="60">
        <v>1</v>
      </c>
      <c r="J236" s="22" t="s">
        <v>252</v>
      </c>
      <c r="K236" s="63">
        <v>8651</v>
      </c>
      <c r="L236" s="224" t="s">
        <v>929</v>
      </c>
      <c r="M236" s="89"/>
      <c r="N236" s="60"/>
      <c r="O236" s="90"/>
      <c r="P236" s="91">
        <v>45831</v>
      </c>
      <c r="Q236" s="92"/>
      <c r="R236" s="68" t="str">
        <f t="shared" si="5"/>
        <v/>
      </c>
      <c r="S236" s="22"/>
    </row>
    <row r="237" spans="1:19" ht="18" customHeight="1">
      <c r="A237" s="85"/>
      <c r="B237" s="86"/>
      <c r="C237" s="22"/>
      <c r="D237" s="85"/>
      <c r="E237" s="87"/>
      <c r="F237" s="85"/>
      <c r="G237" s="22"/>
      <c r="H237" s="88"/>
      <c r="J237" s="22"/>
      <c r="M237" s="89"/>
      <c r="N237" s="60"/>
      <c r="O237" s="90"/>
      <c r="P237" s="91"/>
      <c r="Q237" s="92"/>
      <c r="R237" s="68" t="str">
        <f t="shared" si="5"/>
        <v/>
      </c>
      <c r="S237" s="22"/>
    </row>
    <row r="238" spans="1:19" ht="18" customHeight="1">
      <c r="A238" s="85">
        <v>38835</v>
      </c>
      <c r="B238" s="86">
        <v>72297</v>
      </c>
      <c r="C238" s="22" t="s">
        <v>255</v>
      </c>
      <c r="D238" s="85">
        <v>15</v>
      </c>
      <c r="E238" s="87" t="s">
        <v>253</v>
      </c>
      <c r="F238" s="85"/>
      <c r="G238" s="22" t="s">
        <v>930</v>
      </c>
      <c r="H238" s="88">
        <v>45755</v>
      </c>
      <c r="I238" s="60">
        <v>1</v>
      </c>
      <c r="J238" s="22" t="s">
        <v>254</v>
      </c>
      <c r="M238" s="89"/>
      <c r="N238" s="60"/>
      <c r="O238" s="90"/>
      <c r="P238" s="91">
        <v>45775</v>
      </c>
      <c r="Q238" s="92"/>
      <c r="R238" s="68" t="str">
        <f t="shared" si="5"/>
        <v/>
      </c>
      <c r="S238" s="22"/>
    </row>
    <row r="239" spans="1:19" ht="18" customHeight="1">
      <c r="A239" s="85"/>
      <c r="B239" s="86"/>
      <c r="C239" s="22"/>
      <c r="D239" s="85"/>
      <c r="E239" s="87"/>
      <c r="F239" s="85"/>
      <c r="G239" s="22"/>
      <c r="H239" s="88"/>
      <c r="J239" s="22"/>
      <c r="M239" s="89"/>
      <c r="N239" s="60"/>
      <c r="O239" s="90"/>
      <c r="P239" s="91"/>
      <c r="Q239" s="92"/>
      <c r="R239" s="68" t="str">
        <f t="shared" si="5"/>
        <v/>
      </c>
      <c r="S239" s="22"/>
    </row>
    <row r="240" spans="1:19" ht="18" customHeight="1">
      <c r="A240" s="85">
        <v>38842</v>
      </c>
      <c r="B240" s="86">
        <v>72309</v>
      </c>
      <c r="C240" s="22" t="s">
        <v>164</v>
      </c>
      <c r="D240" s="85">
        <v>1</v>
      </c>
      <c r="E240" s="87" t="s">
        <v>931</v>
      </c>
      <c r="F240" s="85">
        <v>1</v>
      </c>
      <c r="G240" s="22" t="s">
        <v>911</v>
      </c>
      <c r="H240" s="88">
        <v>45768</v>
      </c>
      <c r="I240" s="60">
        <v>1</v>
      </c>
      <c r="J240" s="22" t="s">
        <v>932</v>
      </c>
      <c r="K240" s="63">
        <v>22964</v>
      </c>
      <c r="L240" s="60" t="s">
        <v>933</v>
      </c>
      <c r="M240" s="89">
        <v>44573</v>
      </c>
      <c r="N240" s="60">
        <v>1</v>
      </c>
      <c r="O240" s="90">
        <v>52838</v>
      </c>
      <c r="P240" s="91">
        <v>45827</v>
      </c>
      <c r="Q240" s="92">
        <v>45841</v>
      </c>
      <c r="R240" s="68">
        <f t="shared" si="5"/>
        <v>14</v>
      </c>
      <c r="S240" s="22"/>
    </row>
    <row r="241" spans="1:19" ht="18" customHeight="1">
      <c r="A241" s="85"/>
      <c r="B241" s="86"/>
      <c r="C241" s="22"/>
      <c r="D241" s="85"/>
      <c r="E241" s="87"/>
      <c r="F241" s="85"/>
      <c r="G241" s="22"/>
      <c r="H241" s="88"/>
      <c r="J241" s="22"/>
      <c r="M241" s="89"/>
      <c r="N241" s="60"/>
      <c r="O241" s="90"/>
      <c r="P241" s="91"/>
      <c r="Q241" s="92"/>
      <c r="R241" s="68" t="str">
        <f t="shared" si="5"/>
        <v/>
      </c>
      <c r="S241" s="22"/>
    </row>
    <row r="242" spans="1:19" ht="18" customHeight="1">
      <c r="A242" s="85">
        <v>38845</v>
      </c>
      <c r="B242" s="86">
        <v>72317</v>
      </c>
      <c r="C242" s="22" t="s">
        <v>20</v>
      </c>
      <c r="D242" s="85">
        <v>4</v>
      </c>
      <c r="E242" s="87" t="s">
        <v>257</v>
      </c>
      <c r="F242" s="85">
        <v>2</v>
      </c>
      <c r="G242" s="22" t="s">
        <v>934</v>
      </c>
      <c r="H242" s="88">
        <v>45768</v>
      </c>
      <c r="I242" s="60">
        <v>1</v>
      </c>
      <c r="J242" s="22" t="s">
        <v>258</v>
      </c>
      <c r="K242" s="63">
        <v>8442</v>
      </c>
      <c r="L242" s="60" t="s">
        <v>256</v>
      </c>
      <c r="M242" s="89"/>
      <c r="N242" s="60"/>
      <c r="O242" s="90"/>
      <c r="P242" s="91">
        <v>45883</v>
      </c>
      <c r="Q242" s="92"/>
      <c r="R242" s="68" t="str">
        <f t="shared" si="5"/>
        <v/>
      </c>
      <c r="S242" s="22"/>
    </row>
    <row r="243" spans="1:19" ht="18" customHeight="1">
      <c r="A243" s="85">
        <v>38845</v>
      </c>
      <c r="B243" s="86">
        <v>72318</v>
      </c>
      <c r="C243" s="22" t="s">
        <v>20</v>
      </c>
      <c r="D243" s="85">
        <v>4</v>
      </c>
      <c r="E243" s="87" t="s">
        <v>259</v>
      </c>
      <c r="F243" s="85">
        <v>2</v>
      </c>
      <c r="G243" s="22" t="s">
        <v>934</v>
      </c>
      <c r="H243" s="88">
        <v>45768</v>
      </c>
      <c r="I243" s="60">
        <v>2</v>
      </c>
      <c r="J243" s="22" t="s">
        <v>935</v>
      </c>
      <c r="K243" s="63">
        <v>1770</v>
      </c>
      <c r="L243" s="60" t="s">
        <v>256</v>
      </c>
      <c r="M243" s="89"/>
      <c r="N243" s="60"/>
      <c r="O243" s="90"/>
      <c r="P243" s="91">
        <v>45883</v>
      </c>
      <c r="Q243" s="92"/>
      <c r="R243" s="68" t="str">
        <f t="shared" si="5"/>
        <v/>
      </c>
      <c r="S243" s="22"/>
    </row>
    <row r="244" spans="1:19" ht="18" customHeight="1">
      <c r="A244" s="85">
        <v>38845</v>
      </c>
      <c r="B244" s="86">
        <v>71319</v>
      </c>
      <c r="C244" s="22" t="s">
        <v>20</v>
      </c>
      <c r="D244" s="85">
        <v>4</v>
      </c>
      <c r="E244" s="87" t="s">
        <v>936</v>
      </c>
      <c r="F244" s="85">
        <v>2</v>
      </c>
      <c r="G244" s="22" t="s">
        <v>934</v>
      </c>
      <c r="H244" s="88">
        <v>45768</v>
      </c>
      <c r="I244" s="60">
        <v>3</v>
      </c>
      <c r="J244" s="22" t="s">
        <v>266</v>
      </c>
      <c r="K244" s="63">
        <v>2277</v>
      </c>
      <c r="L244" s="60" t="s">
        <v>256</v>
      </c>
      <c r="M244" s="89"/>
      <c r="N244" s="60"/>
      <c r="O244" s="90"/>
      <c r="P244" s="91">
        <v>45883</v>
      </c>
      <c r="Q244" s="92"/>
      <c r="R244" s="68" t="str">
        <f t="shared" si="5"/>
        <v/>
      </c>
      <c r="S244" s="22"/>
    </row>
    <row r="245" spans="1:19" ht="18" customHeight="1">
      <c r="A245" s="85">
        <v>38845</v>
      </c>
      <c r="B245" s="86">
        <v>72320</v>
      </c>
      <c r="C245" s="22" t="s">
        <v>20</v>
      </c>
      <c r="D245" s="85">
        <v>4</v>
      </c>
      <c r="E245" s="87" t="s">
        <v>261</v>
      </c>
      <c r="F245" s="85">
        <v>2</v>
      </c>
      <c r="G245" s="22" t="s">
        <v>934</v>
      </c>
      <c r="H245" s="88">
        <v>45768</v>
      </c>
      <c r="I245" s="60">
        <v>4</v>
      </c>
      <c r="J245" s="22" t="s">
        <v>262</v>
      </c>
      <c r="K245" s="63">
        <v>1596</v>
      </c>
      <c r="L245" s="60" t="s">
        <v>256</v>
      </c>
      <c r="M245" s="89"/>
      <c r="N245" s="60"/>
      <c r="O245" s="90"/>
      <c r="P245" s="91">
        <v>45883</v>
      </c>
      <c r="Q245" s="92"/>
      <c r="R245" s="68" t="str">
        <f t="shared" si="5"/>
        <v/>
      </c>
      <c r="S245" s="22"/>
    </row>
    <row r="246" spans="1:19" ht="18" customHeight="1">
      <c r="A246" s="85">
        <v>38845</v>
      </c>
      <c r="B246" s="86">
        <v>72321</v>
      </c>
      <c r="C246" s="22" t="s">
        <v>20</v>
      </c>
      <c r="D246" s="85">
        <v>4</v>
      </c>
      <c r="E246" s="87" t="s">
        <v>263</v>
      </c>
      <c r="F246" s="85">
        <v>3</v>
      </c>
      <c r="G246" s="22" t="s">
        <v>934</v>
      </c>
      <c r="H246" s="88">
        <v>45768</v>
      </c>
      <c r="I246" s="60">
        <v>5</v>
      </c>
      <c r="J246" s="22" t="s">
        <v>264</v>
      </c>
      <c r="K246" s="63">
        <v>1596</v>
      </c>
      <c r="L246" s="60" t="s">
        <v>256</v>
      </c>
      <c r="M246" s="89"/>
      <c r="N246" s="60"/>
      <c r="O246" s="90"/>
      <c r="P246" s="91">
        <v>45883</v>
      </c>
      <c r="Q246" s="92"/>
      <c r="R246" s="68" t="str">
        <f t="shared" si="5"/>
        <v/>
      </c>
      <c r="S246" s="22"/>
    </row>
    <row r="247" spans="1:19" ht="18" customHeight="1">
      <c r="A247" s="85">
        <v>38845</v>
      </c>
      <c r="B247" s="86">
        <v>72322</v>
      </c>
      <c r="C247" s="22" t="s">
        <v>20</v>
      </c>
      <c r="D247" s="85">
        <v>4</v>
      </c>
      <c r="E247" s="87" t="s">
        <v>265</v>
      </c>
      <c r="F247" s="85">
        <v>3</v>
      </c>
      <c r="G247" s="22" t="s">
        <v>934</v>
      </c>
      <c r="H247" s="88">
        <v>45768</v>
      </c>
      <c r="I247" s="60">
        <v>6</v>
      </c>
      <c r="J247" s="22" t="s">
        <v>266</v>
      </c>
      <c r="K247" s="63">
        <v>2752</v>
      </c>
      <c r="L247" s="60" t="s">
        <v>256</v>
      </c>
      <c r="M247" s="89"/>
      <c r="N247" s="60"/>
      <c r="O247" s="90"/>
      <c r="P247" s="91">
        <v>45883</v>
      </c>
      <c r="Q247" s="92"/>
      <c r="R247" s="68" t="str">
        <f t="shared" si="5"/>
        <v/>
      </c>
      <c r="S247" s="22"/>
    </row>
    <row r="248" spans="1:19" ht="18" customHeight="1">
      <c r="A248" s="85"/>
      <c r="B248" s="86"/>
      <c r="C248" s="22"/>
      <c r="D248" s="85"/>
      <c r="E248" s="87"/>
      <c r="F248" s="85"/>
      <c r="G248" s="22"/>
      <c r="H248" s="88"/>
      <c r="J248" s="22"/>
      <c r="M248" s="89"/>
      <c r="N248" s="60"/>
      <c r="O248" s="90"/>
      <c r="P248" s="91"/>
      <c r="Q248" s="92"/>
      <c r="R248" s="68" t="str">
        <f t="shared" si="5"/>
        <v/>
      </c>
      <c r="S248" s="22"/>
    </row>
    <row r="249" spans="1:19" ht="18" customHeight="1">
      <c r="A249" s="85">
        <v>38846</v>
      </c>
      <c r="B249" s="86">
        <v>72324</v>
      </c>
      <c r="C249" s="22" t="s">
        <v>20</v>
      </c>
      <c r="D249" s="85">
        <v>2</v>
      </c>
      <c r="E249" s="87" t="s">
        <v>268</v>
      </c>
      <c r="F249" s="85">
        <v>0</v>
      </c>
      <c r="G249" s="202" t="s">
        <v>856</v>
      </c>
      <c r="H249" s="88">
        <v>45769</v>
      </c>
      <c r="I249" s="60">
        <v>1</v>
      </c>
      <c r="J249" s="22" t="s">
        <v>269</v>
      </c>
      <c r="K249" s="63">
        <v>77892</v>
      </c>
      <c r="L249" s="60" t="s">
        <v>937</v>
      </c>
      <c r="M249" s="89"/>
      <c r="N249" s="60"/>
      <c r="O249" s="90"/>
      <c r="P249" s="91">
        <v>45898</v>
      </c>
      <c r="Q249" s="92"/>
      <c r="R249" s="68" t="str">
        <f t="shared" ref="R249:R312" si="6">IF(SUM(Q249)&gt;0,SUM(Q249-P249),"")</f>
        <v/>
      </c>
      <c r="S249" s="22"/>
    </row>
    <row r="250" spans="1:19" ht="18" customHeight="1">
      <c r="A250" s="85"/>
      <c r="B250" s="86"/>
      <c r="C250" s="22"/>
      <c r="D250" s="85"/>
      <c r="E250" s="87"/>
      <c r="F250" s="85"/>
      <c r="G250" s="22"/>
      <c r="H250" s="88"/>
      <c r="J250" s="22"/>
      <c r="M250" s="89"/>
      <c r="N250" s="60"/>
      <c r="O250" s="90"/>
      <c r="P250" s="91"/>
      <c r="Q250" s="92"/>
      <c r="R250" s="68" t="str">
        <f t="shared" si="6"/>
        <v/>
      </c>
      <c r="S250" s="22"/>
    </row>
    <row r="251" spans="1:19" ht="18" customHeight="1">
      <c r="A251" s="85">
        <v>38848</v>
      </c>
      <c r="B251" s="86">
        <v>72326</v>
      </c>
      <c r="C251" s="22" t="s">
        <v>49</v>
      </c>
      <c r="D251" s="85">
        <v>1</v>
      </c>
      <c r="E251" s="87" t="s">
        <v>47</v>
      </c>
      <c r="F251" s="85"/>
      <c r="G251" s="22" t="s">
        <v>810</v>
      </c>
      <c r="H251" s="88">
        <v>45770</v>
      </c>
      <c r="I251" s="60">
        <v>1</v>
      </c>
      <c r="J251" s="22" t="s">
        <v>270</v>
      </c>
      <c r="M251" s="89"/>
      <c r="N251" s="60"/>
      <c r="O251" s="90"/>
      <c r="P251" s="91">
        <v>45779</v>
      </c>
      <c r="Q251" s="92"/>
      <c r="R251" s="68" t="str">
        <f t="shared" si="6"/>
        <v/>
      </c>
      <c r="S251" s="22"/>
    </row>
    <row r="252" spans="1:19" ht="18" customHeight="1">
      <c r="A252" s="85">
        <v>38848</v>
      </c>
      <c r="B252" s="86">
        <v>72327</v>
      </c>
      <c r="C252" s="22" t="s">
        <v>49</v>
      </c>
      <c r="D252" s="85">
        <v>1</v>
      </c>
      <c r="E252" s="87" t="s">
        <v>47</v>
      </c>
      <c r="F252" s="85"/>
      <c r="G252" s="22" t="s">
        <v>810</v>
      </c>
      <c r="H252" s="88">
        <v>45770</v>
      </c>
      <c r="I252" s="60">
        <v>2</v>
      </c>
      <c r="J252" s="22" t="s">
        <v>271</v>
      </c>
      <c r="M252" s="89"/>
      <c r="N252" s="60"/>
      <c r="O252" s="90"/>
      <c r="P252" s="91">
        <v>45779</v>
      </c>
      <c r="Q252" s="92"/>
      <c r="R252" s="68" t="str">
        <f t="shared" si="6"/>
        <v/>
      </c>
      <c r="S252" s="22"/>
    </row>
    <row r="253" spans="1:19" ht="18" customHeight="1">
      <c r="A253" s="85">
        <v>38848</v>
      </c>
      <c r="B253" s="86">
        <v>72328</v>
      </c>
      <c r="C253" s="22" t="s">
        <v>49</v>
      </c>
      <c r="D253" s="85">
        <v>1</v>
      </c>
      <c r="E253" s="87" t="s">
        <v>47</v>
      </c>
      <c r="F253" s="85"/>
      <c r="G253" s="22" t="s">
        <v>810</v>
      </c>
      <c r="H253" s="88">
        <v>45770</v>
      </c>
      <c r="I253" s="60">
        <v>3</v>
      </c>
      <c r="J253" s="22" t="s">
        <v>272</v>
      </c>
      <c r="M253" s="89"/>
      <c r="N253" s="60"/>
      <c r="O253" s="90"/>
      <c r="P253" s="91">
        <v>45779</v>
      </c>
      <c r="Q253" s="92"/>
      <c r="R253" s="68" t="str">
        <f t="shared" si="6"/>
        <v/>
      </c>
      <c r="S253" s="22"/>
    </row>
    <row r="254" spans="1:19" ht="18" customHeight="1">
      <c r="A254" s="85"/>
      <c r="B254" s="86"/>
      <c r="C254" s="22"/>
      <c r="D254" s="85"/>
      <c r="E254" s="87"/>
      <c r="F254" s="85"/>
      <c r="G254" s="22"/>
      <c r="H254" s="88"/>
      <c r="J254" s="22"/>
      <c r="M254" s="89"/>
      <c r="N254" s="60"/>
      <c r="O254" s="90"/>
      <c r="P254" s="91"/>
      <c r="Q254" s="92"/>
      <c r="R254" s="68" t="str">
        <f t="shared" si="6"/>
        <v/>
      </c>
      <c r="S254" s="22"/>
    </row>
    <row r="255" spans="1:19" ht="18" customHeight="1">
      <c r="A255" s="85">
        <v>38853</v>
      </c>
      <c r="B255" s="86">
        <v>72349</v>
      </c>
      <c r="C255" s="22" t="s">
        <v>164</v>
      </c>
      <c r="D255" s="85">
        <v>21</v>
      </c>
      <c r="E255" s="87" t="s">
        <v>938</v>
      </c>
      <c r="F255" s="85">
        <v>0</v>
      </c>
      <c r="G255" s="22" t="s">
        <v>911</v>
      </c>
      <c r="H255" s="88">
        <v>45772</v>
      </c>
      <c r="I255" s="60">
        <v>1</v>
      </c>
      <c r="J255" s="22" t="s">
        <v>278</v>
      </c>
      <c r="K255" s="63" t="s">
        <v>939</v>
      </c>
      <c r="L255" s="60" t="s">
        <v>277</v>
      </c>
      <c r="M255" s="89"/>
      <c r="N255" s="60"/>
      <c r="O255" s="90"/>
      <c r="P255" s="91">
        <v>45855</v>
      </c>
      <c r="Q255" s="92"/>
      <c r="R255" s="68" t="str">
        <f t="shared" si="6"/>
        <v/>
      </c>
      <c r="S255" s="22"/>
    </row>
    <row r="256" spans="1:19" ht="18" customHeight="1">
      <c r="A256" s="85"/>
      <c r="B256" s="86"/>
      <c r="C256" s="22"/>
      <c r="D256" s="85"/>
      <c r="E256" s="87"/>
      <c r="F256" s="85"/>
      <c r="G256" s="22"/>
      <c r="H256" s="88"/>
      <c r="J256" s="22"/>
      <c r="M256" s="89"/>
      <c r="N256" s="60"/>
      <c r="O256" s="90"/>
      <c r="P256" s="91"/>
      <c r="Q256" s="92"/>
      <c r="R256" s="68" t="str">
        <f t="shared" si="6"/>
        <v/>
      </c>
      <c r="S256" s="22"/>
    </row>
    <row r="257" spans="1:19" ht="18" customHeight="1">
      <c r="A257" s="85">
        <v>38861</v>
      </c>
      <c r="B257" s="225">
        <v>72362</v>
      </c>
      <c r="C257" s="22" t="s">
        <v>20</v>
      </c>
      <c r="D257" s="85">
        <v>4</v>
      </c>
      <c r="E257" s="87" t="s">
        <v>280</v>
      </c>
      <c r="F257" s="85"/>
      <c r="G257" s="202" t="s">
        <v>856</v>
      </c>
      <c r="H257" s="88">
        <v>45776</v>
      </c>
      <c r="I257" s="60">
        <v>1</v>
      </c>
      <c r="J257" s="22" t="s">
        <v>281</v>
      </c>
      <c r="K257" s="63">
        <v>748</v>
      </c>
      <c r="L257" s="60" t="s">
        <v>940</v>
      </c>
      <c r="M257" s="89"/>
      <c r="N257" s="60"/>
      <c r="O257" s="90"/>
      <c r="P257" s="91">
        <v>45807</v>
      </c>
      <c r="Q257" s="92"/>
      <c r="R257" s="68" t="str">
        <f t="shared" si="6"/>
        <v/>
      </c>
      <c r="S257" s="22"/>
    </row>
    <row r="258" spans="1:19" ht="18" customHeight="1">
      <c r="A258" s="85"/>
      <c r="B258" s="86"/>
      <c r="C258" s="22"/>
      <c r="D258" s="85"/>
      <c r="E258" s="87"/>
      <c r="F258" s="85"/>
      <c r="G258" s="22"/>
      <c r="H258" s="88"/>
      <c r="J258" s="22"/>
      <c r="M258" s="89"/>
      <c r="N258" s="60"/>
      <c r="O258" s="90"/>
      <c r="P258" s="91"/>
      <c r="Q258" s="92"/>
      <c r="R258" s="68" t="str">
        <f t="shared" si="6"/>
        <v/>
      </c>
      <c r="S258" s="22"/>
    </row>
    <row r="259" spans="1:19" ht="18" customHeight="1">
      <c r="A259" s="85">
        <v>38863</v>
      </c>
      <c r="B259" s="86">
        <v>72364</v>
      </c>
      <c r="C259" s="22" t="s">
        <v>167</v>
      </c>
      <c r="D259" s="85">
        <v>1</v>
      </c>
      <c r="E259" s="87" t="s">
        <v>282</v>
      </c>
      <c r="F259" s="85">
        <v>0</v>
      </c>
      <c r="G259" s="22" t="s">
        <v>885</v>
      </c>
      <c r="H259" s="88">
        <v>45778</v>
      </c>
      <c r="I259" s="60">
        <v>10</v>
      </c>
      <c r="J259" s="22" t="s">
        <v>283</v>
      </c>
      <c r="K259" s="63">
        <v>7548</v>
      </c>
      <c r="L259" s="60">
        <v>280101251</v>
      </c>
      <c r="M259" s="89"/>
      <c r="N259" s="60"/>
      <c r="O259" s="90"/>
      <c r="P259" s="91">
        <v>45807</v>
      </c>
      <c r="Q259" s="92"/>
      <c r="R259" s="68" t="str">
        <f t="shared" si="6"/>
        <v/>
      </c>
      <c r="S259" s="22"/>
    </row>
    <row r="260" spans="1:19" ht="18" customHeight="1">
      <c r="A260" s="85"/>
      <c r="B260" s="86"/>
      <c r="C260" s="22"/>
      <c r="D260" s="85"/>
      <c r="E260" s="87"/>
      <c r="F260" s="85"/>
      <c r="G260" s="22"/>
      <c r="H260" s="88"/>
      <c r="J260" s="22"/>
      <c r="M260" s="89"/>
      <c r="N260" s="60"/>
      <c r="O260" s="90"/>
      <c r="P260" s="91"/>
      <c r="Q260" s="92"/>
      <c r="R260" s="68" t="str">
        <f t="shared" si="6"/>
        <v/>
      </c>
      <c r="S260" s="22"/>
    </row>
    <row r="261" spans="1:19" ht="18" customHeight="1">
      <c r="A261" s="85">
        <v>38864</v>
      </c>
      <c r="B261" s="86">
        <v>72365</v>
      </c>
      <c r="C261" s="22" t="s">
        <v>164</v>
      </c>
      <c r="D261" s="85">
        <v>1</v>
      </c>
      <c r="E261" s="87">
        <v>700589434</v>
      </c>
      <c r="F261" s="89" t="s">
        <v>941</v>
      </c>
      <c r="G261" s="22" t="s">
        <v>917</v>
      </c>
      <c r="H261" s="88">
        <v>45779</v>
      </c>
      <c r="I261" s="60">
        <v>1</v>
      </c>
      <c r="J261" s="22" t="s">
        <v>284</v>
      </c>
      <c r="K261" s="63">
        <v>83423</v>
      </c>
      <c r="L261" s="60" t="s">
        <v>942</v>
      </c>
      <c r="M261" s="89"/>
      <c r="N261" s="60"/>
      <c r="O261" s="90"/>
      <c r="P261" s="91">
        <v>45901</v>
      </c>
      <c r="Q261" s="92"/>
      <c r="R261" s="68" t="str">
        <f t="shared" si="6"/>
        <v/>
      </c>
      <c r="S261" s="22"/>
    </row>
    <row r="262" spans="1:19" ht="18" customHeight="1">
      <c r="A262" s="85">
        <v>38864</v>
      </c>
      <c r="B262" s="86">
        <v>72366</v>
      </c>
      <c r="C262" s="22" t="s">
        <v>164</v>
      </c>
      <c r="D262" s="85">
        <v>1</v>
      </c>
      <c r="E262" s="87">
        <v>700589302</v>
      </c>
      <c r="F262" s="89" t="s">
        <v>941</v>
      </c>
      <c r="G262" s="22" t="s">
        <v>917</v>
      </c>
      <c r="H262" s="88">
        <v>45779</v>
      </c>
      <c r="I262" s="60">
        <v>2</v>
      </c>
      <c r="J262" s="22" t="s">
        <v>285</v>
      </c>
      <c r="K262" s="63">
        <v>89264</v>
      </c>
      <c r="L262" s="60" t="s">
        <v>942</v>
      </c>
      <c r="M262" s="89"/>
      <c r="N262" s="60"/>
      <c r="O262" s="90"/>
      <c r="P262" s="91">
        <v>45901</v>
      </c>
      <c r="Q262" s="92"/>
      <c r="R262" s="68" t="str">
        <f t="shared" si="6"/>
        <v/>
      </c>
      <c r="S262" s="22"/>
    </row>
    <row r="263" spans="1:19" ht="18" customHeight="1">
      <c r="A263" s="85"/>
      <c r="B263" s="86"/>
      <c r="C263" s="22"/>
      <c r="D263" s="85"/>
      <c r="E263" s="87"/>
      <c r="F263" s="85"/>
      <c r="G263" s="22"/>
      <c r="H263" s="88"/>
      <c r="J263" s="22"/>
      <c r="M263" s="89"/>
      <c r="N263" s="60"/>
      <c r="O263" s="90"/>
      <c r="P263" s="91"/>
      <c r="Q263" s="92"/>
      <c r="R263" s="68" t="str">
        <f t="shared" si="6"/>
        <v/>
      </c>
      <c r="S263" s="22"/>
    </row>
    <row r="264" spans="1:19" ht="18" customHeight="1">
      <c r="A264" s="85">
        <v>38865</v>
      </c>
      <c r="B264" s="86">
        <v>72367</v>
      </c>
      <c r="C264" s="22" t="s">
        <v>20</v>
      </c>
      <c r="D264" s="85">
        <v>4</v>
      </c>
      <c r="E264" s="87" t="s">
        <v>287</v>
      </c>
      <c r="F264" s="85">
        <v>5</v>
      </c>
      <c r="G264" s="22" t="s">
        <v>943</v>
      </c>
      <c r="H264" s="88">
        <v>45779</v>
      </c>
      <c r="I264" s="60">
        <v>1</v>
      </c>
      <c r="J264" s="22" t="s">
        <v>288</v>
      </c>
      <c r="K264" s="63">
        <v>161870</v>
      </c>
      <c r="L264" s="60" t="s">
        <v>944</v>
      </c>
      <c r="M264" s="89"/>
      <c r="N264" s="60"/>
      <c r="O264" s="90"/>
      <c r="P264" s="91">
        <v>46232</v>
      </c>
      <c r="Q264" s="92"/>
      <c r="R264" s="68" t="str">
        <f t="shared" si="6"/>
        <v/>
      </c>
      <c r="S264" s="22"/>
    </row>
    <row r="265" spans="1:19" ht="18" customHeight="1">
      <c r="A265" s="85">
        <v>38865</v>
      </c>
      <c r="B265" s="86">
        <v>72368</v>
      </c>
      <c r="C265" s="22" t="s">
        <v>20</v>
      </c>
      <c r="D265" s="85">
        <v>4</v>
      </c>
      <c r="E265" s="87" t="s">
        <v>289</v>
      </c>
      <c r="F265" s="85">
        <v>3</v>
      </c>
      <c r="G265" s="22" t="s">
        <v>943</v>
      </c>
      <c r="H265" s="88">
        <v>45779</v>
      </c>
      <c r="I265" s="60">
        <v>2</v>
      </c>
      <c r="J265" s="22" t="s">
        <v>290</v>
      </c>
      <c r="K265" s="63">
        <v>181755</v>
      </c>
      <c r="L265" s="60" t="s">
        <v>944</v>
      </c>
      <c r="M265" s="89"/>
      <c r="N265" s="60"/>
      <c r="O265" s="90"/>
      <c r="P265" s="91">
        <v>46232</v>
      </c>
      <c r="Q265" s="92"/>
      <c r="R265" s="68" t="str">
        <f t="shared" si="6"/>
        <v/>
      </c>
      <c r="S265" s="22"/>
    </row>
    <row r="266" spans="1:19" ht="18" customHeight="1">
      <c r="A266" s="85"/>
      <c r="B266" s="86"/>
      <c r="C266" s="22"/>
      <c r="D266" s="85"/>
      <c r="E266" s="87"/>
      <c r="F266" s="85"/>
      <c r="G266" s="22"/>
      <c r="H266" s="88"/>
      <c r="J266" s="22"/>
      <c r="M266" s="89"/>
      <c r="N266" s="60"/>
      <c r="O266" s="90"/>
      <c r="P266" s="91"/>
      <c r="Q266" s="92"/>
      <c r="R266" s="68" t="str">
        <f t="shared" si="6"/>
        <v/>
      </c>
      <c r="S266" s="22"/>
    </row>
    <row r="267" spans="1:19" ht="18" customHeight="1">
      <c r="A267" s="85">
        <v>38867</v>
      </c>
      <c r="B267" s="86">
        <v>72373</v>
      </c>
      <c r="C267" s="22" t="s">
        <v>20</v>
      </c>
      <c r="D267" s="85">
        <v>3</v>
      </c>
      <c r="E267" s="87" t="s">
        <v>292</v>
      </c>
      <c r="F267" s="85">
        <v>4</v>
      </c>
      <c r="G267" s="206" t="s">
        <v>856</v>
      </c>
      <c r="H267" s="88">
        <v>45782</v>
      </c>
      <c r="I267" s="60">
        <v>1</v>
      </c>
      <c r="J267" s="22" t="s">
        <v>945</v>
      </c>
      <c r="K267" s="63">
        <v>785318</v>
      </c>
      <c r="L267" s="60" t="s">
        <v>946</v>
      </c>
      <c r="M267" s="89"/>
      <c r="N267" s="60"/>
      <c r="O267" s="90"/>
      <c r="P267" s="91">
        <v>46304</v>
      </c>
      <c r="Q267" s="92"/>
      <c r="R267" s="68" t="str">
        <f t="shared" si="6"/>
        <v/>
      </c>
      <c r="S267" s="22"/>
    </row>
    <row r="268" spans="1:19" ht="18" customHeight="1">
      <c r="A268" s="85"/>
      <c r="B268" s="86"/>
      <c r="C268" s="22"/>
      <c r="D268" s="85"/>
      <c r="E268" s="87"/>
      <c r="F268" s="85"/>
      <c r="G268" s="22"/>
      <c r="H268" s="88"/>
      <c r="J268" s="22"/>
      <c r="M268" s="89"/>
      <c r="N268" s="60"/>
      <c r="O268" s="90"/>
      <c r="P268" s="91"/>
      <c r="Q268" s="92"/>
      <c r="R268" s="68" t="str">
        <f t="shared" si="6"/>
        <v/>
      </c>
      <c r="S268" s="22"/>
    </row>
    <row r="269" spans="1:19" ht="18" customHeight="1">
      <c r="A269" s="85">
        <v>38872</v>
      </c>
      <c r="B269" s="86">
        <v>72380</v>
      </c>
      <c r="C269" s="22" t="s">
        <v>167</v>
      </c>
      <c r="D269" s="85">
        <v>1</v>
      </c>
      <c r="E269" s="87" t="s">
        <v>294</v>
      </c>
      <c r="F269" s="85">
        <v>0</v>
      </c>
      <c r="G269" s="22" t="s">
        <v>947</v>
      </c>
      <c r="H269" s="88">
        <v>45785</v>
      </c>
      <c r="I269" s="60">
        <v>10</v>
      </c>
      <c r="J269" s="22" t="s">
        <v>295</v>
      </c>
      <c r="K269" s="63">
        <v>7227</v>
      </c>
      <c r="L269" s="60">
        <v>280101422</v>
      </c>
      <c r="M269" s="89"/>
      <c r="N269" s="60"/>
      <c r="O269" s="90"/>
      <c r="P269" s="91">
        <v>45813</v>
      </c>
      <c r="Q269" s="92"/>
      <c r="R269" s="68" t="str">
        <f t="shared" si="6"/>
        <v/>
      </c>
      <c r="S269" s="22"/>
    </row>
    <row r="270" spans="1:19" ht="18" customHeight="1">
      <c r="A270" s="85"/>
      <c r="B270" s="86"/>
      <c r="C270" s="22"/>
      <c r="D270" s="85"/>
      <c r="E270" s="87"/>
      <c r="F270" s="85"/>
      <c r="G270" s="22"/>
      <c r="H270" s="88"/>
      <c r="J270" s="22"/>
      <c r="M270" s="89"/>
      <c r="N270" s="60"/>
      <c r="O270" s="90"/>
      <c r="P270" s="91"/>
      <c r="Q270" s="92"/>
      <c r="R270" s="68" t="str">
        <f t="shared" si="6"/>
        <v/>
      </c>
      <c r="S270" s="22"/>
    </row>
    <row r="271" spans="1:19" ht="18" customHeight="1">
      <c r="A271" s="85">
        <v>38873</v>
      </c>
      <c r="B271" s="86">
        <v>72381</v>
      </c>
      <c r="C271" s="22" t="s">
        <v>20</v>
      </c>
      <c r="D271" s="85">
        <v>1</v>
      </c>
      <c r="E271" s="87" t="s">
        <v>297</v>
      </c>
      <c r="F271" s="85"/>
      <c r="G271" s="22" t="s">
        <v>948</v>
      </c>
      <c r="H271" s="88">
        <v>45786</v>
      </c>
      <c r="I271" s="60">
        <v>1</v>
      </c>
      <c r="J271" s="22" t="s">
        <v>949</v>
      </c>
      <c r="L271" s="60" t="s">
        <v>296</v>
      </c>
      <c r="M271" s="89"/>
      <c r="N271" s="60"/>
      <c r="O271" s="90"/>
      <c r="P271" s="91">
        <v>45799</v>
      </c>
      <c r="Q271" s="92"/>
      <c r="R271" s="68" t="str">
        <f t="shared" si="6"/>
        <v/>
      </c>
      <c r="S271" s="22"/>
    </row>
    <row r="272" spans="1:19" ht="18" customHeight="1">
      <c r="A272" s="85">
        <v>38873</v>
      </c>
      <c r="B272" s="86">
        <v>72381</v>
      </c>
      <c r="C272" s="22" t="s">
        <v>20</v>
      </c>
      <c r="D272" s="85">
        <v>4</v>
      </c>
      <c r="E272" s="87" t="s">
        <v>299</v>
      </c>
      <c r="F272" s="85"/>
      <c r="G272" s="22" t="s">
        <v>948</v>
      </c>
      <c r="H272" s="88">
        <v>45786</v>
      </c>
      <c r="I272" s="60">
        <v>2</v>
      </c>
      <c r="J272" s="22" t="s">
        <v>950</v>
      </c>
      <c r="L272" s="60" t="s">
        <v>296</v>
      </c>
      <c r="M272" s="89"/>
      <c r="N272" s="60"/>
      <c r="O272" s="90"/>
      <c r="P272" s="91">
        <v>45799</v>
      </c>
      <c r="Q272" s="92"/>
      <c r="R272" s="68" t="str">
        <f t="shared" si="6"/>
        <v/>
      </c>
      <c r="S272" s="22"/>
    </row>
    <row r="273" spans="1:19" ht="18" customHeight="1">
      <c r="A273" s="85">
        <v>38873</v>
      </c>
      <c r="B273" s="86">
        <v>72381</v>
      </c>
      <c r="C273" s="22" t="s">
        <v>20</v>
      </c>
      <c r="D273" s="85">
        <v>1</v>
      </c>
      <c r="E273" s="87" t="s">
        <v>301</v>
      </c>
      <c r="F273" s="85"/>
      <c r="G273" s="22" t="s">
        <v>948</v>
      </c>
      <c r="H273" s="88">
        <v>45786</v>
      </c>
      <c r="I273" s="60">
        <v>3</v>
      </c>
      <c r="J273" s="22" t="s">
        <v>951</v>
      </c>
      <c r="L273" s="60" t="s">
        <v>296</v>
      </c>
      <c r="M273" s="89"/>
      <c r="N273" s="60"/>
      <c r="O273" s="90"/>
      <c r="P273" s="91">
        <v>45799</v>
      </c>
      <c r="Q273" s="92"/>
      <c r="R273" s="68" t="str">
        <f t="shared" si="6"/>
        <v/>
      </c>
      <c r="S273" s="22"/>
    </row>
    <row r="274" spans="1:19" ht="18" customHeight="1">
      <c r="A274" s="85">
        <v>38873</v>
      </c>
      <c r="B274" s="86">
        <v>72381</v>
      </c>
      <c r="C274" s="22" t="s">
        <v>20</v>
      </c>
      <c r="D274" s="85">
        <v>1</v>
      </c>
      <c r="E274" s="87" t="s">
        <v>303</v>
      </c>
      <c r="F274" s="85"/>
      <c r="G274" s="22" t="s">
        <v>948</v>
      </c>
      <c r="H274" s="88">
        <v>45786</v>
      </c>
      <c r="I274" s="60">
        <v>4</v>
      </c>
      <c r="J274" s="22" t="s">
        <v>952</v>
      </c>
      <c r="L274" s="60" t="s">
        <v>296</v>
      </c>
      <c r="M274" s="89"/>
      <c r="N274" s="60"/>
      <c r="O274" s="90"/>
      <c r="P274" s="91">
        <v>45799</v>
      </c>
      <c r="Q274" s="92"/>
      <c r="R274" s="68" t="str">
        <f t="shared" si="6"/>
        <v/>
      </c>
      <c r="S274" s="22"/>
    </row>
    <row r="275" spans="1:19" ht="18" customHeight="1">
      <c r="A275" s="85">
        <v>38873</v>
      </c>
      <c r="B275" s="86">
        <v>72381</v>
      </c>
      <c r="C275" s="22" t="s">
        <v>20</v>
      </c>
      <c r="D275" s="85">
        <v>1</v>
      </c>
      <c r="E275" s="87" t="s">
        <v>305</v>
      </c>
      <c r="F275" s="85"/>
      <c r="G275" s="22" t="s">
        <v>948</v>
      </c>
      <c r="H275" s="88">
        <v>45786</v>
      </c>
      <c r="I275" s="60">
        <v>5</v>
      </c>
      <c r="J275" s="22" t="s">
        <v>953</v>
      </c>
      <c r="K275" s="63" t="s">
        <v>954</v>
      </c>
      <c r="L275" s="60" t="s">
        <v>296</v>
      </c>
      <c r="M275" s="89"/>
      <c r="N275" s="60"/>
      <c r="O275" s="90"/>
      <c r="P275" s="91">
        <v>45799</v>
      </c>
      <c r="Q275" s="92"/>
      <c r="R275" s="68" t="str">
        <f t="shared" si="6"/>
        <v/>
      </c>
      <c r="S275" s="22"/>
    </row>
    <row r="276" spans="1:19" ht="18" customHeight="1">
      <c r="A276" s="85"/>
      <c r="B276" s="86"/>
      <c r="C276" s="22"/>
      <c r="D276" s="85"/>
      <c r="E276" s="87"/>
      <c r="F276" s="85"/>
      <c r="G276" s="22"/>
      <c r="H276" s="88"/>
      <c r="J276" s="22"/>
      <c r="M276" s="89"/>
      <c r="N276" s="60"/>
      <c r="O276" s="90"/>
      <c r="P276" s="91"/>
      <c r="Q276" s="92"/>
      <c r="R276" s="68" t="str">
        <f t="shared" si="6"/>
        <v/>
      </c>
      <c r="S276" s="22"/>
    </row>
    <row r="277" spans="1:19" ht="18" customHeight="1">
      <c r="A277" s="185">
        <v>38877</v>
      </c>
      <c r="B277" s="225">
        <v>72386</v>
      </c>
      <c r="C277" s="226" t="s">
        <v>226</v>
      </c>
      <c r="D277" s="185">
        <v>200</v>
      </c>
      <c r="E277" s="227" t="s">
        <v>955</v>
      </c>
      <c r="F277" s="185"/>
      <c r="G277" s="226" t="s">
        <v>906</v>
      </c>
      <c r="H277" s="228">
        <v>45789</v>
      </c>
      <c r="I277" s="229">
        <v>1</v>
      </c>
      <c r="J277" s="226" t="s">
        <v>956</v>
      </c>
      <c r="K277" s="230">
        <v>43.54</v>
      </c>
      <c r="L277" s="229">
        <v>4500938848</v>
      </c>
      <c r="M277" s="89"/>
      <c r="N277" s="60"/>
      <c r="O277" s="90"/>
      <c r="P277" s="91">
        <v>45855</v>
      </c>
      <c r="Q277" s="92"/>
      <c r="R277" s="68" t="str">
        <f t="shared" si="6"/>
        <v/>
      </c>
      <c r="S277" s="22"/>
    </row>
    <row r="278" spans="1:19" ht="18" customHeight="1">
      <c r="A278" s="85"/>
      <c r="B278" s="86"/>
      <c r="C278" s="22"/>
      <c r="D278" s="85"/>
      <c r="E278" s="87"/>
      <c r="F278" s="85"/>
      <c r="G278" s="22"/>
      <c r="H278" s="88"/>
      <c r="J278" s="22"/>
      <c r="M278" s="89"/>
      <c r="N278" s="60"/>
      <c r="O278" s="90"/>
      <c r="P278" s="91"/>
      <c r="Q278" s="92"/>
      <c r="R278" s="68" t="str">
        <f t="shared" si="6"/>
        <v/>
      </c>
      <c r="S278" s="22"/>
    </row>
    <row r="279" spans="1:19" ht="18" customHeight="1">
      <c r="A279" s="85">
        <v>38879</v>
      </c>
      <c r="B279" s="86">
        <v>72388</v>
      </c>
      <c r="C279" s="22" t="s">
        <v>309</v>
      </c>
      <c r="D279" s="85">
        <v>1</v>
      </c>
      <c r="E279" s="87">
        <v>742637</v>
      </c>
      <c r="F279" s="85">
        <v>5</v>
      </c>
      <c r="G279" s="22" t="s">
        <v>957</v>
      </c>
      <c r="H279" s="88">
        <v>45790</v>
      </c>
      <c r="I279" s="60">
        <v>1</v>
      </c>
      <c r="J279" s="22" t="s">
        <v>958</v>
      </c>
      <c r="K279" s="63">
        <v>6860</v>
      </c>
      <c r="L279" s="60">
        <v>211246771</v>
      </c>
      <c r="M279" s="89"/>
      <c r="N279" s="60"/>
      <c r="O279" s="90"/>
      <c r="P279" s="91">
        <v>45823</v>
      </c>
      <c r="Q279" s="92"/>
      <c r="R279" s="68" t="str">
        <f t="shared" si="6"/>
        <v/>
      </c>
      <c r="S279" s="22"/>
    </row>
    <row r="280" spans="1:19" ht="18" customHeight="1">
      <c r="A280" s="85"/>
      <c r="B280" s="86"/>
      <c r="C280" s="22"/>
      <c r="D280" s="85"/>
      <c r="E280" s="87"/>
      <c r="F280" s="85"/>
      <c r="G280" s="22"/>
      <c r="H280" s="88"/>
      <c r="J280" s="22"/>
      <c r="M280" s="89"/>
      <c r="N280" s="60"/>
      <c r="O280" s="90"/>
      <c r="P280" s="91"/>
      <c r="Q280" s="92"/>
      <c r="R280" s="68" t="str">
        <f t="shared" si="6"/>
        <v/>
      </c>
      <c r="S280" s="22"/>
    </row>
    <row r="281" spans="1:19" ht="18" customHeight="1">
      <c r="A281" s="85">
        <v>38885</v>
      </c>
      <c r="B281" s="86">
        <v>72395</v>
      </c>
      <c r="C281" s="22" t="s">
        <v>20</v>
      </c>
      <c r="D281" s="85">
        <v>1</v>
      </c>
      <c r="E281" s="87" t="s">
        <v>311</v>
      </c>
      <c r="F281" s="85">
        <v>2</v>
      </c>
      <c r="G281" s="231" t="s">
        <v>959</v>
      </c>
      <c r="H281" s="88">
        <v>45797</v>
      </c>
      <c r="I281" s="60">
        <v>1</v>
      </c>
      <c r="J281" s="22" t="s">
        <v>312</v>
      </c>
      <c r="K281" s="63">
        <v>146936</v>
      </c>
      <c r="L281" s="60" t="s">
        <v>960</v>
      </c>
      <c r="M281" s="89"/>
      <c r="N281" s="60"/>
      <c r="O281" s="90"/>
      <c r="P281" s="91">
        <v>45896</v>
      </c>
      <c r="Q281" s="92"/>
      <c r="R281" s="68" t="str">
        <f t="shared" si="6"/>
        <v/>
      </c>
      <c r="S281" s="22"/>
    </row>
    <row r="282" spans="1:19" ht="18" customHeight="1">
      <c r="A282" s="85"/>
      <c r="B282" s="86"/>
      <c r="C282" s="22"/>
      <c r="D282" s="85"/>
      <c r="E282" s="87"/>
      <c r="F282" s="85"/>
      <c r="G282" s="22"/>
      <c r="H282" s="88"/>
      <c r="J282" s="22"/>
      <c r="M282" s="89"/>
      <c r="N282" s="60"/>
      <c r="O282" s="90"/>
      <c r="P282" s="91"/>
      <c r="Q282" s="92"/>
      <c r="R282" s="68" t="str">
        <f t="shared" si="6"/>
        <v/>
      </c>
      <c r="S282" s="22"/>
    </row>
    <row r="283" spans="1:19" ht="18" customHeight="1">
      <c r="A283" s="85">
        <v>38886</v>
      </c>
      <c r="B283" s="86">
        <v>72396</v>
      </c>
      <c r="C283" s="22" t="s">
        <v>164</v>
      </c>
      <c r="D283" s="85">
        <v>1</v>
      </c>
      <c r="E283" s="93" t="s">
        <v>313</v>
      </c>
      <c r="F283" s="89">
        <v>1</v>
      </c>
      <c r="G283" s="22" t="s">
        <v>911</v>
      </c>
      <c r="H283" s="88">
        <v>45797</v>
      </c>
      <c r="I283" s="60">
        <v>1</v>
      </c>
      <c r="J283" s="22" t="s">
        <v>314</v>
      </c>
      <c r="K283" s="63">
        <v>79775</v>
      </c>
      <c r="L283" s="60" t="s">
        <v>961</v>
      </c>
      <c r="M283" s="89"/>
      <c r="N283" s="60"/>
      <c r="O283" s="90"/>
      <c r="P283" s="91">
        <v>45863</v>
      </c>
      <c r="Q283" s="92"/>
      <c r="R283" s="68" t="str">
        <f t="shared" si="6"/>
        <v/>
      </c>
      <c r="S283" s="22"/>
    </row>
    <row r="284" spans="1:19" ht="18" customHeight="1">
      <c r="A284" s="85">
        <v>38886</v>
      </c>
      <c r="B284" s="86">
        <v>72397</v>
      </c>
      <c r="C284" s="22" t="s">
        <v>164</v>
      </c>
      <c r="D284" s="85">
        <v>1</v>
      </c>
      <c r="E284" s="93" t="s">
        <v>315</v>
      </c>
      <c r="F284" s="85">
        <v>0</v>
      </c>
      <c r="G284" s="22" t="s">
        <v>911</v>
      </c>
      <c r="H284" s="88">
        <v>45797</v>
      </c>
      <c r="I284" s="60">
        <v>2</v>
      </c>
      <c r="J284" s="22" t="s">
        <v>316</v>
      </c>
      <c r="K284" s="63">
        <v>4810</v>
      </c>
      <c r="L284" s="60" t="s">
        <v>961</v>
      </c>
      <c r="M284" s="89"/>
      <c r="N284" s="60"/>
      <c r="O284" s="90"/>
      <c r="P284" s="91">
        <v>45863</v>
      </c>
      <c r="Q284" s="92"/>
      <c r="R284" s="68" t="str">
        <f t="shared" si="6"/>
        <v/>
      </c>
      <c r="S284" s="22"/>
    </row>
    <row r="285" spans="1:19" ht="18" customHeight="1">
      <c r="A285" s="85">
        <v>38886</v>
      </c>
      <c r="B285" s="86">
        <v>72398</v>
      </c>
      <c r="C285" s="22" t="s">
        <v>164</v>
      </c>
      <c r="D285" s="85">
        <v>1</v>
      </c>
      <c r="E285" s="93" t="s">
        <v>317</v>
      </c>
      <c r="F285" s="85">
        <v>0</v>
      </c>
      <c r="G285" s="22" t="s">
        <v>911</v>
      </c>
      <c r="H285" s="88">
        <v>45797</v>
      </c>
      <c r="I285" s="60">
        <v>3</v>
      </c>
      <c r="J285" s="22" t="s">
        <v>318</v>
      </c>
      <c r="K285" s="63">
        <v>5810</v>
      </c>
      <c r="L285" s="60" t="s">
        <v>961</v>
      </c>
      <c r="M285" s="89"/>
      <c r="N285" s="60"/>
      <c r="O285" s="90"/>
      <c r="P285" s="91">
        <v>45863</v>
      </c>
      <c r="Q285" s="92"/>
      <c r="R285" s="68" t="str">
        <f t="shared" si="6"/>
        <v/>
      </c>
      <c r="S285" s="22"/>
    </row>
    <row r="286" spans="1:19" ht="18" customHeight="1">
      <c r="A286" s="85">
        <v>38886</v>
      </c>
      <c r="B286" s="86">
        <v>72399</v>
      </c>
      <c r="C286" s="22" t="s">
        <v>164</v>
      </c>
      <c r="D286" s="85">
        <v>1</v>
      </c>
      <c r="E286" s="93" t="s">
        <v>319</v>
      </c>
      <c r="F286" s="85">
        <v>0</v>
      </c>
      <c r="G286" s="22" t="s">
        <v>911</v>
      </c>
      <c r="H286" s="88">
        <v>45797</v>
      </c>
      <c r="I286" s="60">
        <v>4</v>
      </c>
      <c r="J286" s="22" t="s">
        <v>320</v>
      </c>
      <c r="K286" s="63">
        <v>2140</v>
      </c>
      <c r="L286" s="60" t="s">
        <v>961</v>
      </c>
      <c r="M286" s="89"/>
      <c r="N286" s="60"/>
      <c r="O286" s="90"/>
      <c r="P286" s="91">
        <v>45863</v>
      </c>
      <c r="Q286" s="92"/>
      <c r="R286" s="68" t="str">
        <f t="shared" si="6"/>
        <v/>
      </c>
      <c r="S286" s="22"/>
    </row>
    <row r="287" spans="1:19" ht="18" customHeight="1">
      <c r="A287" s="85">
        <v>38886</v>
      </c>
      <c r="B287" s="86">
        <v>72400</v>
      </c>
      <c r="C287" s="22" t="s">
        <v>164</v>
      </c>
      <c r="D287" s="85">
        <v>1</v>
      </c>
      <c r="E287" s="93" t="s">
        <v>321</v>
      </c>
      <c r="F287" s="85">
        <v>0</v>
      </c>
      <c r="G287" s="22" t="s">
        <v>911</v>
      </c>
      <c r="H287" s="88">
        <v>45797</v>
      </c>
      <c r="I287" s="60">
        <v>5</v>
      </c>
      <c r="J287" s="22" t="s">
        <v>322</v>
      </c>
      <c r="K287" s="63">
        <v>7640</v>
      </c>
      <c r="L287" s="60" t="s">
        <v>961</v>
      </c>
      <c r="M287" s="89"/>
      <c r="N287" s="60"/>
      <c r="O287" s="90"/>
      <c r="P287" s="91">
        <v>45863</v>
      </c>
      <c r="Q287" s="92"/>
      <c r="R287" s="68" t="str">
        <f t="shared" si="6"/>
        <v/>
      </c>
      <c r="S287" s="22"/>
    </row>
    <row r="288" spans="1:19" ht="18" customHeight="1">
      <c r="A288" s="85">
        <v>38886</v>
      </c>
      <c r="B288" s="86">
        <v>72401</v>
      </c>
      <c r="C288" s="22" t="s">
        <v>164</v>
      </c>
      <c r="D288" s="85">
        <v>1</v>
      </c>
      <c r="E288" s="93" t="s">
        <v>323</v>
      </c>
      <c r="F288" s="85">
        <v>0</v>
      </c>
      <c r="G288" s="22" t="s">
        <v>911</v>
      </c>
      <c r="H288" s="88">
        <v>45797</v>
      </c>
      <c r="I288" s="60">
        <v>6</v>
      </c>
      <c r="J288" s="22" t="s">
        <v>324</v>
      </c>
      <c r="K288" s="63">
        <v>7215</v>
      </c>
      <c r="L288" s="60" t="s">
        <v>961</v>
      </c>
      <c r="M288" s="89"/>
      <c r="N288" s="60"/>
      <c r="O288" s="90"/>
      <c r="P288" s="91">
        <v>45863</v>
      </c>
      <c r="Q288" s="92"/>
      <c r="R288" s="68" t="str">
        <f t="shared" si="6"/>
        <v/>
      </c>
      <c r="S288" s="22"/>
    </row>
    <row r="289" spans="1:19" ht="18" customHeight="1">
      <c r="A289" s="85">
        <v>38886</v>
      </c>
      <c r="B289" s="86">
        <v>72402</v>
      </c>
      <c r="C289" s="22" t="s">
        <v>164</v>
      </c>
      <c r="D289" s="85">
        <v>1</v>
      </c>
      <c r="E289" s="93" t="s">
        <v>325</v>
      </c>
      <c r="F289" s="85">
        <v>0</v>
      </c>
      <c r="G289" s="22" t="s">
        <v>911</v>
      </c>
      <c r="H289" s="88">
        <v>45797</v>
      </c>
      <c r="I289" s="60">
        <v>7</v>
      </c>
      <c r="J289" s="22" t="s">
        <v>326</v>
      </c>
      <c r="K289" s="63">
        <v>2140</v>
      </c>
      <c r="L289" s="60" t="s">
        <v>961</v>
      </c>
      <c r="M289" s="89"/>
      <c r="N289" s="60"/>
      <c r="O289" s="90"/>
      <c r="P289" s="91">
        <v>45863</v>
      </c>
      <c r="Q289" s="92"/>
      <c r="R289" s="68" t="str">
        <f t="shared" si="6"/>
        <v/>
      </c>
      <c r="S289" s="22"/>
    </row>
    <row r="290" spans="1:19" ht="18" customHeight="1">
      <c r="A290" s="85"/>
      <c r="B290" s="86"/>
      <c r="C290" s="22"/>
      <c r="D290" s="85"/>
      <c r="E290" s="87"/>
      <c r="F290" s="85"/>
      <c r="G290" s="22"/>
      <c r="H290" s="88"/>
      <c r="J290" s="22"/>
      <c r="M290" s="89"/>
      <c r="N290" s="60"/>
      <c r="O290" s="90"/>
      <c r="P290" s="91"/>
      <c r="Q290" s="92"/>
      <c r="R290" s="68" t="str">
        <f t="shared" si="6"/>
        <v/>
      </c>
      <c r="S290" s="22"/>
    </row>
    <row r="291" spans="1:19" ht="18" customHeight="1">
      <c r="A291" s="85">
        <v>38890</v>
      </c>
      <c r="B291" s="86">
        <v>72406</v>
      </c>
      <c r="C291" s="22" t="s">
        <v>164</v>
      </c>
      <c r="D291" s="85">
        <v>1</v>
      </c>
      <c r="E291" s="87" t="s">
        <v>962</v>
      </c>
      <c r="F291" s="85"/>
      <c r="G291" s="22" t="s">
        <v>883</v>
      </c>
      <c r="H291" s="88">
        <v>45799</v>
      </c>
      <c r="I291" s="60">
        <v>1</v>
      </c>
      <c r="J291" s="22" t="s">
        <v>963</v>
      </c>
      <c r="K291" s="63">
        <v>450</v>
      </c>
      <c r="L291" s="60" t="s">
        <v>327</v>
      </c>
      <c r="M291" s="89"/>
      <c r="N291" s="60"/>
      <c r="O291" s="90"/>
      <c r="P291" s="91">
        <v>45819</v>
      </c>
      <c r="Q291" s="92"/>
      <c r="R291" s="68" t="str">
        <f t="shared" si="6"/>
        <v/>
      </c>
      <c r="S291" s="22"/>
    </row>
    <row r="292" spans="1:19" ht="18" customHeight="1">
      <c r="A292" s="85"/>
      <c r="B292" s="86"/>
      <c r="C292" s="22"/>
      <c r="D292" s="85"/>
      <c r="E292" s="87"/>
      <c r="F292" s="85"/>
      <c r="G292" s="22"/>
      <c r="H292" s="88"/>
      <c r="J292" s="22"/>
      <c r="M292" s="89"/>
      <c r="N292" s="60"/>
      <c r="O292" s="90"/>
      <c r="P292" s="91"/>
      <c r="Q292" s="92"/>
      <c r="R292" s="68" t="str">
        <f t="shared" si="6"/>
        <v/>
      </c>
      <c r="S292" s="22"/>
    </row>
    <row r="293" spans="1:19" ht="18" customHeight="1">
      <c r="A293" s="85">
        <v>38891</v>
      </c>
      <c r="B293" s="86">
        <v>72407</v>
      </c>
      <c r="C293" s="22" t="s">
        <v>20</v>
      </c>
      <c r="D293" s="85">
        <v>2</v>
      </c>
      <c r="E293" s="87" t="s">
        <v>331</v>
      </c>
      <c r="F293" s="85">
        <v>1</v>
      </c>
      <c r="G293" s="22" t="s">
        <v>964</v>
      </c>
      <c r="H293" s="88">
        <v>45799</v>
      </c>
      <c r="I293" s="60">
        <v>1</v>
      </c>
      <c r="J293" s="22" t="s">
        <v>332</v>
      </c>
      <c r="K293" s="63">
        <v>3373.5</v>
      </c>
      <c r="L293" s="60" t="s">
        <v>330</v>
      </c>
      <c r="M293" s="89"/>
      <c r="N293" s="60"/>
      <c r="O293" s="90"/>
      <c r="P293" s="91">
        <v>45919</v>
      </c>
      <c r="Q293" s="92"/>
      <c r="R293" s="68" t="str">
        <f t="shared" si="6"/>
        <v/>
      </c>
      <c r="S293" s="22"/>
    </row>
    <row r="294" spans="1:19" ht="18" customHeight="1">
      <c r="A294" s="85"/>
      <c r="B294" s="86"/>
      <c r="C294" s="22"/>
      <c r="D294" s="85"/>
      <c r="E294" s="87"/>
      <c r="F294" s="85"/>
      <c r="G294" s="22"/>
      <c r="H294" s="88"/>
      <c r="J294" s="22"/>
      <c r="M294" s="89"/>
      <c r="N294" s="60"/>
      <c r="O294" s="90"/>
      <c r="P294" s="91"/>
      <c r="Q294" s="92"/>
      <c r="R294" s="68" t="str">
        <f t="shared" si="6"/>
        <v/>
      </c>
      <c r="S294" s="22"/>
    </row>
    <row r="295" spans="1:19" ht="18" customHeight="1">
      <c r="A295" s="85">
        <v>38898</v>
      </c>
      <c r="B295" s="86">
        <v>72422</v>
      </c>
      <c r="C295" s="22" t="s">
        <v>20</v>
      </c>
      <c r="D295" s="85">
        <v>1</v>
      </c>
      <c r="E295" s="87" t="s">
        <v>334</v>
      </c>
      <c r="F295" s="85">
        <v>0</v>
      </c>
      <c r="G295" s="206" t="s">
        <v>856</v>
      </c>
      <c r="H295" s="88">
        <v>45803</v>
      </c>
      <c r="I295" s="60">
        <v>1</v>
      </c>
      <c r="J295" s="22" t="s">
        <v>335</v>
      </c>
      <c r="K295" s="63">
        <v>272363</v>
      </c>
      <c r="L295" s="60" t="s">
        <v>965</v>
      </c>
      <c r="M295" s="89"/>
      <c r="N295" s="60"/>
      <c r="O295" s="90"/>
      <c r="P295" s="91">
        <v>46048</v>
      </c>
      <c r="Q295" s="92"/>
      <c r="R295" s="68" t="str">
        <f t="shared" si="6"/>
        <v/>
      </c>
      <c r="S295" s="22"/>
    </row>
    <row r="296" spans="1:19" ht="18" customHeight="1">
      <c r="A296" s="85"/>
      <c r="B296" s="86"/>
      <c r="C296" s="22"/>
      <c r="D296" s="85"/>
      <c r="E296" s="87"/>
      <c r="F296" s="85"/>
      <c r="G296" s="22"/>
      <c r="H296" s="88"/>
      <c r="J296" s="22"/>
      <c r="M296" s="89"/>
      <c r="N296" s="60"/>
      <c r="O296" s="90"/>
      <c r="P296" s="91"/>
      <c r="Q296" s="92"/>
      <c r="R296" s="68" t="str">
        <f t="shared" si="6"/>
        <v/>
      </c>
      <c r="S296" s="22"/>
    </row>
    <row r="297" spans="1:19" ht="18" customHeight="1">
      <c r="A297" s="85">
        <v>38899</v>
      </c>
      <c r="B297" s="86">
        <v>72425</v>
      </c>
      <c r="C297" s="22" t="s">
        <v>338</v>
      </c>
      <c r="D297" s="85">
        <v>1</v>
      </c>
      <c r="E297" s="87" t="s">
        <v>336</v>
      </c>
      <c r="F297" s="85"/>
      <c r="G297" s="22" t="s">
        <v>966</v>
      </c>
      <c r="H297" s="88">
        <v>45804</v>
      </c>
      <c r="I297" s="60">
        <v>50</v>
      </c>
      <c r="J297" s="22" t="s">
        <v>337</v>
      </c>
      <c r="K297" s="63">
        <v>345</v>
      </c>
      <c r="L297" s="60">
        <v>4590038355</v>
      </c>
      <c r="M297" s="89">
        <v>44570</v>
      </c>
      <c r="N297" s="60">
        <v>1</v>
      </c>
      <c r="O297" s="90"/>
      <c r="P297" s="91">
        <v>45832</v>
      </c>
      <c r="Q297" s="92"/>
      <c r="R297" s="68" t="str">
        <f t="shared" si="6"/>
        <v/>
      </c>
      <c r="S297" s="22"/>
    </row>
    <row r="298" spans="1:19" ht="18" customHeight="1">
      <c r="A298" s="85"/>
      <c r="B298" s="86"/>
      <c r="C298" s="22"/>
      <c r="D298" s="85"/>
      <c r="E298" s="87"/>
      <c r="F298" s="85"/>
      <c r="G298" s="22"/>
      <c r="H298" s="88"/>
      <c r="J298" s="22"/>
      <c r="M298" s="89"/>
      <c r="N298" s="60"/>
      <c r="O298" s="90"/>
      <c r="P298" s="91"/>
      <c r="Q298" s="92"/>
      <c r="R298" s="68" t="str">
        <f t="shared" si="6"/>
        <v/>
      </c>
      <c r="S298" s="22"/>
    </row>
    <row r="299" spans="1:19" ht="18" customHeight="1">
      <c r="A299" s="85">
        <v>38902</v>
      </c>
      <c r="B299" s="86">
        <v>72430</v>
      </c>
      <c r="C299" s="22" t="s">
        <v>164</v>
      </c>
      <c r="D299" s="85">
        <v>1</v>
      </c>
      <c r="E299" s="93" t="s">
        <v>340</v>
      </c>
      <c r="F299" s="85"/>
      <c r="G299" s="22" t="s">
        <v>911</v>
      </c>
      <c r="H299" s="88">
        <v>45807</v>
      </c>
      <c r="I299" s="60">
        <v>1</v>
      </c>
      <c r="J299" s="22" t="s">
        <v>967</v>
      </c>
      <c r="K299" s="63">
        <v>8690</v>
      </c>
      <c r="L299" s="60" t="s">
        <v>968</v>
      </c>
      <c r="M299" s="89"/>
      <c r="N299" s="60"/>
      <c r="O299" s="90"/>
      <c r="P299" s="91">
        <v>45868</v>
      </c>
      <c r="Q299" s="92"/>
      <c r="R299" s="68" t="str">
        <f t="shared" si="6"/>
        <v/>
      </c>
      <c r="S299" s="22"/>
    </row>
    <row r="300" spans="1:19" ht="18" customHeight="1">
      <c r="A300" s="85">
        <v>38902</v>
      </c>
      <c r="B300" s="86">
        <v>72431</v>
      </c>
      <c r="C300" s="22" t="s">
        <v>164</v>
      </c>
      <c r="D300" s="85">
        <v>1</v>
      </c>
      <c r="E300" s="93" t="s">
        <v>342</v>
      </c>
      <c r="F300" s="85"/>
      <c r="G300" s="22" t="s">
        <v>911</v>
      </c>
      <c r="H300" s="88">
        <v>45807</v>
      </c>
      <c r="I300" s="60">
        <v>2</v>
      </c>
      <c r="J300" s="22" t="s">
        <v>969</v>
      </c>
      <c r="K300" s="63">
        <v>5187</v>
      </c>
      <c r="L300" s="60" t="s">
        <v>968</v>
      </c>
      <c r="M300" s="89"/>
      <c r="N300" s="60"/>
      <c r="O300" s="90"/>
      <c r="P300" s="91">
        <v>45868</v>
      </c>
      <c r="Q300" s="92"/>
      <c r="R300" s="68" t="str">
        <f t="shared" si="6"/>
        <v/>
      </c>
      <c r="S300" s="22"/>
    </row>
    <row r="301" spans="1:19" ht="18" customHeight="1">
      <c r="A301" s="85">
        <v>38902</v>
      </c>
      <c r="B301" s="86">
        <v>72431</v>
      </c>
      <c r="C301" s="22" t="s">
        <v>164</v>
      </c>
      <c r="D301" s="85">
        <v>1</v>
      </c>
      <c r="E301" s="93" t="s">
        <v>970</v>
      </c>
      <c r="F301" s="85"/>
      <c r="G301" s="22" t="s">
        <v>971</v>
      </c>
      <c r="H301" s="88">
        <v>45807</v>
      </c>
      <c r="I301" s="60">
        <v>3</v>
      </c>
      <c r="J301" s="22" t="s">
        <v>972</v>
      </c>
      <c r="K301" s="63">
        <v>4397</v>
      </c>
      <c r="L301" s="60" t="s">
        <v>968</v>
      </c>
      <c r="M301" s="89"/>
      <c r="N301" s="60"/>
      <c r="O301" s="90"/>
      <c r="P301" s="91">
        <v>45868</v>
      </c>
      <c r="Q301" s="92"/>
      <c r="R301" s="68" t="str">
        <f t="shared" si="6"/>
        <v/>
      </c>
      <c r="S301" s="22"/>
    </row>
    <row r="302" spans="1:19" ht="18" customHeight="1">
      <c r="A302" s="85"/>
      <c r="B302" s="86"/>
      <c r="C302" s="22"/>
      <c r="D302" s="85"/>
      <c r="E302" s="87"/>
      <c r="F302" s="85"/>
      <c r="G302" s="22"/>
      <c r="H302" s="88"/>
      <c r="J302" s="22"/>
      <c r="M302" s="89"/>
      <c r="N302" s="60"/>
      <c r="O302" s="90"/>
      <c r="P302" s="91"/>
      <c r="Q302" s="92"/>
      <c r="R302" s="68" t="str">
        <f t="shared" si="6"/>
        <v/>
      </c>
      <c r="S302" s="22"/>
    </row>
    <row r="303" spans="1:19" ht="18" customHeight="1">
      <c r="A303" s="85">
        <v>38906</v>
      </c>
      <c r="B303" s="86">
        <v>72438</v>
      </c>
      <c r="C303" s="22" t="s">
        <v>20</v>
      </c>
      <c r="D303" s="85">
        <v>3</v>
      </c>
      <c r="E303" s="87" t="s">
        <v>345</v>
      </c>
      <c r="F303" s="85"/>
      <c r="G303" s="206" t="s">
        <v>856</v>
      </c>
      <c r="H303" s="88">
        <v>45810</v>
      </c>
      <c r="I303" s="60">
        <v>1</v>
      </c>
      <c r="J303" s="22" t="s">
        <v>346</v>
      </c>
      <c r="K303" s="63">
        <v>243730</v>
      </c>
      <c r="L303" s="60" t="s">
        <v>973</v>
      </c>
      <c r="M303" s="89"/>
      <c r="N303" s="60"/>
      <c r="O303" s="90"/>
      <c r="P303" s="91">
        <v>46311</v>
      </c>
      <c r="Q303" s="92"/>
      <c r="R303" s="68" t="str">
        <f t="shared" si="6"/>
        <v/>
      </c>
      <c r="S303" s="22"/>
    </row>
    <row r="304" spans="1:19" ht="18" customHeight="1">
      <c r="A304" s="85">
        <v>38906</v>
      </c>
      <c r="B304" s="86">
        <v>72439</v>
      </c>
      <c r="C304" s="22" t="s">
        <v>20</v>
      </c>
      <c r="D304" s="85">
        <v>3</v>
      </c>
      <c r="E304" s="87" t="s">
        <v>347</v>
      </c>
      <c r="F304" s="85"/>
      <c r="G304" s="206" t="s">
        <v>856</v>
      </c>
      <c r="H304" s="88">
        <v>45810</v>
      </c>
      <c r="I304" s="60">
        <v>2</v>
      </c>
      <c r="J304" s="22" t="s">
        <v>348</v>
      </c>
      <c r="K304" s="63">
        <v>62656</v>
      </c>
      <c r="L304" s="60" t="s">
        <v>973</v>
      </c>
      <c r="M304" s="89"/>
      <c r="N304" s="60"/>
      <c r="O304" s="90"/>
      <c r="P304" s="91">
        <v>46311</v>
      </c>
      <c r="Q304" s="92"/>
      <c r="R304" s="68" t="str">
        <f t="shared" si="6"/>
        <v/>
      </c>
      <c r="S304" s="22"/>
    </row>
    <row r="305" spans="1:19" ht="18" customHeight="1">
      <c r="A305" s="85">
        <v>38906</v>
      </c>
      <c r="B305" s="86">
        <v>72440</v>
      </c>
      <c r="C305" s="22" t="s">
        <v>20</v>
      </c>
      <c r="D305" s="85">
        <v>4</v>
      </c>
      <c r="E305" s="87" t="s">
        <v>349</v>
      </c>
      <c r="F305" s="85"/>
      <c r="G305" s="206" t="s">
        <v>856</v>
      </c>
      <c r="H305" s="88">
        <v>45810</v>
      </c>
      <c r="I305" s="60">
        <v>3</v>
      </c>
      <c r="J305" s="22" t="s">
        <v>350</v>
      </c>
      <c r="K305" s="63">
        <v>31479</v>
      </c>
      <c r="L305" s="60" t="s">
        <v>973</v>
      </c>
      <c r="M305" s="89"/>
      <c r="N305" s="60"/>
      <c r="O305" s="90"/>
      <c r="P305" s="91">
        <v>46311</v>
      </c>
      <c r="Q305" s="92"/>
      <c r="R305" s="68" t="str">
        <f t="shared" si="6"/>
        <v/>
      </c>
      <c r="S305" s="22"/>
    </row>
    <row r="306" spans="1:19" ht="18" customHeight="1">
      <c r="A306" s="85">
        <v>38906</v>
      </c>
      <c r="B306" s="86">
        <v>72441</v>
      </c>
      <c r="C306" s="22" t="s">
        <v>20</v>
      </c>
      <c r="D306" s="85">
        <v>6</v>
      </c>
      <c r="E306" s="87" t="s">
        <v>351</v>
      </c>
      <c r="F306" s="85"/>
      <c r="G306" s="206" t="s">
        <v>856</v>
      </c>
      <c r="H306" s="88" t="s">
        <v>974</v>
      </c>
      <c r="I306" s="60">
        <v>4</v>
      </c>
      <c r="J306" s="22" t="s">
        <v>352</v>
      </c>
      <c r="K306" s="63">
        <v>582</v>
      </c>
      <c r="L306" s="60" t="s">
        <v>973</v>
      </c>
      <c r="M306" s="89"/>
      <c r="N306" s="60"/>
      <c r="O306" s="90"/>
      <c r="P306" s="91">
        <v>46311</v>
      </c>
      <c r="Q306" s="92"/>
      <c r="R306" s="68" t="str">
        <f t="shared" si="6"/>
        <v/>
      </c>
      <c r="S306" s="22"/>
    </row>
    <row r="307" spans="1:19" ht="18" customHeight="1">
      <c r="A307" s="85"/>
      <c r="B307" s="86"/>
      <c r="C307" s="22"/>
      <c r="D307" s="85"/>
      <c r="E307" s="87"/>
      <c r="F307" s="85"/>
      <c r="G307" s="22"/>
      <c r="H307" s="88"/>
      <c r="J307" s="22"/>
      <c r="M307" s="89"/>
      <c r="N307" s="60"/>
      <c r="O307" s="90"/>
      <c r="P307" s="91"/>
      <c r="Q307" s="92"/>
      <c r="R307" s="68" t="str">
        <f t="shared" si="6"/>
        <v/>
      </c>
      <c r="S307" s="22"/>
    </row>
    <row r="308" spans="1:19" ht="18" customHeight="1">
      <c r="A308" s="85">
        <v>38908</v>
      </c>
      <c r="B308" s="86">
        <v>72443</v>
      </c>
      <c r="C308" s="22" t="s">
        <v>20</v>
      </c>
      <c r="D308" s="85">
        <v>1</v>
      </c>
      <c r="E308" s="87" t="s">
        <v>354</v>
      </c>
      <c r="F308" s="85">
        <v>1</v>
      </c>
      <c r="G308" s="22" t="s">
        <v>934</v>
      </c>
      <c r="H308" s="88">
        <v>45813</v>
      </c>
      <c r="I308" s="60">
        <v>1</v>
      </c>
      <c r="J308" s="22" t="s">
        <v>355</v>
      </c>
      <c r="K308" s="63">
        <v>1928</v>
      </c>
      <c r="L308" s="60" t="s">
        <v>975</v>
      </c>
      <c r="M308" s="89"/>
      <c r="N308" s="60"/>
      <c r="O308" s="90"/>
      <c r="P308" s="91">
        <v>45844</v>
      </c>
      <c r="Q308" s="92"/>
      <c r="R308" s="68" t="str">
        <f t="shared" si="6"/>
        <v/>
      </c>
      <c r="S308" s="22"/>
    </row>
    <row r="309" spans="1:19" ht="18" customHeight="1">
      <c r="A309" s="85"/>
      <c r="B309" s="86"/>
      <c r="C309" s="22"/>
      <c r="D309" s="85"/>
      <c r="E309" s="87"/>
      <c r="F309" s="85"/>
      <c r="G309" s="22"/>
      <c r="H309" s="88"/>
      <c r="J309" s="22"/>
      <c r="M309" s="89"/>
      <c r="N309" s="60"/>
      <c r="O309" s="90"/>
      <c r="P309" s="91"/>
      <c r="Q309" s="92"/>
      <c r="R309" s="68" t="str">
        <f t="shared" si="6"/>
        <v/>
      </c>
      <c r="S309" s="22"/>
    </row>
    <row r="310" spans="1:19" ht="18" customHeight="1">
      <c r="A310" s="85">
        <v>38909</v>
      </c>
      <c r="B310" s="86">
        <v>72444</v>
      </c>
      <c r="C310" s="22" t="s">
        <v>20</v>
      </c>
      <c r="D310" s="85">
        <v>8</v>
      </c>
      <c r="E310" s="87" t="s">
        <v>357</v>
      </c>
      <c r="F310" s="85"/>
      <c r="G310" s="22" t="s">
        <v>934</v>
      </c>
      <c r="H310" s="88">
        <v>45813</v>
      </c>
      <c r="I310" s="60">
        <v>1</v>
      </c>
      <c r="J310" s="22" t="s">
        <v>358</v>
      </c>
      <c r="K310" s="63">
        <v>235</v>
      </c>
      <c r="L310" s="60" t="s">
        <v>976</v>
      </c>
      <c r="M310" s="89"/>
      <c r="N310" s="60"/>
      <c r="O310" s="90"/>
      <c r="P310" s="91">
        <v>45840</v>
      </c>
      <c r="Q310" s="92"/>
      <c r="R310" s="68" t="str">
        <f t="shared" si="6"/>
        <v/>
      </c>
      <c r="S310" s="22"/>
    </row>
    <row r="311" spans="1:19" ht="18" customHeight="1">
      <c r="A311" s="85">
        <v>38909</v>
      </c>
      <c r="B311" s="86">
        <v>72445</v>
      </c>
      <c r="C311" s="22" t="s">
        <v>20</v>
      </c>
      <c r="D311" s="85">
        <v>4</v>
      </c>
      <c r="E311" s="87" t="s">
        <v>359</v>
      </c>
      <c r="F311" s="85"/>
      <c r="G311" s="22" t="s">
        <v>934</v>
      </c>
      <c r="H311" s="88">
        <v>45813</v>
      </c>
      <c r="I311" s="60">
        <v>2</v>
      </c>
      <c r="J311" s="22" t="s">
        <v>360</v>
      </c>
      <c r="K311" s="63">
        <v>425</v>
      </c>
      <c r="L311" s="60" t="s">
        <v>976</v>
      </c>
      <c r="M311" s="89"/>
      <c r="N311" s="60"/>
      <c r="O311" s="90"/>
      <c r="P311" s="91">
        <v>45840</v>
      </c>
      <c r="Q311" s="92"/>
      <c r="R311" s="68" t="str">
        <f t="shared" si="6"/>
        <v/>
      </c>
      <c r="S311" s="22"/>
    </row>
    <row r="312" spans="1:19" ht="18" customHeight="1">
      <c r="A312" s="85">
        <v>38909</v>
      </c>
      <c r="B312" s="86">
        <v>72446</v>
      </c>
      <c r="C312" s="22" t="s">
        <v>20</v>
      </c>
      <c r="D312" s="85">
        <v>4</v>
      </c>
      <c r="E312" s="87" t="s">
        <v>361</v>
      </c>
      <c r="F312" s="85"/>
      <c r="G312" s="22" t="s">
        <v>934</v>
      </c>
      <c r="H312" s="88">
        <v>45813</v>
      </c>
      <c r="I312" s="60">
        <v>3</v>
      </c>
      <c r="J312" s="22" t="s">
        <v>362</v>
      </c>
      <c r="K312" s="63">
        <v>297</v>
      </c>
      <c r="L312" s="60" t="s">
        <v>976</v>
      </c>
      <c r="M312" s="89"/>
      <c r="N312" s="60"/>
      <c r="O312" s="90"/>
      <c r="P312" s="91">
        <v>45840</v>
      </c>
      <c r="Q312" s="92"/>
      <c r="R312" s="68" t="str">
        <f t="shared" si="6"/>
        <v/>
      </c>
      <c r="S312" s="22"/>
    </row>
    <row r="313" spans="1:19" ht="18" customHeight="1">
      <c r="A313" s="85"/>
      <c r="B313" s="86"/>
      <c r="C313" s="22"/>
      <c r="D313" s="85"/>
      <c r="E313" s="87"/>
      <c r="F313" s="85"/>
      <c r="G313" s="22"/>
      <c r="H313" s="88"/>
      <c r="J313" s="22"/>
      <c r="M313" s="89"/>
      <c r="N313" s="60"/>
      <c r="O313" s="90"/>
      <c r="P313" s="91"/>
      <c r="Q313" s="92"/>
      <c r="R313" s="68" t="str">
        <f t="shared" ref="R313:R335" si="7">IF(SUM(Q313)&gt;0,SUM(Q313-P313),"")</f>
        <v/>
      </c>
      <c r="S313" s="22"/>
    </row>
    <row r="314" spans="1:19" ht="18" customHeight="1">
      <c r="A314" s="85">
        <v>38912</v>
      </c>
      <c r="B314" s="86">
        <v>72451</v>
      </c>
      <c r="C314" s="22" t="s">
        <v>20</v>
      </c>
      <c r="D314" s="85">
        <v>1</v>
      </c>
      <c r="E314" s="87" t="s">
        <v>364</v>
      </c>
      <c r="F314" s="85">
        <v>1</v>
      </c>
      <c r="G314" s="22" t="s">
        <v>934</v>
      </c>
      <c r="H314" s="88">
        <v>45814</v>
      </c>
      <c r="I314" s="60">
        <v>1</v>
      </c>
      <c r="J314" s="22" t="s">
        <v>365</v>
      </c>
      <c r="K314" s="63">
        <v>2330</v>
      </c>
      <c r="L314" s="60" t="s">
        <v>977</v>
      </c>
      <c r="M314" s="89"/>
      <c r="N314" s="60"/>
      <c r="O314" s="90"/>
      <c r="P314" s="91">
        <v>45842</v>
      </c>
      <c r="Q314" s="92"/>
      <c r="R314" s="68" t="str">
        <f t="shared" si="7"/>
        <v/>
      </c>
      <c r="S314" s="22"/>
    </row>
    <row r="315" spans="1:19" ht="18" customHeight="1">
      <c r="A315" s="85">
        <v>38912</v>
      </c>
      <c r="B315" s="86">
        <v>72452</v>
      </c>
      <c r="C315" s="22" t="s">
        <v>20</v>
      </c>
      <c r="D315" s="85">
        <v>2</v>
      </c>
      <c r="E315" s="87" t="s">
        <v>366</v>
      </c>
      <c r="F315" s="85">
        <v>1</v>
      </c>
      <c r="G315" s="22" t="s">
        <v>934</v>
      </c>
      <c r="H315" s="88">
        <v>45814</v>
      </c>
      <c r="I315" s="60">
        <v>2</v>
      </c>
      <c r="J315" s="22" t="s">
        <v>367</v>
      </c>
      <c r="K315" s="63">
        <v>1942</v>
      </c>
      <c r="L315" s="60" t="s">
        <v>977</v>
      </c>
      <c r="M315" s="89"/>
      <c r="N315" s="60"/>
      <c r="O315" s="90"/>
      <c r="P315" s="91">
        <v>45842</v>
      </c>
      <c r="Q315" s="92"/>
      <c r="R315" s="68" t="str">
        <f t="shared" si="7"/>
        <v/>
      </c>
      <c r="S315" s="22"/>
    </row>
    <row r="316" spans="1:19" ht="18" customHeight="1">
      <c r="A316" s="85"/>
      <c r="B316" s="86"/>
      <c r="C316" s="22"/>
      <c r="D316" s="85"/>
      <c r="E316" s="87"/>
      <c r="F316" s="85"/>
      <c r="G316" s="22"/>
      <c r="H316" s="88"/>
      <c r="J316" s="22"/>
      <c r="M316" s="89"/>
      <c r="N316" s="60"/>
      <c r="O316" s="90"/>
      <c r="P316" s="91"/>
      <c r="Q316" s="92"/>
      <c r="R316" s="68" t="str">
        <f t="shared" si="7"/>
        <v/>
      </c>
      <c r="S316" s="22"/>
    </row>
    <row r="317" spans="1:19" ht="18" customHeight="1">
      <c r="A317" s="85">
        <v>38913</v>
      </c>
      <c r="B317" s="86">
        <v>72453</v>
      </c>
      <c r="C317" s="22" t="s">
        <v>338</v>
      </c>
      <c r="D317" s="85">
        <v>3</v>
      </c>
      <c r="E317" s="87" t="s">
        <v>978</v>
      </c>
      <c r="F317" s="85"/>
      <c r="G317" s="22" t="s">
        <v>979</v>
      </c>
      <c r="H317" s="88">
        <v>45814</v>
      </c>
      <c r="I317" s="60">
        <v>10</v>
      </c>
      <c r="J317" s="22" t="s">
        <v>369</v>
      </c>
      <c r="K317" s="63">
        <v>465</v>
      </c>
      <c r="L317" s="60" t="s">
        <v>980</v>
      </c>
      <c r="M317" s="89"/>
      <c r="N317" s="60"/>
      <c r="O317" s="90"/>
      <c r="P317" s="91">
        <v>45842</v>
      </c>
      <c r="Q317" s="92"/>
      <c r="R317" s="68" t="str">
        <f t="shared" si="7"/>
        <v/>
      </c>
      <c r="S317" s="22"/>
    </row>
    <row r="318" spans="1:19" ht="18" customHeight="1">
      <c r="A318" s="85">
        <v>38913</v>
      </c>
      <c r="B318" s="86">
        <v>72454</v>
      </c>
      <c r="C318" s="22" t="s">
        <v>338</v>
      </c>
      <c r="D318" s="85">
        <v>1</v>
      </c>
      <c r="E318" s="87" t="s">
        <v>981</v>
      </c>
      <c r="F318" s="85"/>
      <c r="G318" s="22" t="s">
        <v>979</v>
      </c>
      <c r="H318" s="88">
        <v>45814</v>
      </c>
      <c r="I318" s="60">
        <v>20</v>
      </c>
      <c r="J318" s="22" t="s">
        <v>371</v>
      </c>
      <c r="K318" s="63" t="s">
        <v>982</v>
      </c>
      <c r="L318" s="60" t="s">
        <v>980</v>
      </c>
      <c r="M318" s="89"/>
      <c r="N318" s="60"/>
      <c r="O318" s="90"/>
      <c r="P318" s="91">
        <v>45842</v>
      </c>
      <c r="Q318" s="92"/>
      <c r="R318" s="68" t="str">
        <f t="shared" si="7"/>
        <v/>
      </c>
      <c r="S318" s="22"/>
    </row>
    <row r="319" spans="1:19" ht="18" customHeight="1">
      <c r="A319" s="85"/>
      <c r="B319" s="86"/>
      <c r="C319" s="22"/>
      <c r="D319" s="85"/>
      <c r="E319" s="87"/>
      <c r="F319" s="85"/>
      <c r="G319" s="22"/>
      <c r="H319" s="88"/>
      <c r="J319" s="22"/>
      <c r="M319" s="89"/>
      <c r="N319" s="60"/>
      <c r="O319" s="90"/>
      <c r="P319" s="91"/>
      <c r="Q319" s="92"/>
      <c r="R319" s="68" t="str">
        <f t="shared" si="7"/>
        <v/>
      </c>
      <c r="S319" s="22"/>
    </row>
    <row r="320" spans="1:19" ht="18" customHeight="1">
      <c r="A320" s="85">
        <v>38914</v>
      </c>
      <c r="B320" s="86">
        <v>72455</v>
      </c>
      <c r="C320" s="22" t="s">
        <v>164</v>
      </c>
      <c r="D320" s="85" t="s">
        <v>374</v>
      </c>
      <c r="E320" s="87">
        <v>700540049</v>
      </c>
      <c r="F320" s="85" t="s">
        <v>983</v>
      </c>
      <c r="G320" s="22" t="s">
        <v>883</v>
      </c>
      <c r="H320" s="88">
        <v>45814</v>
      </c>
      <c r="I320" s="60" t="s">
        <v>984</v>
      </c>
      <c r="J320" s="22" t="s">
        <v>373</v>
      </c>
      <c r="K320" s="63">
        <v>5550</v>
      </c>
      <c r="L320" s="60" t="s">
        <v>372</v>
      </c>
      <c r="M320" s="89"/>
      <c r="N320" s="60"/>
      <c r="O320" s="90"/>
      <c r="P320" s="91">
        <v>45863</v>
      </c>
      <c r="Q320" s="92"/>
      <c r="R320" s="68" t="str">
        <f t="shared" si="7"/>
        <v/>
      </c>
      <c r="S320" s="22"/>
    </row>
    <row r="321" spans="1:19" ht="18" customHeight="1">
      <c r="A321" s="85">
        <v>38914</v>
      </c>
      <c r="B321" s="86">
        <v>72456</v>
      </c>
      <c r="C321" s="22" t="s">
        <v>164</v>
      </c>
      <c r="D321" s="85" t="s">
        <v>985</v>
      </c>
      <c r="E321" s="87">
        <v>700573391</v>
      </c>
      <c r="F321" s="85" t="s">
        <v>983</v>
      </c>
      <c r="G321" s="22" t="s">
        <v>883</v>
      </c>
      <c r="H321" s="88">
        <v>45814</v>
      </c>
      <c r="I321" s="60">
        <v>3</v>
      </c>
      <c r="J321" s="22" t="s">
        <v>375</v>
      </c>
      <c r="K321" s="63">
        <v>7478</v>
      </c>
      <c r="L321" s="60" t="s">
        <v>372</v>
      </c>
      <c r="M321" s="89"/>
      <c r="N321" s="60"/>
      <c r="O321" s="90"/>
      <c r="P321" s="91">
        <v>45875</v>
      </c>
      <c r="Q321" s="92"/>
      <c r="R321" s="68" t="str">
        <f t="shared" si="7"/>
        <v/>
      </c>
      <c r="S321" s="22"/>
    </row>
    <row r="322" spans="1:19" ht="18" customHeight="1">
      <c r="A322" s="85"/>
      <c r="B322" s="86"/>
      <c r="C322" s="22"/>
      <c r="D322" s="85"/>
      <c r="E322" s="87"/>
      <c r="F322" s="85"/>
      <c r="G322" s="22"/>
      <c r="H322" s="88"/>
      <c r="J322" s="22"/>
      <c r="M322" s="89"/>
      <c r="N322" s="60"/>
      <c r="O322" s="90"/>
      <c r="P322" s="91"/>
      <c r="Q322" s="92"/>
      <c r="R322" s="68" t="str">
        <f t="shared" si="7"/>
        <v/>
      </c>
      <c r="S322" s="22"/>
    </row>
    <row r="323" spans="1:19" ht="18" customHeight="1">
      <c r="A323" s="85">
        <v>38916</v>
      </c>
      <c r="B323" s="86">
        <v>72458</v>
      </c>
      <c r="C323" s="22" t="s">
        <v>378</v>
      </c>
      <c r="D323" s="85">
        <v>1</v>
      </c>
      <c r="E323" s="87">
        <v>700615075</v>
      </c>
      <c r="F323" s="85" t="s">
        <v>983</v>
      </c>
      <c r="G323" s="22" t="s">
        <v>917</v>
      </c>
      <c r="H323" s="88">
        <v>45818</v>
      </c>
      <c r="I323" s="60">
        <v>1</v>
      </c>
      <c r="J323" s="22" t="s">
        <v>377</v>
      </c>
      <c r="K323" s="63">
        <v>1730</v>
      </c>
      <c r="L323" s="60" t="s">
        <v>376</v>
      </c>
      <c r="M323" s="89"/>
      <c r="N323" s="60"/>
      <c r="O323" s="90"/>
      <c r="P323" s="91">
        <v>45840</v>
      </c>
      <c r="Q323" s="92"/>
      <c r="R323" s="68" t="str">
        <f t="shared" si="7"/>
        <v/>
      </c>
      <c r="S323" s="22"/>
    </row>
    <row r="324" spans="1:19" ht="18" customHeight="1">
      <c r="A324" s="85"/>
      <c r="B324" s="86"/>
      <c r="C324" s="22"/>
      <c r="D324" s="85"/>
      <c r="E324" s="87"/>
      <c r="F324" s="85"/>
      <c r="G324" s="22"/>
      <c r="H324" s="88"/>
      <c r="J324" s="22"/>
      <c r="M324" s="89"/>
      <c r="N324" s="60"/>
      <c r="O324" s="90"/>
      <c r="P324" s="91"/>
      <c r="Q324" s="92"/>
      <c r="R324" s="68" t="str">
        <f t="shared" si="7"/>
        <v/>
      </c>
      <c r="S324" s="22"/>
    </row>
    <row r="325" spans="1:19" ht="15.75">
      <c r="A325" s="85">
        <v>38917</v>
      </c>
      <c r="B325" s="86">
        <v>72461</v>
      </c>
      <c r="C325" s="22" t="s">
        <v>20</v>
      </c>
      <c r="D325" s="85">
        <v>2</v>
      </c>
      <c r="E325" s="87" t="s">
        <v>386</v>
      </c>
      <c r="F325" s="85"/>
      <c r="G325" s="22" t="s">
        <v>934</v>
      </c>
      <c r="H325" s="88">
        <v>45820</v>
      </c>
      <c r="I325" s="60">
        <v>1</v>
      </c>
      <c r="J325" s="22" t="s">
        <v>387</v>
      </c>
      <c r="K325" s="63">
        <v>87</v>
      </c>
      <c r="L325" s="60" t="s">
        <v>986</v>
      </c>
      <c r="M325" s="89"/>
      <c r="N325" s="60"/>
      <c r="O325" s="90"/>
      <c r="P325" s="91">
        <v>45895</v>
      </c>
      <c r="Q325" s="92"/>
      <c r="R325" s="68" t="str">
        <f t="shared" si="7"/>
        <v/>
      </c>
      <c r="S325" s="22"/>
    </row>
    <row r="326" spans="1:19" ht="18" customHeight="1">
      <c r="A326" s="85">
        <v>38917</v>
      </c>
      <c r="B326" s="86">
        <v>72462</v>
      </c>
      <c r="C326" s="22" t="s">
        <v>20</v>
      </c>
      <c r="D326" s="85">
        <v>1</v>
      </c>
      <c r="E326" s="87" t="s">
        <v>987</v>
      </c>
      <c r="F326" s="85"/>
      <c r="G326" s="22" t="s">
        <v>934</v>
      </c>
      <c r="H326" s="88">
        <v>45820</v>
      </c>
      <c r="I326" s="232" t="s">
        <v>988</v>
      </c>
      <c r="J326" s="22" t="s">
        <v>388</v>
      </c>
      <c r="K326" s="63">
        <v>3739</v>
      </c>
      <c r="L326" s="60" t="s">
        <v>986</v>
      </c>
      <c r="M326" s="89"/>
      <c r="N326" s="60"/>
      <c r="O326" s="90"/>
      <c r="P326" s="91">
        <v>45895</v>
      </c>
      <c r="Q326" s="92"/>
      <c r="R326" s="68" t="str">
        <f t="shared" si="7"/>
        <v/>
      </c>
      <c r="S326" s="22"/>
    </row>
    <row r="327" spans="1:19" ht="18" customHeight="1">
      <c r="A327" s="85">
        <v>38917</v>
      </c>
      <c r="B327" s="86">
        <v>72463</v>
      </c>
      <c r="C327" s="22" t="s">
        <v>20</v>
      </c>
      <c r="D327" s="85">
        <v>1</v>
      </c>
      <c r="E327" s="87" t="s">
        <v>389</v>
      </c>
      <c r="F327" s="85"/>
      <c r="G327" s="22" t="s">
        <v>934</v>
      </c>
      <c r="H327" s="88">
        <v>45820</v>
      </c>
      <c r="I327" s="60" t="s">
        <v>989</v>
      </c>
      <c r="J327" s="22" t="s">
        <v>390</v>
      </c>
      <c r="K327" s="63">
        <v>3421</v>
      </c>
      <c r="L327" s="60" t="s">
        <v>986</v>
      </c>
      <c r="M327" s="89"/>
      <c r="N327" s="60"/>
      <c r="O327" s="90"/>
      <c r="P327" s="91">
        <v>45895</v>
      </c>
      <c r="Q327" s="92"/>
      <c r="R327" s="68" t="str">
        <f t="shared" si="7"/>
        <v/>
      </c>
      <c r="S327" s="22"/>
    </row>
    <row r="328" spans="1:19" ht="18" customHeight="1">
      <c r="A328" s="85">
        <v>38917</v>
      </c>
      <c r="B328" s="86">
        <v>72464</v>
      </c>
      <c r="C328" s="22" t="s">
        <v>20</v>
      </c>
      <c r="D328" s="85">
        <v>2</v>
      </c>
      <c r="E328" s="87" t="s">
        <v>391</v>
      </c>
      <c r="F328" s="85"/>
      <c r="G328" s="22" t="s">
        <v>934</v>
      </c>
      <c r="H328" s="88">
        <v>45820</v>
      </c>
      <c r="I328" s="60">
        <v>11</v>
      </c>
      <c r="J328" s="22" t="s">
        <v>392</v>
      </c>
      <c r="K328" s="63">
        <v>87</v>
      </c>
      <c r="L328" s="60" t="s">
        <v>986</v>
      </c>
      <c r="M328" s="89"/>
      <c r="N328" s="60"/>
      <c r="O328" s="90"/>
      <c r="P328" s="91">
        <v>45895</v>
      </c>
      <c r="Q328" s="92"/>
      <c r="R328" s="68" t="str">
        <f t="shared" si="7"/>
        <v/>
      </c>
      <c r="S328" s="22"/>
    </row>
    <row r="329" spans="1:19" ht="18" customHeight="1">
      <c r="A329" s="85">
        <v>38917</v>
      </c>
      <c r="B329" s="86">
        <v>72465</v>
      </c>
      <c r="C329" s="22" t="s">
        <v>20</v>
      </c>
      <c r="D329" s="85">
        <v>2</v>
      </c>
      <c r="E329" s="87" t="s">
        <v>393</v>
      </c>
      <c r="F329" s="85"/>
      <c r="G329" s="22" t="s">
        <v>934</v>
      </c>
      <c r="H329" s="88">
        <v>45820</v>
      </c>
      <c r="I329" s="60">
        <v>12</v>
      </c>
      <c r="J329" s="22" t="s">
        <v>392</v>
      </c>
      <c r="K329" s="63">
        <v>87</v>
      </c>
      <c r="L329" s="60" t="s">
        <v>986</v>
      </c>
      <c r="M329" s="89"/>
      <c r="N329" s="60"/>
      <c r="O329" s="90"/>
      <c r="P329" s="91">
        <v>45895</v>
      </c>
      <c r="Q329" s="92"/>
      <c r="R329" s="68" t="str">
        <f t="shared" si="7"/>
        <v/>
      </c>
      <c r="S329" s="22"/>
    </row>
    <row r="330" spans="1:19" ht="18" customHeight="1">
      <c r="A330" s="85">
        <v>38917</v>
      </c>
      <c r="B330" s="86">
        <v>72466</v>
      </c>
      <c r="C330" s="22" t="s">
        <v>20</v>
      </c>
      <c r="D330" s="85">
        <v>2</v>
      </c>
      <c r="E330" s="87" t="s">
        <v>394</v>
      </c>
      <c r="F330" s="85"/>
      <c r="G330" s="22" t="s">
        <v>934</v>
      </c>
      <c r="H330" s="88">
        <v>45820</v>
      </c>
      <c r="I330" s="60">
        <v>13</v>
      </c>
      <c r="J330" s="22" t="s">
        <v>395</v>
      </c>
      <c r="K330" s="63">
        <v>105</v>
      </c>
      <c r="L330" s="60" t="s">
        <v>986</v>
      </c>
      <c r="M330" s="89"/>
      <c r="N330" s="60"/>
      <c r="O330" s="90"/>
      <c r="P330" s="91">
        <v>45895</v>
      </c>
      <c r="Q330" s="92"/>
      <c r="R330" s="68" t="str">
        <f t="shared" si="7"/>
        <v/>
      </c>
      <c r="S330" s="22"/>
    </row>
    <row r="331" spans="1:19" ht="18" customHeight="1">
      <c r="A331" s="85">
        <v>38917</v>
      </c>
      <c r="B331" s="86">
        <v>72467</v>
      </c>
      <c r="C331" s="22" t="s">
        <v>20</v>
      </c>
      <c r="D331" s="85">
        <v>2</v>
      </c>
      <c r="E331" s="87" t="s">
        <v>396</v>
      </c>
      <c r="F331" s="85"/>
      <c r="G331" s="22" t="s">
        <v>934</v>
      </c>
      <c r="H331" s="88">
        <v>45820</v>
      </c>
      <c r="I331" s="60">
        <v>14</v>
      </c>
      <c r="J331" s="22" t="s">
        <v>397</v>
      </c>
      <c r="K331" s="63">
        <v>391</v>
      </c>
      <c r="L331" s="60" t="s">
        <v>986</v>
      </c>
      <c r="M331" s="89"/>
      <c r="N331" s="60"/>
      <c r="O331" s="90"/>
      <c r="P331" s="91">
        <v>45895</v>
      </c>
      <c r="Q331" s="92"/>
      <c r="R331" s="68" t="str">
        <f t="shared" si="7"/>
        <v/>
      </c>
      <c r="S331" s="22"/>
    </row>
    <row r="332" spans="1:19" ht="18" customHeight="1">
      <c r="A332" s="85">
        <v>38917</v>
      </c>
      <c r="B332" s="86">
        <v>72468</v>
      </c>
      <c r="C332" s="22" t="s">
        <v>20</v>
      </c>
      <c r="D332" s="85">
        <v>1</v>
      </c>
      <c r="E332" s="87" t="s">
        <v>398</v>
      </c>
      <c r="F332" s="85"/>
      <c r="G332" s="22" t="s">
        <v>934</v>
      </c>
      <c r="H332" s="88">
        <v>45820</v>
      </c>
      <c r="I332" s="60">
        <v>15</v>
      </c>
      <c r="J332" s="22" t="s">
        <v>399</v>
      </c>
      <c r="K332" s="63">
        <v>103</v>
      </c>
      <c r="L332" s="60" t="s">
        <v>986</v>
      </c>
      <c r="M332" s="89"/>
      <c r="N332" s="60"/>
      <c r="O332" s="90"/>
      <c r="P332" s="91">
        <v>45895</v>
      </c>
      <c r="Q332" s="92"/>
      <c r="R332" s="68" t="str">
        <f t="shared" si="7"/>
        <v/>
      </c>
      <c r="S332" s="22"/>
    </row>
    <row r="333" spans="1:19" ht="18" customHeight="1">
      <c r="A333" s="85">
        <v>38917</v>
      </c>
      <c r="B333" s="86">
        <v>72469</v>
      </c>
      <c r="C333" s="22" t="s">
        <v>20</v>
      </c>
      <c r="D333" s="85">
        <v>1</v>
      </c>
      <c r="E333" s="87" t="s">
        <v>400</v>
      </c>
      <c r="F333" s="85"/>
      <c r="G333" s="22" t="s">
        <v>934</v>
      </c>
      <c r="H333" s="88">
        <v>45820</v>
      </c>
      <c r="I333" s="60">
        <v>16</v>
      </c>
      <c r="J333" s="22" t="s">
        <v>401</v>
      </c>
      <c r="K333" s="63">
        <v>1112</v>
      </c>
      <c r="L333" s="60" t="s">
        <v>986</v>
      </c>
      <c r="M333" s="89"/>
      <c r="N333" s="60"/>
      <c r="O333" s="90"/>
      <c r="P333" s="91">
        <v>45895</v>
      </c>
      <c r="Q333" s="92"/>
      <c r="R333" s="68" t="str">
        <f t="shared" si="7"/>
        <v/>
      </c>
      <c r="S333" s="22"/>
    </row>
    <row r="334" spans="1:19" ht="18" customHeight="1">
      <c r="A334" s="85">
        <v>38917</v>
      </c>
      <c r="B334" s="86">
        <v>72470</v>
      </c>
      <c r="C334" s="22" t="s">
        <v>20</v>
      </c>
      <c r="D334" s="85">
        <v>2</v>
      </c>
      <c r="E334" s="87" t="s">
        <v>402</v>
      </c>
      <c r="F334" s="85"/>
      <c r="G334" s="22" t="s">
        <v>934</v>
      </c>
      <c r="H334" s="88">
        <v>45820</v>
      </c>
      <c r="I334" s="60">
        <v>17</v>
      </c>
      <c r="J334" s="22" t="s">
        <v>403</v>
      </c>
      <c r="K334" s="63">
        <v>391</v>
      </c>
      <c r="L334" s="60" t="s">
        <v>986</v>
      </c>
      <c r="M334" s="89"/>
      <c r="N334" s="60"/>
      <c r="O334" s="90"/>
      <c r="P334" s="91">
        <v>45895</v>
      </c>
      <c r="Q334" s="92"/>
      <c r="R334" s="68" t="str">
        <f t="shared" si="7"/>
        <v/>
      </c>
      <c r="S334" s="22"/>
    </row>
    <row r="335" spans="1:19" ht="18" customHeight="1">
      <c r="A335" s="85">
        <v>38917</v>
      </c>
      <c r="B335" s="86">
        <v>72471</v>
      </c>
      <c r="C335" s="22" t="s">
        <v>20</v>
      </c>
      <c r="D335" s="85">
        <v>1</v>
      </c>
      <c r="E335" s="87" t="s">
        <v>404</v>
      </c>
      <c r="F335" s="85"/>
      <c r="G335" s="22" t="s">
        <v>934</v>
      </c>
      <c r="H335" s="88">
        <v>45820</v>
      </c>
      <c r="I335" s="60">
        <v>18</v>
      </c>
      <c r="J335" s="22" t="s">
        <v>405</v>
      </c>
      <c r="K335" s="63">
        <v>762</v>
      </c>
      <c r="L335" s="60" t="s">
        <v>986</v>
      </c>
      <c r="M335" s="89"/>
      <c r="N335" s="60"/>
      <c r="O335" s="90"/>
      <c r="P335" s="91">
        <v>45895</v>
      </c>
      <c r="Q335" s="92"/>
      <c r="R335" s="68" t="str">
        <f t="shared" si="7"/>
        <v/>
      </c>
      <c r="S335" s="22"/>
    </row>
    <row r="336" spans="1:19" ht="18" customHeight="1">
      <c r="A336" s="85"/>
      <c r="B336" s="86"/>
      <c r="C336" s="22"/>
      <c r="D336" s="85"/>
      <c r="E336" s="87"/>
      <c r="F336" s="85"/>
      <c r="G336" s="22"/>
      <c r="H336" s="88"/>
      <c r="J336" s="22"/>
      <c r="M336" s="89"/>
      <c r="N336" s="60"/>
      <c r="O336" s="90"/>
      <c r="P336" s="91"/>
      <c r="Q336" s="92"/>
      <c r="R336" s="68"/>
      <c r="S336" s="22"/>
    </row>
    <row r="337" spans="1:19" ht="18" customHeight="1">
      <c r="A337" s="85">
        <v>38918</v>
      </c>
      <c r="B337" s="86">
        <v>72472</v>
      </c>
      <c r="C337" s="22" t="s">
        <v>309</v>
      </c>
      <c r="D337" s="85">
        <v>1</v>
      </c>
      <c r="E337" s="87">
        <v>3677249</v>
      </c>
      <c r="F337" s="85">
        <v>2</v>
      </c>
      <c r="G337" s="206" t="s">
        <v>990</v>
      </c>
      <c r="H337" s="88">
        <v>45820</v>
      </c>
      <c r="I337" s="60">
        <v>1</v>
      </c>
      <c r="J337" s="22" t="s">
        <v>407</v>
      </c>
      <c r="K337" s="63">
        <v>4435</v>
      </c>
      <c r="L337" s="60">
        <v>211248489</v>
      </c>
      <c r="M337" s="89"/>
      <c r="N337" s="60"/>
      <c r="O337" s="90"/>
      <c r="P337" s="91">
        <v>45849</v>
      </c>
      <c r="Q337" s="92"/>
      <c r="R337" s="68" t="str">
        <f t="shared" ref="R337:R400" si="8">IF(SUM(Q337)&gt;0,SUM(Q337-P337),"")</f>
        <v/>
      </c>
      <c r="S337" s="22"/>
    </row>
    <row r="338" spans="1:19" ht="18" customHeight="1">
      <c r="A338" s="85"/>
      <c r="B338" s="86"/>
      <c r="C338" s="22"/>
      <c r="D338" s="85"/>
      <c r="E338" s="87"/>
      <c r="F338" s="85"/>
      <c r="G338" s="22"/>
      <c r="H338" s="88"/>
      <c r="J338" s="22"/>
      <c r="M338" s="89"/>
      <c r="N338" s="60"/>
      <c r="O338" s="90"/>
      <c r="P338" s="91"/>
      <c r="Q338" s="92"/>
      <c r="R338" s="68" t="str">
        <f t="shared" si="8"/>
        <v/>
      </c>
      <c r="S338" s="22"/>
    </row>
    <row r="339" spans="1:19" ht="18" customHeight="1">
      <c r="A339" s="85">
        <v>38919</v>
      </c>
      <c r="B339" s="86">
        <v>72473</v>
      </c>
      <c r="C339" s="22" t="s">
        <v>255</v>
      </c>
      <c r="D339" s="85">
        <v>15</v>
      </c>
      <c r="E339" s="87" t="s">
        <v>408</v>
      </c>
      <c r="F339" s="85"/>
      <c r="G339" s="22" t="s">
        <v>991</v>
      </c>
      <c r="H339" s="88">
        <v>45824</v>
      </c>
      <c r="I339" s="60">
        <v>1</v>
      </c>
      <c r="J339" s="22" t="s">
        <v>409</v>
      </c>
      <c r="M339" s="89">
        <v>44580</v>
      </c>
      <c r="N339" s="60">
        <v>15</v>
      </c>
      <c r="O339" s="90"/>
      <c r="P339" s="91">
        <v>45828</v>
      </c>
      <c r="Q339" s="92">
        <v>45846</v>
      </c>
      <c r="R339" s="68">
        <f t="shared" si="8"/>
        <v>18</v>
      </c>
      <c r="S339" s="22"/>
    </row>
    <row r="340" spans="1:19" ht="18" customHeight="1">
      <c r="A340" s="85"/>
      <c r="B340" s="86"/>
      <c r="C340" s="22"/>
      <c r="D340" s="85"/>
      <c r="E340" s="87"/>
      <c r="F340" s="85"/>
      <c r="G340" s="22"/>
      <c r="H340" s="88"/>
      <c r="J340" s="22"/>
      <c r="M340" s="89"/>
      <c r="N340" s="60"/>
      <c r="O340" s="90"/>
      <c r="P340" s="91"/>
      <c r="Q340" s="92"/>
      <c r="R340" s="68" t="str">
        <f t="shared" si="8"/>
        <v/>
      </c>
      <c r="S340" s="22"/>
    </row>
    <row r="341" spans="1:19" ht="18" customHeight="1">
      <c r="A341" s="85">
        <v>38921</v>
      </c>
      <c r="B341" s="86">
        <v>72475</v>
      </c>
      <c r="C341" s="22" t="s">
        <v>412</v>
      </c>
      <c r="D341" s="85">
        <v>6</v>
      </c>
      <c r="E341" s="87" t="s">
        <v>410</v>
      </c>
      <c r="F341" s="85"/>
      <c r="G341" s="22" t="s">
        <v>992</v>
      </c>
      <c r="H341" s="88">
        <v>45824</v>
      </c>
      <c r="I341" s="60">
        <v>1</v>
      </c>
      <c r="J341" s="22" t="s">
        <v>411</v>
      </c>
      <c r="K341" s="63">
        <v>198</v>
      </c>
      <c r="L341" s="60">
        <v>4074</v>
      </c>
      <c r="M341" s="89"/>
      <c r="N341" s="60"/>
      <c r="O341" s="90"/>
      <c r="P341" s="91">
        <v>45849</v>
      </c>
      <c r="Q341" s="92"/>
      <c r="R341" s="68" t="str">
        <f t="shared" si="8"/>
        <v/>
      </c>
      <c r="S341" s="22"/>
    </row>
    <row r="342" spans="1:19" ht="18" customHeight="1">
      <c r="A342" s="85">
        <v>38921</v>
      </c>
      <c r="B342" s="86">
        <v>72475</v>
      </c>
      <c r="C342" s="22" t="s">
        <v>412</v>
      </c>
      <c r="D342" s="85">
        <v>12</v>
      </c>
      <c r="E342" s="87" t="s">
        <v>410</v>
      </c>
      <c r="F342" s="85"/>
      <c r="G342" s="22" t="s">
        <v>992</v>
      </c>
      <c r="H342" s="88">
        <v>45824</v>
      </c>
      <c r="I342" s="60">
        <v>2</v>
      </c>
      <c r="J342" s="22" t="s">
        <v>413</v>
      </c>
      <c r="K342" s="63">
        <v>184</v>
      </c>
      <c r="L342" s="60">
        <v>4074</v>
      </c>
      <c r="M342" s="89"/>
      <c r="N342" s="60"/>
      <c r="O342" s="90"/>
      <c r="P342" s="91">
        <v>45849</v>
      </c>
      <c r="Q342" s="92"/>
      <c r="R342" s="68" t="str">
        <f t="shared" si="8"/>
        <v/>
      </c>
      <c r="S342" s="22"/>
    </row>
    <row r="343" spans="1:19" ht="18" customHeight="1">
      <c r="A343" s="85">
        <v>38921</v>
      </c>
      <c r="B343" s="86">
        <v>72475</v>
      </c>
      <c r="C343" s="22" t="s">
        <v>412</v>
      </c>
      <c r="D343" s="85">
        <v>66</v>
      </c>
      <c r="E343" s="87" t="s">
        <v>410</v>
      </c>
      <c r="F343" s="85"/>
      <c r="G343" s="22" t="s">
        <v>992</v>
      </c>
      <c r="H343" s="88">
        <v>45824</v>
      </c>
      <c r="I343" s="60">
        <v>3</v>
      </c>
      <c r="J343" s="22" t="s">
        <v>414</v>
      </c>
      <c r="K343" s="63">
        <v>122</v>
      </c>
      <c r="L343" s="60">
        <v>4074</v>
      </c>
      <c r="M343" s="89"/>
      <c r="N343" s="60"/>
      <c r="O343" s="90"/>
      <c r="P343" s="91">
        <v>45849</v>
      </c>
      <c r="Q343" s="92"/>
      <c r="R343" s="68" t="str">
        <f t="shared" si="8"/>
        <v/>
      </c>
      <c r="S343" s="22"/>
    </row>
    <row r="344" spans="1:19" ht="18" customHeight="1">
      <c r="A344" s="85">
        <v>38921</v>
      </c>
      <c r="B344" s="86">
        <v>72475</v>
      </c>
      <c r="C344" s="22" t="s">
        <v>412</v>
      </c>
      <c r="D344" s="85">
        <v>16</v>
      </c>
      <c r="E344" s="87" t="s">
        <v>410</v>
      </c>
      <c r="F344" s="85"/>
      <c r="G344" s="22" t="s">
        <v>992</v>
      </c>
      <c r="H344" s="88">
        <v>45824</v>
      </c>
      <c r="I344" s="60">
        <v>5</v>
      </c>
      <c r="J344" s="22" t="s">
        <v>415</v>
      </c>
      <c r="K344" s="63">
        <v>337</v>
      </c>
      <c r="L344" s="60">
        <v>4074</v>
      </c>
      <c r="M344" s="89"/>
      <c r="N344" s="60"/>
      <c r="O344" s="90"/>
      <c r="P344" s="91">
        <v>45849</v>
      </c>
      <c r="Q344" s="92"/>
      <c r="R344" s="68" t="str">
        <f t="shared" si="8"/>
        <v/>
      </c>
      <c r="S344" s="22"/>
    </row>
    <row r="345" spans="1:19" ht="18" customHeight="1">
      <c r="A345" s="85">
        <v>38921</v>
      </c>
      <c r="B345" s="86">
        <v>72475</v>
      </c>
      <c r="C345" s="22" t="s">
        <v>412</v>
      </c>
      <c r="D345" s="85">
        <v>16</v>
      </c>
      <c r="E345" s="87" t="s">
        <v>410</v>
      </c>
      <c r="F345" s="85"/>
      <c r="G345" s="22" t="s">
        <v>992</v>
      </c>
      <c r="H345" s="88">
        <v>45824</v>
      </c>
      <c r="I345" s="60">
        <v>6</v>
      </c>
      <c r="J345" s="22" t="s">
        <v>416</v>
      </c>
      <c r="K345" s="63">
        <v>317</v>
      </c>
      <c r="L345" s="60">
        <v>4074</v>
      </c>
      <c r="M345" s="89"/>
      <c r="N345" s="60"/>
      <c r="O345" s="90"/>
      <c r="P345" s="91">
        <v>45849</v>
      </c>
      <c r="Q345" s="92"/>
      <c r="R345" s="68" t="str">
        <f t="shared" si="8"/>
        <v/>
      </c>
      <c r="S345" s="22"/>
    </row>
    <row r="346" spans="1:19" ht="18" customHeight="1">
      <c r="A346" s="85">
        <v>38921</v>
      </c>
      <c r="B346" s="86">
        <v>72475</v>
      </c>
      <c r="C346" s="22" t="s">
        <v>412</v>
      </c>
      <c r="D346" s="85" t="s">
        <v>418</v>
      </c>
      <c r="E346" s="87" t="s">
        <v>410</v>
      </c>
      <c r="F346" s="85"/>
      <c r="G346" s="22" t="s">
        <v>992</v>
      </c>
      <c r="H346" s="88">
        <v>45824</v>
      </c>
      <c r="I346" s="60">
        <v>7</v>
      </c>
      <c r="J346" s="22" t="s">
        <v>417</v>
      </c>
      <c r="K346" s="63">
        <v>1579</v>
      </c>
      <c r="L346" s="60">
        <v>4074</v>
      </c>
      <c r="M346" s="89"/>
      <c r="N346" s="60"/>
      <c r="O346" s="90"/>
      <c r="P346" s="91">
        <v>45849</v>
      </c>
      <c r="Q346" s="92"/>
      <c r="R346" s="68" t="str">
        <f t="shared" si="8"/>
        <v/>
      </c>
      <c r="S346" s="22"/>
    </row>
    <row r="347" spans="1:19" ht="18" customHeight="1">
      <c r="A347" s="85"/>
      <c r="B347" s="86"/>
      <c r="C347" s="22"/>
      <c r="D347" s="85"/>
      <c r="E347" s="87"/>
      <c r="F347" s="85"/>
      <c r="G347" s="22"/>
      <c r="H347" s="88"/>
      <c r="J347" s="22"/>
      <c r="M347" s="89"/>
      <c r="N347" s="60"/>
      <c r="O347" s="90"/>
      <c r="P347" s="91"/>
      <c r="Q347" s="92"/>
      <c r="R347" s="68" t="str">
        <f t="shared" si="8"/>
        <v/>
      </c>
      <c r="S347" s="22"/>
    </row>
    <row r="348" spans="1:19" ht="18" customHeight="1">
      <c r="A348" s="85">
        <v>38922</v>
      </c>
      <c r="B348" s="86">
        <v>72477</v>
      </c>
      <c r="C348" s="22" t="s">
        <v>422</v>
      </c>
      <c r="D348" s="85">
        <v>1</v>
      </c>
      <c r="E348" s="87" t="s">
        <v>420</v>
      </c>
      <c r="F348" s="85"/>
      <c r="G348" s="22" t="s">
        <v>993</v>
      </c>
      <c r="H348" s="88">
        <v>45825</v>
      </c>
      <c r="I348" s="60">
        <v>10</v>
      </c>
      <c r="J348" s="22" t="s">
        <v>421</v>
      </c>
      <c r="K348" s="63">
        <v>5144</v>
      </c>
      <c r="L348" s="60" t="s">
        <v>419</v>
      </c>
      <c r="M348" s="89"/>
      <c r="N348" s="60"/>
      <c r="O348" s="90"/>
      <c r="P348" s="91">
        <v>45845</v>
      </c>
      <c r="Q348" s="92"/>
      <c r="R348" s="68" t="str">
        <f t="shared" si="8"/>
        <v/>
      </c>
      <c r="S348" s="22"/>
    </row>
    <row r="349" spans="1:19" ht="18" customHeight="1">
      <c r="A349" s="85"/>
      <c r="B349" s="86"/>
      <c r="C349" s="22"/>
      <c r="D349" s="85"/>
      <c r="E349" s="87"/>
      <c r="F349" s="85"/>
      <c r="G349" s="22"/>
      <c r="H349" s="88"/>
      <c r="J349" s="22"/>
      <c r="M349" s="89"/>
      <c r="N349" s="60"/>
      <c r="O349" s="90"/>
      <c r="P349" s="91"/>
      <c r="Q349" s="92"/>
      <c r="R349" s="68" t="str">
        <f t="shared" si="8"/>
        <v/>
      </c>
      <c r="S349" s="22"/>
    </row>
    <row r="350" spans="1:19" ht="18" customHeight="1">
      <c r="A350" s="85">
        <v>38923</v>
      </c>
      <c r="B350" s="86">
        <v>72478</v>
      </c>
      <c r="C350" s="22" t="s">
        <v>164</v>
      </c>
      <c r="D350" s="85">
        <v>1</v>
      </c>
      <c r="E350" s="87" t="s">
        <v>424</v>
      </c>
      <c r="F350" s="85">
        <v>0</v>
      </c>
      <c r="G350" s="22" t="s">
        <v>911</v>
      </c>
      <c r="H350" s="88">
        <v>45825</v>
      </c>
      <c r="I350" s="60">
        <v>1</v>
      </c>
      <c r="J350" s="22" t="s">
        <v>425</v>
      </c>
      <c r="K350" s="63">
        <v>1487</v>
      </c>
      <c r="L350" s="60" t="s">
        <v>423</v>
      </c>
      <c r="M350" s="89"/>
      <c r="N350" s="60"/>
      <c r="O350" s="90"/>
      <c r="P350" s="91">
        <v>45897</v>
      </c>
      <c r="Q350" s="92"/>
      <c r="R350" s="68" t="str">
        <f t="shared" si="8"/>
        <v/>
      </c>
      <c r="S350" s="22"/>
    </row>
    <row r="351" spans="1:19" ht="18" customHeight="1">
      <c r="A351" s="85">
        <v>38923</v>
      </c>
      <c r="B351" s="86">
        <v>72479</v>
      </c>
      <c r="C351" s="22" t="s">
        <v>164</v>
      </c>
      <c r="D351" s="85">
        <v>1</v>
      </c>
      <c r="E351" s="87" t="s">
        <v>426</v>
      </c>
      <c r="F351" s="85"/>
      <c r="G351" s="22" t="s">
        <v>911</v>
      </c>
      <c r="H351" s="88">
        <v>45825</v>
      </c>
      <c r="I351" s="60">
        <v>2</v>
      </c>
      <c r="J351" s="22" t="s">
        <v>427</v>
      </c>
      <c r="K351" s="63">
        <v>15184</v>
      </c>
      <c r="L351" s="60" t="s">
        <v>423</v>
      </c>
      <c r="M351" s="89"/>
      <c r="N351" s="60"/>
      <c r="O351" s="90"/>
      <c r="P351" s="91">
        <v>45897</v>
      </c>
      <c r="Q351" s="92"/>
      <c r="R351" s="68" t="str">
        <f t="shared" si="8"/>
        <v/>
      </c>
      <c r="S351" s="22"/>
    </row>
    <row r="352" spans="1:19" ht="18" customHeight="1">
      <c r="A352" s="85">
        <v>38923</v>
      </c>
      <c r="B352" s="86">
        <v>72480</v>
      </c>
      <c r="C352" s="22" t="s">
        <v>164</v>
      </c>
      <c r="D352" s="85">
        <v>1</v>
      </c>
      <c r="E352" s="87" t="s">
        <v>428</v>
      </c>
      <c r="F352" s="85"/>
      <c r="G352" s="22" t="s">
        <v>911</v>
      </c>
      <c r="H352" s="88">
        <v>45825</v>
      </c>
      <c r="I352" s="60">
        <v>3</v>
      </c>
      <c r="J352" s="22" t="s">
        <v>429</v>
      </c>
      <c r="K352" s="63">
        <v>4745</v>
      </c>
      <c r="L352" s="60" t="s">
        <v>423</v>
      </c>
      <c r="M352" s="89"/>
      <c r="N352" s="60"/>
      <c r="O352" s="90"/>
      <c r="P352" s="91">
        <v>45897</v>
      </c>
      <c r="Q352" s="92"/>
      <c r="R352" s="68" t="str">
        <f t="shared" si="8"/>
        <v/>
      </c>
      <c r="S352" s="22"/>
    </row>
    <row r="353" spans="1:19" ht="18" customHeight="1">
      <c r="A353" s="85">
        <v>38923</v>
      </c>
      <c r="B353" s="86">
        <v>72481</v>
      </c>
      <c r="C353" s="22" t="s">
        <v>164</v>
      </c>
      <c r="D353" s="85">
        <v>1</v>
      </c>
      <c r="E353" s="87" t="s">
        <v>430</v>
      </c>
      <c r="F353" s="85"/>
      <c r="G353" s="22" t="s">
        <v>911</v>
      </c>
      <c r="H353" s="88">
        <v>45825</v>
      </c>
      <c r="I353" s="60">
        <v>4</v>
      </c>
      <c r="J353" s="22" t="s">
        <v>431</v>
      </c>
      <c r="K353" s="63">
        <v>2989</v>
      </c>
      <c r="L353" s="60" t="s">
        <v>423</v>
      </c>
      <c r="M353" s="89"/>
      <c r="N353" s="60"/>
      <c r="O353" s="90"/>
      <c r="P353" s="91">
        <v>45897</v>
      </c>
      <c r="Q353" s="92"/>
      <c r="R353" s="68" t="str">
        <f t="shared" si="8"/>
        <v/>
      </c>
      <c r="S353" s="22"/>
    </row>
    <row r="354" spans="1:19" ht="18" customHeight="1">
      <c r="A354" s="85">
        <v>38923</v>
      </c>
      <c r="B354" s="86">
        <v>72482</v>
      </c>
      <c r="C354" s="22" t="s">
        <v>164</v>
      </c>
      <c r="D354" s="85">
        <v>1</v>
      </c>
      <c r="E354" s="87" t="s">
        <v>432</v>
      </c>
      <c r="F354" s="85"/>
      <c r="G354" s="22" t="s">
        <v>911</v>
      </c>
      <c r="H354" s="88">
        <v>45825</v>
      </c>
      <c r="I354" s="60">
        <v>5</v>
      </c>
      <c r="J354" s="22" t="s">
        <v>433</v>
      </c>
      <c r="K354" s="63">
        <v>4359</v>
      </c>
      <c r="L354" s="60" t="s">
        <v>423</v>
      </c>
      <c r="M354" s="89"/>
      <c r="N354" s="60"/>
      <c r="O354" s="90"/>
      <c r="P354" s="91">
        <v>45897</v>
      </c>
      <c r="Q354" s="92"/>
      <c r="R354" s="68" t="str">
        <f t="shared" si="8"/>
        <v/>
      </c>
      <c r="S354" s="22"/>
    </row>
    <row r="355" spans="1:19" ht="18" customHeight="1">
      <c r="A355" s="85">
        <v>38923</v>
      </c>
      <c r="B355" s="86">
        <v>72483</v>
      </c>
      <c r="C355" s="22" t="s">
        <v>164</v>
      </c>
      <c r="D355" s="85">
        <v>1</v>
      </c>
      <c r="E355" s="87" t="s">
        <v>434</v>
      </c>
      <c r="F355" s="85"/>
      <c r="G355" s="22" t="s">
        <v>911</v>
      </c>
      <c r="H355" s="88">
        <v>45825</v>
      </c>
      <c r="I355" s="60">
        <v>6</v>
      </c>
      <c r="J355" s="22" t="s">
        <v>435</v>
      </c>
      <c r="K355" s="63">
        <v>1789</v>
      </c>
      <c r="L355" s="60" t="s">
        <v>423</v>
      </c>
      <c r="M355" s="89"/>
      <c r="N355" s="60"/>
      <c r="O355" s="90"/>
      <c r="P355" s="91">
        <v>45897</v>
      </c>
      <c r="Q355" s="92"/>
      <c r="R355" s="68" t="str">
        <f t="shared" si="8"/>
        <v/>
      </c>
      <c r="S355" s="22"/>
    </row>
    <row r="356" spans="1:19" ht="18" customHeight="1">
      <c r="A356" s="85">
        <v>38923</v>
      </c>
      <c r="B356" s="86">
        <v>72484</v>
      </c>
      <c r="C356" s="22" t="s">
        <v>164</v>
      </c>
      <c r="D356" s="85">
        <v>1</v>
      </c>
      <c r="E356" s="87" t="s">
        <v>436</v>
      </c>
      <c r="F356" s="85"/>
      <c r="G356" s="22" t="s">
        <v>911</v>
      </c>
      <c r="H356" s="88">
        <v>45825</v>
      </c>
      <c r="I356" s="60">
        <v>7</v>
      </c>
      <c r="J356" s="22" t="s">
        <v>437</v>
      </c>
      <c r="K356" s="63">
        <v>6307</v>
      </c>
      <c r="L356" s="60" t="s">
        <v>423</v>
      </c>
      <c r="M356" s="89"/>
      <c r="N356" s="60"/>
      <c r="O356" s="90"/>
      <c r="P356" s="91">
        <v>45897</v>
      </c>
      <c r="Q356" s="92"/>
      <c r="R356" s="68" t="str">
        <f t="shared" si="8"/>
        <v/>
      </c>
      <c r="S356" s="22"/>
    </row>
    <row r="357" spans="1:19" ht="18" customHeight="1">
      <c r="A357" s="85">
        <v>38923</v>
      </c>
      <c r="B357" s="86">
        <v>72485</v>
      </c>
      <c r="C357" s="22" t="s">
        <v>164</v>
      </c>
      <c r="D357" s="85">
        <v>1</v>
      </c>
      <c r="E357" s="87" t="s">
        <v>438</v>
      </c>
      <c r="F357" s="85"/>
      <c r="G357" s="22" t="s">
        <v>911</v>
      </c>
      <c r="H357" s="88">
        <v>45825</v>
      </c>
      <c r="I357" s="60">
        <v>8</v>
      </c>
      <c r="J357" s="22" t="s">
        <v>439</v>
      </c>
      <c r="K357" s="63">
        <v>13575</v>
      </c>
      <c r="L357" s="60" t="s">
        <v>423</v>
      </c>
      <c r="M357" s="89"/>
      <c r="N357" s="60"/>
      <c r="O357" s="90"/>
      <c r="P357" s="91">
        <v>45897</v>
      </c>
      <c r="Q357" s="92"/>
      <c r="R357" s="68" t="str">
        <f t="shared" si="8"/>
        <v/>
      </c>
      <c r="S357" s="22"/>
    </row>
    <row r="358" spans="1:19" ht="18" customHeight="1">
      <c r="A358" s="85"/>
      <c r="B358" s="86"/>
      <c r="C358" s="22"/>
      <c r="D358" s="85"/>
      <c r="E358" s="87"/>
      <c r="F358" s="85"/>
      <c r="G358" s="22"/>
      <c r="H358" s="88"/>
      <c r="J358" s="22"/>
      <c r="M358" s="89"/>
      <c r="N358" s="60"/>
      <c r="O358" s="90"/>
      <c r="P358" s="91"/>
      <c r="Q358" s="92"/>
      <c r="R358" s="68" t="str">
        <f t="shared" si="8"/>
        <v/>
      </c>
      <c r="S358" s="22"/>
    </row>
    <row r="359" spans="1:19" ht="18" customHeight="1">
      <c r="A359" s="85">
        <v>38925</v>
      </c>
      <c r="B359" s="86">
        <v>72487</v>
      </c>
      <c r="C359" s="22" t="s">
        <v>167</v>
      </c>
      <c r="D359" s="85">
        <v>1</v>
      </c>
      <c r="E359" s="87" t="s">
        <v>994</v>
      </c>
      <c r="F359" s="85"/>
      <c r="G359" s="22" t="s">
        <v>995</v>
      </c>
      <c r="H359" s="88">
        <v>45828</v>
      </c>
      <c r="I359" s="60">
        <v>1</v>
      </c>
      <c r="J359" s="22" t="s">
        <v>996</v>
      </c>
      <c r="K359" s="63">
        <v>2808.5</v>
      </c>
      <c r="L359" s="60">
        <v>280102956</v>
      </c>
      <c r="M359" s="89">
        <v>44556</v>
      </c>
      <c r="N359" s="60">
        <v>1</v>
      </c>
      <c r="O359" s="90">
        <v>52840</v>
      </c>
      <c r="P359" s="91">
        <v>45831</v>
      </c>
      <c r="Q359" s="92">
        <v>45842</v>
      </c>
      <c r="R359" s="68">
        <f t="shared" si="8"/>
        <v>11</v>
      </c>
      <c r="S359" s="22"/>
    </row>
    <row r="360" spans="1:19" ht="18" customHeight="1">
      <c r="A360" s="85"/>
      <c r="B360" s="86"/>
      <c r="C360" s="22"/>
      <c r="D360" s="85"/>
      <c r="E360" s="87"/>
      <c r="F360" s="85"/>
      <c r="G360" s="22"/>
      <c r="H360" s="88"/>
      <c r="J360" s="22"/>
      <c r="M360" s="89"/>
      <c r="N360" s="60"/>
      <c r="O360" s="90"/>
      <c r="P360" s="91"/>
      <c r="Q360" s="92"/>
      <c r="R360" s="68" t="str">
        <f t="shared" si="8"/>
        <v/>
      </c>
      <c r="S360" s="22"/>
    </row>
    <row r="361" spans="1:19" ht="18" customHeight="1">
      <c r="A361" s="85">
        <v>38926</v>
      </c>
      <c r="B361" s="86">
        <v>72488</v>
      </c>
      <c r="C361" s="22" t="s">
        <v>164</v>
      </c>
      <c r="D361" s="85">
        <v>1</v>
      </c>
      <c r="E361" s="87">
        <v>700460807</v>
      </c>
      <c r="F361" s="85" t="s">
        <v>983</v>
      </c>
      <c r="G361" s="22" t="s">
        <v>883</v>
      </c>
      <c r="H361" s="88">
        <v>45831</v>
      </c>
      <c r="I361" s="60">
        <v>1</v>
      </c>
      <c r="J361" s="22" t="s">
        <v>441</v>
      </c>
      <c r="K361" s="63">
        <v>1925</v>
      </c>
      <c r="L361" s="60" t="s">
        <v>440</v>
      </c>
      <c r="M361" s="89"/>
      <c r="N361" s="60"/>
      <c r="O361" s="90"/>
      <c r="P361" s="91">
        <v>45860</v>
      </c>
      <c r="Q361" s="92"/>
      <c r="R361" s="68" t="str">
        <f t="shared" si="8"/>
        <v/>
      </c>
      <c r="S361" s="22"/>
    </row>
    <row r="362" spans="1:19" ht="18" customHeight="1">
      <c r="A362" s="85">
        <v>38926</v>
      </c>
      <c r="B362" s="86">
        <v>72489</v>
      </c>
      <c r="C362" s="22" t="s">
        <v>164</v>
      </c>
      <c r="D362" s="85">
        <v>1</v>
      </c>
      <c r="E362" s="87">
        <v>700465242</v>
      </c>
      <c r="F362" s="85" t="s">
        <v>983</v>
      </c>
      <c r="G362" s="22" t="s">
        <v>883</v>
      </c>
      <c r="H362" s="88">
        <v>45831</v>
      </c>
      <c r="I362" s="60">
        <v>2</v>
      </c>
      <c r="J362" s="22" t="s">
        <v>442</v>
      </c>
      <c r="K362" s="63">
        <v>5970</v>
      </c>
      <c r="L362" s="60" t="s">
        <v>440</v>
      </c>
      <c r="M362" s="89"/>
      <c r="N362" s="60"/>
      <c r="O362" s="90"/>
      <c r="P362" s="91">
        <v>45863</v>
      </c>
      <c r="Q362" s="92"/>
      <c r="R362" s="68" t="str">
        <f t="shared" si="8"/>
        <v/>
      </c>
      <c r="S362" s="22"/>
    </row>
    <row r="363" spans="1:19" ht="18" customHeight="1">
      <c r="A363" s="85"/>
      <c r="B363" s="86"/>
      <c r="C363" s="22"/>
      <c r="D363" s="85"/>
      <c r="E363" s="87"/>
      <c r="F363" s="85"/>
      <c r="G363" s="22"/>
      <c r="H363" s="88"/>
      <c r="J363" s="22"/>
      <c r="M363" s="89"/>
      <c r="N363" s="60"/>
      <c r="O363" s="90"/>
      <c r="P363" s="91"/>
      <c r="Q363" s="92"/>
      <c r="R363" s="68" t="str">
        <f t="shared" si="8"/>
        <v/>
      </c>
      <c r="S363" s="22"/>
    </row>
    <row r="364" spans="1:19" ht="18" customHeight="1">
      <c r="A364" s="85">
        <v>38927</v>
      </c>
      <c r="B364" s="86">
        <v>72490</v>
      </c>
      <c r="C364" s="22" t="s">
        <v>445</v>
      </c>
      <c r="D364" s="85" t="s">
        <v>446</v>
      </c>
      <c r="E364" s="87" t="s">
        <v>443</v>
      </c>
      <c r="F364" s="85"/>
      <c r="G364" s="22" t="s">
        <v>997</v>
      </c>
      <c r="H364" s="88">
        <v>45831</v>
      </c>
      <c r="I364" s="60" t="s">
        <v>998</v>
      </c>
      <c r="J364" s="22" t="s">
        <v>999</v>
      </c>
      <c r="K364" s="63" t="s">
        <v>1000</v>
      </c>
      <c r="L364" s="60">
        <v>721700</v>
      </c>
      <c r="M364" s="89"/>
      <c r="N364" s="60"/>
      <c r="O364" s="90"/>
      <c r="P364" s="91">
        <v>45898</v>
      </c>
      <c r="Q364" s="92"/>
      <c r="R364" s="68" t="str">
        <f t="shared" si="8"/>
        <v/>
      </c>
      <c r="S364" s="22"/>
    </row>
    <row r="365" spans="1:19" ht="18" customHeight="1">
      <c r="A365" s="85">
        <v>38927</v>
      </c>
      <c r="B365" s="86">
        <v>72490</v>
      </c>
      <c r="C365" s="22" t="s">
        <v>445</v>
      </c>
      <c r="D365" s="85" t="s">
        <v>446</v>
      </c>
      <c r="E365" s="87" t="s">
        <v>447</v>
      </c>
      <c r="F365" s="85"/>
      <c r="G365" s="22" t="s">
        <v>997</v>
      </c>
      <c r="H365" s="88">
        <v>45831</v>
      </c>
      <c r="I365" s="60" t="s">
        <v>1001</v>
      </c>
      <c r="J365" s="22" t="s">
        <v>1002</v>
      </c>
      <c r="K365" s="63" t="s">
        <v>1003</v>
      </c>
      <c r="L365" s="60">
        <v>721700</v>
      </c>
      <c r="M365" s="89"/>
      <c r="N365" s="60"/>
      <c r="O365" s="90"/>
      <c r="P365" s="91">
        <v>45898</v>
      </c>
      <c r="Q365" s="92"/>
      <c r="R365" s="68" t="str">
        <f t="shared" si="8"/>
        <v/>
      </c>
      <c r="S365" s="22"/>
    </row>
    <row r="366" spans="1:19" ht="18" customHeight="1">
      <c r="A366" s="85">
        <v>38927</v>
      </c>
      <c r="B366" s="86">
        <v>72490</v>
      </c>
      <c r="C366" s="22" t="s">
        <v>445</v>
      </c>
      <c r="D366" s="85" t="s">
        <v>450</v>
      </c>
      <c r="E366" s="87" t="s">
        <v>447</v>
      </c>
      <c r="F366" s="85"/>
      <c r="G366" s="22" t="s">
        <v>997</v>
      </c>
      <c r="H366" s="88">
        <v>45831</v>
      </c>
      <c r="I366" s="60" t="s">
        <v>989</v>
      </c>
      <c r="J366" s="22" t="s">
        <v>1004</v>
      </c>
      <c r="K366" s="63" t="s">
        <v>1005</v>
      </c>
      <c r="L366" s="60">
        <v>721700</v>
      </c>
      <c r="M366" s="89"/>
      <c r="N366" s="60"/>
      <c r="O366" s="90"/>
      <c r="P366" s="91">
        <v>45898</v>
      </c>
      <c r="Q366" s="92"/>
      <c r="R366" s="68" t="str">
        <f t="shared" si="8"/>
        <v/>
      </c>
      <c r="S366" s="22"/>
    </row>
    <row r="367" spans="1:19" ht="18" customHeight="1">
      <c r="A367" s="85"/>
      <c r="B367" s="86"/>
      <c r="C367" s="22"/>
      <c r="D367" s="85"/>
      <c r="E367" s="87"/>
      <c r="F367" s="85"/>
      <c r="G367" s="22"/>
      <c r="H367" s="88"/>
      <c r="J367" s="22"/>
      <c r="M367" s="89"/>
      <c r="N367" s="60"/>
      <c r="O367" s="90"/>
      <c r="P367" s="91"/>
      <c r="Q367" s="92"/>
      <c r="R367" s="68" t="str">
        <f t="shared" si="8"/>
        <v/>
      </c>
      <c r="S367" s="22"/>
    </row>
    <row r="368" spans="1:19" ht="18" customHeight="1">
      <c r="A368" s="85">
        <v>38928</v>
      </c>
      <c r="B368" s="86">
        <v>72491</v>
      </c>
      <c r="C368" s="22" t="s">
        <v>453</v>
      </c>
      <c r="D368" s="85">
        <v>1</v>
      </c>
      <c r="E368" s="87" t="s">
        <v>451</v>
      </c>
      <c r="F368" s="85"/>
      <c r="G368" s="22" t="s">
        <v>1006</v>
      </c>
      <c r="H368" s="88">
        <v>45832</v>
      </c>
      <c r="I368" s="60">
        <v>1</v>
      </c>
      <c r="J368" s="22" t="s">
        <v>452</v>
      </c>
      <c r="K368" s="63">
        <v>2307</v>
      </c>
      <c r="L368" s="60">
        <v>1114013</v>
      </c>
      <c r="M368" s="89">
        <v>44579</v>
      </c>
      <c r="N368" s="60">
        <v>1</v>
      </c>
      <c r="O368" s="90">
        <v>52843</v>
      </c>
      <c r="P368" s="91">
        <v>45884</v>
      </c>
      <c r="Q368" s="92">
        <v>45846</v>
      </c>
      <c r="R368" s="68">
        <f t="shared" si="8"/>
        <v>-38</v>
      </c>
      <c r="S368" s="22"/>
    </row>
    <row r="369" spans="1:19" ht="18" customHeight="1">
      <c r="A369" s="85"/>
      <c r="B369" s="86"/>
      <c r="C369" s="22"/>
      <c r="D369" s="85"/>
      <c r="E369" s="87"/>
      <c r="F369" s="85"/>
      <c r="G369" s="22"/>
      <c r="H369" s="88"/>
      <c r="J369" s="22"/>
      <c r="M369" s="89"/>
      <c r="N369" s="60"/>
      <c r="O369" s="90"/>
      <c r="P369" s="91"/>
      <c r="Q369" s="92"/>
      <c r="R369" s="68" t="str">
        <f t="shared" si="8"/>
        <v/>
      </c>
      <c r="S369" s="22"/>
    </row>
    <row r="370" spans="1:19" ht="18" customHeight="1">
      <c r="A370" s="85">
        <v>38929</v>
      </c>
      <c r="B370" s="86">
        <v>72492</v>
      </c>
      <c r="C370" s="22" t="s">
        <v>164</v>
      </c>
      <c r="D370" s="85">
        <v>4</v>
      </c>
      <c r="E370" s="87">
        <v>700614242</v>
      </c>
      <c r="F370" s="85" t="s">
        <v>983</v>
      </c>
      <c r="G370" s="22" t="s">
        <v>917</v>
      </c>
      <c r="H370" s="88">
        <v>45832</v>
      </c>
      <c r="I370" s="60">
        <v>1</v>
      </c>
      <c r="J370" s="22" t="s">
        <v>455</v>
      </c>
      <c r="K370" s="63">
        <v>1940</v>
      </c>
      <c r="L370" s="60" t="s">
        <v>454</v>
      </c>
      <c r="M370" s="89"/>
      <c r="N370" s="60"/>
      <c r="O370" s="90"/>
      <c r="P370" s="91">
        <v>45859</v>
      </c>
      <c r="Q370" s="92"/>
      <c r="R370" s="68" t="str">
        <f t="shared" si="8"/>
        <v/>
      </c>
      <c r="S370" s="22"/>
    </row>
    <row r="371" spans="1:19" ht="18" customHeight="1">
      <c r="A371" s="85">
        <v>38929</v>
      </c>
      <c r="B371" s="86">
        <v>72493</v>
      </c>
      <c r="C371" s="22" t="s">
        <v>164</v>
      </c>
      <c r="D371" s="85">
        <v>2</v>
      </c>
      <c r="E371" s="87">
        <v>700470628</v>
      </c>
      <c r="F371" s="85" t="s">
        <v>983</v>
      </c>
      <c r="G371" s="22" t="s">
        <v>917</v>
      </c>
      <c r="H371" s="88">
        <v>45832</v>
      </c>
      <c r="I371" s="60">
        <v>2</v>
      </c>
      <c r="J371" s="22" t="s">
        <v>456</v>
      </c>
      <c r="K371" s="63">
        <v>2118</v>
      </c>
      <c r="L371" s="60" t="s">
        <v>454</v>
      </c>
      <c r="M371" s="89"/>
      <c r="N371" s="60"/>
      <c r="O371" s="90"/>
      <c r="P371" s="91">
        <v>45859</v>
      </c>
      <c r="Q371" s="92"/>
      <c r="R371" s="68" t="str">
        <f t="shared" si="8"/>
        <v/>
      </c>
      <c r="S371" s="22"/>
    </row>
    <row r="372" spans="1:19" ht="18" customHeight="1">
      <c r="A372" s="85"/>
      <c r="B372" s="86"/>
      <c r="C372" s="22"/>
      <c r="D372" s="85"/>
      <c r="E372" s="87"/>
      <c r="F372" s="85"/>
      <c r="G372" s="22"/>
      <c r="H372" s="88"/>
      <c r="J372" s="22"/>
      <c r="M372" s="89"/>
      <c r="N372" s="60"/>
      <c r="O372" s="90"/>
      <c r="P372" s="91"/>
      <c r="Q372" s="92"/>
      <c r="R372" s="68" t="str">
        <f t="shared" si="8"/>
        <v/>
      </c>
      <c r="S372" s="22"/>
    </row>
    <row r="373" spans="1:19" ht="18" customHeight="1">
      <c r="A373" s="85">
        <v>38930</v>
      </c>
      <c r="B373" s="86">
        <v>72495</v>
      </c>
      <c r="C373" s="22" t="s">
        <v>164</v>
      </c>
      <c r="D373" s="85">
        <v>1</v>
      </c>
      <c r="E373" s="87">
        <v>700657767</v>
      </c>
      <c r="F373" s="85" t="s">
        <v>983</v>
      </c>
      <c r="G373" s="22" t="s">
        <v>883</v>
      </c>
      <c r="H373" s="88">
        <v>45834</v>
      </c>
      <c r="I373" s="60">
        <v>1</v>
      </c>
      <c r="J373" s="22" t="s">
        <v>458</v>
      </c>
      <c r="K373" s="63">
        <v>9618</v>
      </c>
      <c r="L373" s="60" t="s">
        <v>457</v>
      </c>
      <c r="M373" s="89"/>
      <c r="N373" s="60"/>
      <c r="O373" s="90"/>
      <c r="P373" s="91">
        <v>45875</v>
      </c>
      <c r="Q373" s="92"/>
      <c r="R373" s="68" t="str">
        <f t="shared" si="8"/>
        <v/>
      </c>
      <c r="S373" s="22"/>
    </row>
    <row r="374" spans="1:19" ht="18" customHeight="1">
      <c r="A374" s="85"/>
      <c r="B374" s="86"/>
      <c r="C374" s="22"/>
      <c r="D374" s="85"/>
      <c r="E374" s="87"/>
      <c r="F374" s="85"/>
      <c r="G374" s="22"/>
      <c r="H374" s="88"/>
      <c r="J374" s="22"/>
      <c r="M374" s="89"/>
      <c r="N374" s="60"/>
      <c r="O374" s="90"/>
      <c r="P374" s="91"/>
      <c r="Q374" s="92"/>
      <c r="R374" s="68" t="str">
        <f t="shared" si="8"/>
        <v/>
      </c>
      <c r="S374" s="22"/>
    </row>
    <row r="375" spans="1:19" ht="18" customHeight="1">
      <c r="A375" s="85">
        <v>38931</v>
      </c>
      <c r="B375" s="86">
        <v>72496</v>
      </c>
      <c r="C375" s="22" t="s">
        <v>49</v>
      </c>
      <c r="D375" s="85">
        <v>2</v>
      </c>
      <c r="E375" s="87" t="s">
        <v>459</v>
      </c>
      <c r="F375" s="85"/>
      <c r="G375" s="22" t="s">
        <v>1007</v>
      </c>
      <c r="H375" s="88">
        <v>45834</v>
      </c>
      <c r="I375" s="60">
        <v>1</v>
      </c>
      <c r="J375" s="22" t="s">
        <v>460</v>
      </c>
      <c r="K375" s="63">
        <v>855</v>
      </c>
      <c r="L375" s="60">
        <v>3739266</v>
      </c>
      <c r="M375" s="89">
        <v>44572</v>
      </c>
      <c r="N375" s="60">
        <v>2</v>
      </c>
      <c r="O375" s="90">
        <v>52836</v>
      </c>
      <c r="P375" s="91">
        <v>45855</v>
      </c>
      <c r="Q375" s="92">
        <v>45841</v>
      </c>
      <c r="R375" s="68">
        <f t="shared" si="8"/>
        <v>-14</v>
      </c>
      <c r="S375" s="22"/>
    </row>
    <row r="376" spans="1:19" ht="18" customHeight="1">
      <c r="A376" s="85"/>
      <c r="B376" s="86"/>
      <c r="C376" s="22"/>
      <c r="D376" s="85"/>
      <c r="E376" s="87"/>
      <c r="F376" s="85"/>
      <c r="G376" s="22"/>
      <c r="H376" s="88"/>
      <c r="J376" s="22"/>
      <c r="M376" s="89"/>
      <c r="N376" s="60"/>
      <c r="O376" s="90"/>
      <c r="P376" s="91"/>
      <c r="Q376" s="92"/>
      <c r="R376" s="68" t="str">
        <f t="shared" si="8"/>
        <v/>
      </c>
      <c r="S376" s="22"/>
    </row>
    <row r="377" spans="1:19" ht="18" customHeight="1">
      <c r="A377" s="85">
        <v>38932</v>
      </c>
      <c r="B377" s="86">
        <v>72497</v>
      </c>
      <c r="C377" s="22" t="s">
        <v>445</v>
      </c>
      <c r="D377" s="85">
        <v>170</v>
      </c>
      <c r="E377" s="87" t="s">
        <v>461</v>
      </c>
      <c r="F377" s="85"/>
      <c r="G377" s="22" t="s">
        <v>997</v>
      </c>
      <c r="H377" s="88">
        <v>45834</v>
      </c>
      <c r="I377" s="60">
        <v>1</v>
      </c>
      <c r="J377" s="22" t="s">
        <v>462</v>
      </c>
      <c r="K377" s="63">
        <v>26.31</v>
      </c>
      <c r="L377" s="60">
        <v>721701</v>
      </c>
      <c r="M377" s="89"/>
      <c r="N377" s="60"/>
      <c r="O377" s="90"/>
      <c r="P377" s="91">
        <v>45951</v>
      </c>
      <c r="Q377" s="92"/>
      <c r="R377" s="68" t="str">
        <f t="shared" si="8"/>
        <v/>
      </c>
      <c r="S377" s="22"/>
    </row>
    <row r="378" spans="1:19" ht="18" customHeight="1">
      <c r="A378" s="85">
        <v>38932</v>
      </c>
      <c r="B378" s="86">
        <v>72498</v>
      </c>
      <c r="C378" s="22" t="s">
        <v>445</v>
      </c>
      <c r="D378" s="85">
        <v>170</v>
      </c>
      <c r="E378" s="87" t="s">
        <v>463</v>
      </c>
      <c r="F378" s="85"/>
      <c r="G378" s="22" t="s">
        <v>997</v>
      </c>
      <c r="H378" s="88">
        <v>45834</v>
      </c>
      <c r="I378" s="60">
        <v>2</v>
      </c>
      <c r="J378" s="22" t="s">
        <v>464</v>
      </c>
      <c r="K378" s="63">
        <v>29.49</v>
      </c>
      <c r="L378" s="60">
        <v>721701</v>
      </c>
      <c r="M378" s="89"/>
      <c r="N378" s="60"/>
      <c r="O378" s="90"/>
      <c r="P378" s="91">
        <v>45951</v>
      </c>
      <c r="Q378" s="92"/>
      <c r="R378" s="68" t="str">
        <f t="shared" si="8"/>
        <v/>
      </c>
      <c r="S378" s="22"/>
    </row>
    <row r="379" spans="1:19" ht="18" customHeight="1">
      <c r="A379" s="85">
        <v>38932</v>
      </c>
      <c r="B379" s="86">
        <v>72499</v>
      </c>
      <c r="C379" s="22" t="s">
        <v>445</v>
      </c>
      <c r="D379" s="85">
        <v>350</v>
      </c>
      <c r="E379" s="87" t="s">
        <v>465</v>
      </c>
      <c r="F379" s="85"/>
      <c r="G379" s="22" t="s">
        <v>997</v>
      </c>
      <c r="H379" s="88">
        <v>45834</v>
      </c>
      <c r="I379" s="60">
        <v>3</v>
      </c>
      <c r="J379" s="22" t="s">
        <v>466</v>
      </c>
      <c r="K379" s="63">
        <v>28.04</v>
      </c>
      <c r="L379" s="60">
        <v>721701</v>
      </c>
      <c r="M379" s="89"/>
      <c r="N379" s="60"/>
      <c r="O379" s="90"/>
      <c r="P379" s="91">
        <v>45951</v>
      </c>
      <c r="Q379" s="92"/>
      <c r="R379" s="68" t="str">
        <f t="shared" si="8"/>
        <v/>
      </c>
      <c r="S379" s="22"/>
    </row>
    <row r="380" spans="1:19" ht="18" customHeight="1">
      <c r="A380" s="85">
        <v>38932</v>
      </c>
      <c r="B380" s="86">
        <v>72500</v>
      </c>
      <c r="C380" s="22" t="s">
        <v>445</v>
      </c>
      <c r="D380" s="85">
        <v>170</v>
      </c>
      <c r="E380" s="87" t="s">
        <v>467</v>
      </c>
      <c r="F380" s="85"/>
      <c r="G380" s="22" t="s">
        <v>997</v>
      </c>
      <c r="H380" s="88">
        <v>45834</v>
      </c>
      <c r="I380" s="60">
        <v>4</v>
      </c>
      <c r="J380" s="22" t="s">
        <v>468</v>
      </c>
      <c r="K380" s="63">
        <v>28.47</v>
      </c>
      <c r="L380" s="60">
        <v>721701</v>
      </c>
      <c r="M380" s="89"/>
      <c r="N380" s="60"/>
      <c r="O380" s="90"/>
      <c r="P380" s="91">
        <v>45951</v>
      </c>
      <c r="Q380" s="92"/>
      <c r="R380" s="68" t="str">
        <f t="shared" si="8"/>
        <v/>
      </c>
      <c r="S380" s="22"/>
    </row>
    <row r="381" spans="1:19" ht="18" customHeight="1">
      <c r="A381" s="85">
        <v>38932</v>
      </c>
      <c r="B381" s="86">
        <v>72501</v>
      </c>
      <c r="C381" s="22" t="s">
        <v>445</v>
      </c>
      <c r="D381" s="85">
        <v>350</v>
      </c>
      <c r="E381" s="87" t="s">
        <v>469</v>
      </c>
      <c r="F381" s="85"/>
      <c r="G381" s="22" t="s">
        <v>997</v>
      </c>
      <c r="H381" s="88">
        <v>45834</v>
      </c>
      <c r="I381" s="60">
        <v>5</v>
      </c>
      <c r="J381" s="22" t="s">
        <v>470</v>
      </c>
      <c r="K381" s="63">
        <v>1.88</v>
      </c>
      <c r="L381" s="60">
        <v>721701</v>
      </c>
      <c r="M381" s="89"/>
      <c r="N381" s="60"/>
      <c r="O381" s="90"/>
      <c r="P381" s="91">
        <v>45951</v>
      </c>
      <c r="Q381" s="92"/>
      <c r="R381" s="68" t="str">
        <f t="shared" si="8"/>
        <v/>
      </c>
      <c r="S381" s="22"/>
    </row>
    <row r="382" spans="1:19" ht="18" customHeight="1">
      <c r="A382" s="85">
        <v>38932</v>
      </c>
      <c r="B382" s="86">
        <v>72502</v>
      </c>
      <c r="C382" s="22" t="s">
        <v>445</v>
      </c>
      <c r="D382" s="85">
        <v>180</v>
      </c>
      <c r="E382" s="87" t="s">
        <v>471</v>
      </c>
      <c r="F382" s="85"/>
      <c r="G382" s="22" t="s">
        <v>997</v>
      </c>
      <c r="H382" s="88">
        <v>45834</v>
      </c>
      <c r="I382" s="60">
        <v>6</v>
      </c>
      <c r="J382" s="22" t="s">
        <v>464</v>
      </c>
      <c r="K382" s="63">
        <v>46.1</v>
      </c>
      <c r="L382" s="60">
        <v>721701</v>
      </c>
      <c r="M382" s="89"/>
      <c r="N382" s="60"/>
      <c r="O382" s="90"/>
      <c r="P382" s="91">
        <v>45951</v>
      </c>
      <c r="Q382" s="92"/>
      <c r="R382" s="68" t="str">
        <f t="shared" si="8"/>
        <v/>
      </c>
      <c r="S382" s="22"/>
    </row>
    <row r="383" spans="1:19" ht="18" customHeight="1">
      <c r="A383" s="85">
        <v>38932</v>
      </c>
      <c r="B383" s="86">
        <v>72503</v>
      </c>
      <c r="C383" s="22" t="s">
        <v>445</v>
      </c>
      <c r="D383" s="85">
        <v>180</v>
      </c>
      <c r="E383" s="87" t="s">
        <v>472</v>
      </c>
      <c r="F383" s="85"/>
      <c r="G383" s="22" t="s">
        <v>997</v>
      </c>
      <c r="H383" s="88">
        <v>45834</v>
      </c>
      <c r="I383" s="60">
        <v>7</v>
      </c>
      <c r="J383" s="22" t="s">
        <v>462</v>
      </c>
      <c r="K383" s="63">
        <v>64.59</v>
      </c>
      <c r="L383" s="60">
        <v>721701</v>
      </c>
      <c r="M383" s="89"/>
      <c r="N383" s="60"/>
      <c r="O383" s="90"/>
      <c r="P383" s="91">
        <v>45951</v>
      </c>
      <c r="Q383" s="92"/>
      <c r="R383" s="68" t="str">
        <f t="shared" si="8"/>
        <v/>
      </c>
      <c r="S383" s="22"/>
    </row>
    <row r="384" spans="1:19" ht="18" customHeight="1">
      <c r="A384" s="85"/>
      <c r="B384" s="86"/>
      <c r="C384" s="22"/>
      <c r="D384" s="85"/>
      <c r="E384" s="87"/>
      <c r="F384" s="85"/>
      <c r="G384" s="22"/>
      <c r="H384" s="88"/>
      <c r="J384" s="22"/>
      <c r="M384" s="89"/>
      <c r="N384" s="60"/>
      <c r="O384" s="90"/>
      <c r="P384" s="91"/>
      <c r="Q384" s="92"/>
      <c r="R384" s="68" t="str">
        <f t="shared" si="8"/>
        <v/>
      </c>
      <c r="S384" s="22"/>
    </row>
    <row r="385" spans="1:19" ht="18" customHeight="1">
      <c r="A385" s="85">
        <v>38933</v>
      </c>
      <c r="B385" s="86">
        <v>72504</v>
      </c>
      <c r="C385" s="22" t="s">
        <v>445</v>
      </c>
      <c r="D385" s="85">
        <v>350</v>
      </c>
      <c r="E385" s="87" t="s">
        <v>473</v>
      </c>
      <c r="F385" s="85"/>
      <c r="G385" s="22" t="s">
        <v>997</v>
      </c>
      <c r="H385" s="88">
        <v>45834</v>
      </c>
      <c r="I385" s="60">
        <v>1</v>
      </c>
      <c r="J385" s="22" t="s">
        <v>474</v>
      </c>
      <c r="K385" s="63">
        <v>7.77</v>
      </c>
      <c r="L385" s="60">
        <v>721704</v>
      </c>
      <c r="M385" s="89"/>
      <c r="N385" s="60"/>
      <c r="O385" s="90"/>
      <c r="P385" s="91">
        <v>45951</v>
      </c>
      <c r="Q385" s="92"/>
      <c r="R385" s="68" t="str">
        <f t="shared" si="8"/>
        <v/>
      </c>
      <c r="S385" s="22"/>
    </row>
    <row r="386" spans="1:19" ht="18" customHeight="1">
      <c r="A386" s="85">
        <v>38933</v>
      </c>
      <c r="B386" s="86">
        <v>72505</v>
      </c>
      <c r="C386" s="22" t="s">
        <v>445</v>
      </c>
      <c r="D386" s="85" t="s">
        <v>477</v>
      </c>
      <c r="E386" s="87" t="s">
        <v>475</v>
      </c>
      <c r="F386" s="85"/>
      <c r="G386" s="22" t="s">
        <v>997</v>
      </c>
      <c r="H386" s="88">
        <v>45834</v>
      </c>
      <c r="I386" s="60" t="s">
        <v>1008</v>
      </c>
      <c r="J386" s="22" t="s">
        <v>476</v>
      </c>
      <c r="K386" s="63" t="s">
        <v>1009</v>
      </c>
      <c r="L386" s="60">
        <v>721704</v>
      </c>
      <c r="M386" s="89"/>
      <c r="N386" s="60"/>
      <c r="O386" s="90"/>
      <c r="P386" s="91">
        <v>45951</v>
      </c>
      <c r="Q386" s="92"/>
      <c r="R386" s="68" t="str">
        <f t="shared" si="8"/>
        <v/>
      </c>
      <c r="S386" s="22"/>
    </row>
    <row r="387" spans="1:19" ht="18" customHeight="1">
      <c r="A387" s="85">
        <v>38933</v>
      </c>
      <c r="B387" s="86">
        <v>72506</v>
      </c>
      <c r="C387" s="22" t="s">
        <v>445</v>
      </c>
      <c r="D387" s="85">
        <v>170</v>
      </c>
      <c r="E387" s="87" t="s">
        <v>478</v>
      </c>
      <c r="F387" s="85"/>
      <c r="G387" s="22" t="s">
        <v>997</v>
      </c>
      <c r="H387" s="88">
        <v>45834</v>
      </c>
      <c r="I387" s="60">
        <v>4</v>
      </c>
      <c r="J387" s="22" t="s">
        <v>479</v>
      </c>
      <c r="K387" s="63">
        <v>22.85</v>
      </c>
      <c r="L387" s="60">
        <v>721704</v>
      </c>
      <c r="M387" s="89"/>
      <c r="N387" s="60"/>
      <c r="O387" s="90"/>
      <c r="P387" s="91">
        <v>45951</v>
      </c>
      <c r="Q387" s="92"/>
      <c r="R387" s="68" t="str">
        <f t="shared" si="8"/>
        <v/>
      </c>
      <c r="S387" s="22"/>
    </row>
    <row r="388" spans="1:19" ht="18" customHeight="1">
      <c r="A388" s="85">
        <v>38933</v>
      </c>
      <c r="B388" s="86">
        <v>72507</v>
      </c>
      <c r="C388" s="22" t="s">
        <v>445</v>
      </c>
      <c r="D388" s="85">
        <v>170</v>
      </c>
      <c r="E388" s="87" t="s">
        <v>480</v>
      </c>
      <c r="F388" s="85"/>
      <c r="G388" s="22" t="s">
        <v>997</v>
      </c>
      <c r="H388" s="88">
        <v>45834</v>
      </c>
      <c r="I388" s="60">
        <v>5</v>
      </c>
      <c r="J388" s="22" t="s">
        <v>481</v>
      </c>
      <c r="K388" s="63">
        <v>29.22</v>
      </c>
      <c r="L388" s="60">
        <v>721704</v>
      </c>
      <c r="M388" s="89"/>
      <c r="N388" s="60"/>
      <c r="O388" s="90"/>
      <c r="P388" s="91">
        <v>45951</v>
      </c>
      <c r="Q388" s="92"/>
      <c r="R388" s="68" t="str">
        <f t="shared" si="8"/>
        <v/>
      </c>
      <c r="S388" s="22"/>
    </row>
    <row r="389" spans="1:19" ht="18" customHeight="1">
      <c r="A389" s="85">
        <v>38933</v>
      </c>
      <c r="B389" s="86">
        <v>72508</v>
      </c>
      <c r="C389" s="22" t="s">
        <v>445</v>
      </c>
      <c r="D389" s="85">
        <v>340</v>
      </c>
      <c r="E389" s="87" t="s">
        <v>482</v>
      </c>
      <c r="F389" s="85"/>
      <c r="G389" s="22" t="s">
        <v>997</v>
      </c>
      <c r="H389" s="88">
        <v>45834</v>
      </c>
      <c r="I389" s="60">
        <v>6</v>
      </c>
      <c r="J389" s="22" t="s">
        <v>483</v>
      </c>
      <c r="K389" s="63">
        <v>8.57</v>
      </c>
      <c r="L389" s="60">
        <v>721704</v>
      </c>
      <c r="M389" s="89"/>
      <c r="N389" s="60"/>
      <c r="O389" s="90"/>
      <c r="P389" s="91">
        <v>45951</v>
      </c>
      <c r="Q389" s="92"/>
      <c r="R389" s="68" t="str">
        <f t="shared" si="8"/>
        <v/>
      </c>
      <c r="S389" s="22"/>
    </row>
    <row r="390" spans="1:19" ht="18" customHeight="1">
      <c r="A390" s="85">
        <v>38933</v>
      </c>
      <c r="B390" s="86">
        <v>72509</v>
      </c>
      <c r="C390" s="22" t="s">
        <v>445</v>
      </c>
      <c r="D390" s="85">
        <v>690</v>
      </c>
      <c r="E390" s="87" t="s">
        <v>484</v>
      </c>
      <c r="F390" s="85"/>
      <c r="G390" s="22" t="s">
        <v>997</v>
      </c>
      <c r="H390" s="88">
        <v>45834</v>
      </c>
      <c r="I390" s="60">
        <v>7</v>
      </c>
      <c r="J390" s="22" t="s">
        <v>485</v>
      </c>
      <c r="K390" s="63">
        <v>6.65</v>
      </c>
      <c r="L390" s="60">
        <v>721704</v>
      </c>
      <c r="M390" s="89"/>
      <c r="N390" s="60"/>
      <c r="O390" s="90"/>
      <c r="P390" s="91">
        <v>45951</v>
      </c>
      <c r="Q390" s="92"/>
      <c r="R390" s="68" t="str">
        <f t="shared" si="8"/>
        <v/>
      </c>
      <c r="S390" s="22"/>
    </row>
    <row r="391" spans="1:19" ht="18" customHeight="1">
      <c r="A391" s="85">
        <v>38933</v>
      </c>
      <c r="B391" s="86">
        <v>72510</v>
      </c>
      <c r="C391" s="22" t="s">
        <v>445</v>
      </c>
      <c r="D391" s="85">
        <v>350</v>
      </c>
      <c r="E391" s="87" t="s">
        <v>486</v>
      </c>
      <c r="F391" s="85"/>
      <c r="G391" s="22" t="s">
        <v>997</v>
      </c>
      <c r="H391" s="88">
        <v>45834</v>
      </c>
      <c r="I391" s="60">
        <v>8</v>
      </c>
      <c r="J391" s="22" t="s">
        <v>485</v>
      </c>
      <c r="K391" s="63">
        <v>8.3699999999999992</v>
      </c>
      <c r="L391" s="60">
        <v>721704</v>
      </c>
      <c r="M391" s="89"/>
      <c r="N391" s="60"/>
      <c r="O391" s="90"/>
      <c r="P391" s="91">
        <v>45951</v>
      </c>
      <c r="Q391" s="92"/>
      <c r="R391" s="68" t="str">
        <f t="shared" si="8"/>
        <v/>
      </c>
      <c r="S391" s="22"/>
    </row>
    <row r="392" spans="1:19" ht="18" customHeight="1">
      <c r="A392" s="85">
        <v>38933</v>
      </c>
      <c r="B392" s="86">
        <v>72511</v>
      </c>
      <c r="C392" s="22" t="s">
        <v>445</v>
      </c>
      <c r="D392" s="233" t="s">
        <v>489</v>
      </c>
      <c r="E392" s="87" t="s">
        <v>487</v>
      </c>
      <c r="F392" s="85"/>
      <c r="G392" s="22" t="s">
        <v>997</v>
      </c>
      <c r="H392" s="88">
        <v>45834</v>
      </c>
      <c r="I392" s="60" t="s">
        <v>1010</v>
      </c>
      <c r="J392" s="22" t="s">
        <v>488</v>
      </c>
      <c r="K392" s="63" t="s">
        <v>1011</v>
      </c>
      <c r="L392" s="60">
        <v>721704</v>
      </c>
      <c r="M392" s="89"/>
      <c r="N392" s="60"/>
      <c r="O392" s="90"/>
      <c r="P392" s="91">
        <v>45951</v>
      </c>
      <c r="Q392" s="92"/>
      <c r="R392" s="68" t="str">
        <f t="shared" si="8"/>
        <v/>
      </c>
      <c r="S392" s="22"/>
    </row>
    <row r="393" spans="1:19" ht="18" customHeight="1">
      <c r="A393" s="85">
        <v>38933</v>
      </c>
      <c r="B393" s="86">
        <v>72512</v>
      </c>
      <c r="C393" s="22" t="s">
        <v>445</v>
      </c>
      <c r="D393" s="85">
        <v>1380</v>
      </c>
      <c r="E393" s="87" t="s">
        <v>490</v>
      </c>
      <c r="F393" s="85"/>
      <c r="G393" s="22" t="s">
        <v>997</v>
      </c>
      <c r="H393" s="88">
        <v>45834</v>
      </c>
      <c r="I393" s="60">
        <v>11</v>
      </c>
      <c r="J393" s="22" t="s">
        <v>491</v>
      </c>
      <c r="K393" s="63">
        <v>4.5599999999999996</v>
      </c>
      <c r="L393" s="60">
        <v>721704</v>
      </c>
      <c r="M393" s="89"/>
      <c r="N393" s="60"/>
      <c r="O393" s="90"/>
      <c r="P393" s="91">
        <v>45951</v>
      </c>
      <c r="Q393" s="92"/>
      <c r="R393" s="68" t="str">
        <f t="shared" si="8"/>
        <v/>
      </c>
      <c r="S393" s="22"/>
    </row>
    <row r="394" spans="1:19" ht="18" customHeight="1">
      <c r="A394" s="85">
        <v>38933</v>
      </c>
      <c r="B394" s="86">
        <v>72513</v>
      </c>
      <c r="C394" s="22" t="s">
        <v>445</v>
      </c>
      <c r="D394" s="85">
        <v>350</v>
      </c>
      <c r="E394" s="87" t="s">
        <v>492</v>
      </c>
      <c r="F394" s="85"/>
      <c r="G394" s="22" t="s">
        <v>997</v>
      </c>
      <c r="H394" s="88">
        <v>45834</v>
      </c>
      <c r="I394" s="60">
        <v>13</v>
      </c>
      <c r="J394" s="22" t="s">
        <v>493</v>
      </c>
      <c r="K394" s="63">
        <v>15.9</v>
      </c>
      <c r="L394" s="60">
        <v>721704</v>
      </c>
      <c r="M394" s="89"/>
      <c r="N394" s="60"/>
      <c r="O394" s="90"/>
      <c r="P394" s="91">
        <v>45951</v>
      </c>
      <c r="Q394" s="92"/>
      <c r="R394" s="68" t="str">
        <f t="shared" si="8"/>
        <v/>
      </c>
      <c r="S394" s="22"/>
    </row>
    <row r="395" spans="1:19" ht="18" customHeight="1">
      <c r="A395" s="85"/>
      <c r="B395" s="86"/>
      <c r="C395" s="22"/>
      <c r="D395" s="85"/>
      <c r="E395" s="87"/>
      <c r="F395" s="85"/>
      <c r="G395" s="22"/>
      <c r="H395" s="88"/>
      <c r="J395" s="22"/>
      <c r="M395" s="89"/>
      <c r="N395" s="60"/>
      <c r="O395" s="90"/>
      <c r="P395" s="91"/>
      <c r="Q395" s="92"/>
      <c r="R395" s="68" t="str">
        <f t="shared" si="8"/>
        <v/>
      </c>
      <c r="S395" s="22"/>
    </row>
    <row r="396" spans="1:19" ht="18" customHeight="1">
      <c r="A396" s="85">
        <v>38934</v>
      </c>
      <c r="B396" s="86">
        <v>72514</v>
      </c>
      <c r="C396" s="22" t="s">
        <v>445</v>
      </c>
      <c r="D396" s="85">
        <v>350</v>
      </c>
      <c r="E396" s="87" t="s">
        <v>494</v>
      </c>
      <c r="F396" s="85"/>
      <c r="G396" s="22" t="s">
        <v>997</v>
      </c>
      <c r="H396" s="88">
        <v>45834</v>
      </c>
      <c r="I396" s="60">
        <v>1</v>
      </c>
      <c r="J396" s="22" t="s">
        <v>495</v>
      </c>
      <c r="K396" s="63">
        <v>38.93</v>
      </c>
      <c r="L396" s="60">
        <v>721733</v>
      </c>
      <c r="M396" s="89"/>
      <c r="N396" s="60"/>
      <c r="O396" s="90"/>
      <c r="P396" s="91">
        <v>45951</v>
      </c>
      <c r="Q396" s="92"/>
      <c r="R396" s="68" t="str">
        <f t="shared" si="8"/>
        <v/>
      </c>
      <c r="S396" s="22"/>
    </row>
    <row r="397" spans="1:19" ht="18" customHeight="1">
      <c r="A397" s="85">
        <v>38934</v>
      </c>
      <c r="B397" s="86">
        <v>72515</v>
      </c>
      <c r="C397" s="22" t="s">
        <v>445</v>
      </c>
      <c r="D397" s="85">
        <v>170</v>
      </c>
      <c r="E397" s="87" t="s">
        <v>496</v>
      </c>
      <c r="F397" s="85"/>
      <c r="G397" s="22" t="s">
        <v>997</v>
      </c>
      <c r="H397" s="88">
        <v>45834</v>
      </c>
      <c r="I397" s="60">
        <v>2</v>
      </c>
      <c r="J397" s="22" t="s">
        <v>497</v>
      </c>
      <c r="K397" s="63">
        <v>66.05</v>
      </c>
      <c r="L397" s="60">
        <v>721733</v>
      </c>
      <c r="M397" s="89"/>
      <c r="N397" s="60"/>
      <c r="O397" s="90"/>
      <c r="P397" s="91">
        <v>45951</v>
      </c>
      <c r="Q397" s="92"/>
      <c r="R397" s="68" t="str">
        <f t="shared" si="8"/>
        <v/>
      </c>
      <c r="S397" s="22"/>
    </row>
    <row r="398" spans="1:19" ht="18" customHeight="1">
      <c r="A398" s="85">
        <v>38934</v>
      </c>
      <c r="B398" s="86">
        <v>72516</v>
      </c>
      <c r="C398" s="22" t="s">
        <v>445</v>
      </c>
      <c r="D398" s="85">
        <v>180</v>
      </c>
      <c r="E398" s="87" t="s">
        <v>498</v>
      </c>
      <c r="F398" s="85"/>
      <c r="G398" s="22" t="s">
        <v>997</v>
      </c>
      <c r="H398" s="88">
        <v>45834</v>
      </c>
      <c r="I398" s="60">
        <v>3</v>
      </c>
      <c r="J398" s="22" t="s">
        <v>497</v>
      </c>
      <c r="K398" s="63">
        <v>72.33</v>
      </c>
      <c r="L398" s="60">
        <v>721733</v>
      </c>
      <c r="M398" s="89"/>
      <c r="N398" s="60"/>
      <c r="O398" s="90"/>
      <c r="P398" s="91">
        <v>45951</v>
      </c>
      <c r="Q398" s="92"/>
      <c r="R398" s="68" t="str">
        <f t="shared" si="8"/>
        <v/>
      </c>
      <c r="S398" s="22"/>
    </row>
    <row r="399" spans="1:19" ht="18" customHeight="1">
      <c r="A399" s="85"/>
      <c r="B399" s="86"/>
      <c r="C399" s="22"/>
      <c r="D399" s="85"/>
      <c r="E399" s="87"/>
      <c r="F399" s="85"/>
      <c r="G399" s="22"/>
      <c r="H399" s="88"/>
      <c r="J399" s="22"/>
      <c r="M399" s="89"/>
      <c r="N399" s="60"/>
      <c r="O399" s="90"/>
      <c r="P399" s="91"/>
      <c r="Q399" s="92"/>
      <c r="R399" s="68" t="str">
        <f t="shared" si="8"/>
        <v/>
      </c>
      <c r="S399" s="22"/>
    </row>
    <row r="400" spans="1:19" ht="18" customHeight="1">
      <c r="A400" s="85">
        <v>38935</v>
      </c>
      <c r="B400" s="86">
        <v>72517</v>
      </c>
      <c r="C400" s="22" t="s">
        <v>20</v>
      </c>
      <c r="D400" s="85">
        <v>3</v>
      </c>
      <c r="E400" s="87" t="s">
        <v>500</v>
      </c>
      <c r="F400" s="85"/>
      <c r="G400" s="206" t="s">
        <v>856</v>
      </c>
      <c r="H400" s="88">
        <v>45835</v>
      </c>
      <c r="I400" s="60">
        <v>1</v>
      </c>
      <c r="J400" s="22" t="s">
        <v>501</v>
      </c>
      <c r="K400" s="63">
        <v>253143</v>
      </c>
      <c r="L400" s="60" t="s">
        <v>1012</v>
      </c>
      <c r="M400" s="89"/>
      <c r="N400" s="60"/>
      <c r="O400" s="90"/>
      <c r="P400" s="91">
        <v>45978</v>
      </c>
      <c r="Q400" s="92"/>
      <c r="R400" s="68" t="str">
        <f t="shared" si="8"/>
        <v/>
      </c>
      <c r="S400" s="22"/>
    </row>
    <row r="401" spans="1:19" ht="18" customHeight="1">
      <c r="A401" s="85"/>
      <c r="B401" s="86"/>
      <c r="C401" s="22"/>
      <c r="D401" s="85"/>
      <c r="E401" s="87"/>
      <c r="F401" s="85"/>
      <c r="G401" s="22"/>
      <c r="H401" s="88"/>
      <c r="J401" s="22"/>
      <c r="M401" s="89"/>
      <c r="N401" s="60"/>
      <c r="O401" s="90"/>
      <c r="P401" s="91"/>
      <c r="Q401" s="92"/>
      <c r="R401" s="68" t="str">
        <f t="shared" ref="R401:R434" si="9">IF(SUM(Q401)&gt;0,SUM(Q401-P401),"")</f>
        <v/>
      </c>
      <c r="S401" s="22"/>
    </row>
    <row r="402" spans="1:19" ht="18" customHeight="1">
      <c r="A402" s="85">
        <v>38936</v>
      </c>
      <c r="B402" s="86">
        <v>72518</v>
      </c>
      <c r="C402" s="22" t="s">
        <v>1013</v>
      </c>
      <c r="D402" s="85">
        <v>1</v>
      </c>
      <c r="E402" s="87" t="s">
        <v>1014</v>
      </c>
      <c r="F402" s="85"/>
      <c r="G402" s="22" t="s">
        <v>1015</v>
      </c>
      <c r="H402" s="88">
        <v>45840</v>
      </c>
      <c r="I402" s="60">
        <v>10</v>
      </c>
      <c r="J402" s="22" t="s">
        <v>1016</v>
      </c>
      <c r="K402" s="63">
        <v>3750</v>
      </c>
      <c r="L402" s="60">
        <v>280102996</v>
      </c>
      <c r="M402" s="89">
        <v>44575</v>
      </c>
      <c r="N402" s="60">
        <v>1</v>
      </c>
      <c r="O402" s="90">
        <v>52842</v>
      </c>
      <c r="P402" s="91">
        <v>45838</v>
      </c>
      <c r="Q402" s="92">
        <v>45842</v>
      </c>
      <c r="R402" s="68">
        <f t="shared" si="9"/>
        <v>4</v>
      </c>
      <c r="S402" s="22"/>
    </row>
    <row r="403" spans="1:19" ht="18" customHeight="1">
      <c r="A403" s="85">
        <v>38936</v>
      </c>
      <c r="B403" s="86">
        <v>72519</v>
      </c>
      <c r="C403" s="22" t="s">
        <v>1013</v>
      </c>
      <c r="D403" s="85">
        <v>1</v>
      </c>
      <c r="E403" s="87" t="s">
        <v>1014</v>
      </c>
      <c r="F403" s="85"/>
      <c r="G403" s="22" t="s">
        <v>1015</v>
      </c>
      <c r="H403" s="88">
        <v>45840</v>
      </c>
      <c r="I403" s="60">
        <v>20</v>
      </c>
      <c r="J403" s="22" t="s">
        <v>1017</v>
      </c>
      <c r="K403" s="63">
        <v>3950</v>
      </c>
      <c r="L403" s="60">
        <v>280102996</v>
      </c>
      <c r="M403" s="89">
        <v>44575</v>
      </c>
      <c r="N403" s="60">
        <v>1</v>
      </c>
      <c r="O403" s="90">
        <v>52842</v>
      </c>
      <c r="P403" s="91">
        <v>45838</v>
      </c>
      <c r="Q403" s="92">
        <v>45842</v>
      </c>
      <c r="R403" s="68">
        <f t="shared" si="9"/>
        <v>4</v>
      </c>
      <c r="S403" s="22"/>
    </row>
    <row r="404" spans="1:19" ht="18" customHeight="1">
      <c r="A404" s="85"/>
      <c r="B404" s="86"/>
      <c r="C404" s="22"/>
      <c r="D404" s="85"/>
      <c r="E404" s="87"/>
      <c r="F404" s="85"/>
      <c r="G404" s="22"/>
      <c r="H404" s="88"/>
      <c r="J404" s="22"/>
      <c r="M404" s="89"/>
      <c r="N404" s="60"/>
      <c r="O404" s="90"/>
      <c r="P404" s="91"/>
      <c r="Q404" s="92"/>
      <c r="R404" s="68" t="str">
        <f t="shared" si="9"/>
        <v/>
      </c>
      <c r="S404" s="22"/>
    </row>
    <row r="405" spans="1:19" ht="18" customHeight="1">
      <c r="A405" s="85">
        <v>38937</v>
      </c>
      <c r="B405" s="86">
        <v>72520</v>
      </c>
      <c r="C405" s="22" t="s">
        <v>504</v>
      </c>
      <c r="D405" s="85">
        <v>3</v>
      </c>
      <c r="E405" s="87" t="s">
        <v>502</v>
      </c>
      <c r="F405" s="85"/>
      <c r="G405" s="22" t="s">
        <v>1018</v>
      </c>
      <c r="H405" s="88">
        <v>45841</v>
      </c>
      <c r="I405" s="60">
        <v>1</v>
      </c>
      <c r="J405" s="231" t="s">
        <v>503</v>
      </c>
      <c r="M405" s="89"/>
      <c r="N405" s="60"/>
      <c r="O405" s="90"/>
      <c r="P405" s="91">
        <v>45856</v>
      </c>
      <c r="Q405" s="92"/>
      <c r="R405" s="68" t="str">
        <f t="shared" si="9"/>
        <v/>
      </c>
      <c r="S405" s="22"/>
    </row>
    <row r="406" spans="1:19" ht="18" customHeight="1">
      <c r="A406" s="85">
        <v>38937</v>
      </c>
      <c r="B406" s="86">
        <v>72521</v>
      </c>
      <c r="C406" s="22" t="s">
        <v>504</v>
      </c>
      <c r="D406" s="85">
        <v>2</v>
      </c>
      <c r="E406" s="87" t="s">
        <v>505</v>
      </c>
      <c r="F406" s="85"/>
      <c r="G406" s="22" t="s">
        <v>1018</v>
      </c>
      <c r="H406" s="88">
        <v>45841</v>
      </c>
      <c r="I406" s="60">
        <v>2</v>
      </c>
      <c r="J406" s="22" t="s">
        <v>506</v>
      </c>
      <c r="M406" s="89"/>
      <c r="N406" s="60"/>
      <c r="O406" s="90"/>
      <c r="P406" s="91">
        <v>45856</v>
      </c>
      <c r="Q406" s="92"/>
      <c r="R406" s="68" t="str">
        <f t="shared" si="9"/>
        <v/>
      </c>
      <c r="S406" s="22"/>
    </row>
    <row r="407" spans="1:19" ht="18" customHeight="1">
      <c r="A407" s="85">
        <v>38937</v>
      </c>
      <c r="B407" s="86">
        <v>72522</v>
      </c>
      <c r="C407" s="22" t="s">
        <v>504</v>
      </c>
      <c r="D407" s="85">
        <v>2</v>
      </c>
      <c r="E407" s="87" t="s">
        <v>507</v>
      </c>
      <c r="F407" s="85"/>
      <c r="G407" s="22" t="s">
        <v>1018</v>
      </c>
      <c r="H407" s="88">
        <v>45841</v>
      </c>
      <c r="I407" s="60">
        <v>3</v>
      </c>
      <c r="J407" s="22" t="s">
        <v>508</v>
      </c>
      <c r="M407" s="89"/>
      <c r="N407" s="60"/>
      <c r="O407" s="90"/>
      <c r="P407" s="91">
        <v>45856</v>
      </c>
      <c r="Q407" s="92"/>
      <c r="R407" s="68" t="str">
        <f t="shared" si="9"/>
        <v/>
      </c>
      <c r="S407" s="22"/>
    </row>
    <row r="408" spans="1:19" ht="18" customHeight="1">
      <c r="A408" s="85"/>
      <c r="B408" s="86"/>
      <c r="C408" s="22"/>
      <c r="D408" s="85"/>
      <c r="E408" s="87"/>
      <c r="F408" s="85"/>
      <c r="G408" s="22"/>
      <c r="H408" s="88"/>
      <c r="J408" s="22"/>
      <c r="M408" s="89"/>
      <c r="N408" s="60"/>
      <c r="O408" s="90"/>
      <c r="P408" s="91"/>
      <c r="Q408" s="92"/>
      <c r="R408" s="68" t="str">
        <f t="shared" si="9"/>
        <v/>
      </c>
      <c r="S408" s="22"/>
    </row>
    <row r="409" spans="1:19" ht="18" customHeight="1">
      <c r="A409" s="85">
        <v>38938</v>
      </c>
      <c r="B409" s="86">
        <v>72523</v>
      </c>
      <c r="C409" s="22" t="s">
        <v>164</v>
      </c>
      <c r="D409" s="85">
        <v>4</v>
      </c>
      <c r="E409" s="87">
        <v>700673679</v>
      </c>
      <c r="F409" s="85" t="s">
        <v>983</v>
      </c>
      <c r="G409" s="22" t="s">
        <v>883</v>
      </c>
      <c r="H409" s="88">
        <v>45841</v>
      </c>
      <c r="I409" s="60">
        <v>1</v>
      </c>
      <c r="J409" s="22" t="s">
        <v>510</v>
      </c>
      <c r="K409" s="63">
        <v>890</v>
      </c>
      <c r="L409" s="60" t="s">
        <v>509</v>
      </c>
      <c r="M409" s="89"/>
      <c r="N409" s="60"/>
      <c r="O409" s="90"/>
      <c r="P409" s="91">
        <v>45862</v>
      </c>
      <c r="Q409" s="92"/>
      <c r="R409" s="68" t="str">
        <f t="shared" si="9"/>
        <v/>
      </c>
      <c r="S409" s="22"/>
    </row>
    <row r="410" spans="1:19" ht="18" customHeight="1">
      <c r="A410" s="85">
        <v>38938</v>
      </c>
      <c r="B410" s="86">
        <v>72524</v>
      </c>
      <c r="C410" s="22" t="s">
        <v>164</v>
      </c>
      <c r="D410" s="85">
        <v>1</v>
      </c>
      <c r="E410" s="87" t="s">
        <v>511</v>
      </c>
      <c r="F410" s="85"/>
      <c r="G410" s="22" t="s">
        <v>883</v>
      </c>
      <c r="H410" s="88">
        <v>45841</v>
      </c>
      <c r="I410" s="60">
        <v>2</v>
      </c>
      <c r="J410" s="22" t="s">
        <v>512</v>
      </c>
      <c r="K410" s="63">
        <v>2450</v>
      </c>
      <c r="L410" s="60" t="s">
        <v>509</v>
      </c>
      <c r="M410" s="89"/>
      <c r="N410" s="60"/>
      <c r="O410" s="90"/>
      <c r="P410" s="91">
        <v>45863</v>
      </c>
      <c r="Q410" s="92"/>
      <c r="R410" s="68" t="str">
        <f t="shared" si="9"/>
        <v/>
      </c>
      <c r="S410" s="22"/>
    </row>
    <row r="411" spans="1:19" ht="18" customHeight="1">
      <c r="A411" s="85"/>
      <c r="B411" s="86"/>
      <c r="C411" s="22"/>
      <c r="D411" s="85"/>
      <c r="E411" s="87"/>
      <c r="F411" s="85"/>
      <c r="G411" s="22"/>
      <c r="H411" s="88"/>
      <c r="J411" s="22"/>
      <c r="M411" s="89"/>
      <c r="N411" s="60"/>
      <c r="O411" s="90"/>
      <c r="P411" s="91"/>
      <c r="Q411" s="92"/>
      <c r="R411" s="68" t="str">
        <f t="shared" si="9"/>
        <v/>
      </c>
      <c r="S411" s="22"/>
    </row>
    <row r="412" spans="1:19" ht="18" customHeight="1">
      <c r="A412" s="85">
        <v>38939</v>
      </c>
      <c r="B412" s="86">
        <v>72525</v>
      </c>
      <c r="C412" s="22" t="s">
        <v>167</v>
      </c>
      <c r="D412" s="85">
        <v>1</v>
      </c>
      <c r="E412" s="87" t="s">
        <v>513</v>
      </c>
      <c r="F412" s="85"/>
      <c r="G412" s="22" t="s">
        <v>1019</v>
      </c>
      <c r="H412" s="88">
        <v>45841</v>
      </c>
      <c r="I412" s="60">
        <v>10</v>
      </c>
      <c r="J412" s="22" t="s">
        <v>1020</v>
      </c>
      <c r="K412" s="63">
        <v>950</v>
      </c>
      <c r="L412" s="60">
        <v>280102819</v>
      </c>
      <c r="M412" s="89"/>
      <c r="N412" s="60"/>
      <c r="O412" s="90"/>
      <c r="P412" s="91">
        <v>45855</v>
      </c>
      <c r="Q412" s="92"/>
      <c r="R412" s="68" t="str">
        <f t="shared" si="9"/>
        <v/>
      </c>
      <c r="S412" s="22"/>
    </row>
    <row r="413" spans="1:19" ht="18" customHeight="1">
      <c r="A413" s="85">
        <v>38939</v>
      </c>
      <c r="B413" s="86">
        <v>72526</v>
      </c>
      <c r="C413" s="22" t="s">
        <v>167</v>
      </c>
      <c r="D413" s="85">
        <v>1</v>
      </c>
      <c r="E413" s="87" t="s">
        <v>513</v>
      </c>
      <c r="F413" s="85"/>
      <c r="G413" s="22" t="s">
        <v>1019</v>
      </c>
      <c r="H413" s="88">
        <v>45841</v>
      </c>
      <c r="I413" s="60">
        <v>20</v>
      </c>
      <c r="J413" s="22" t="s">
        <v>1021</v>
      </c>
      <c r="K413" s="63">
        <v>850</v>
      </c>
      <c r="L413" s="60">
        <v>280102819</v>
      </c>
      <c r="M413" s="89"/>
      <c r="N413" s="60"/>
      <c r="O413" s="90"/>
      <c r="P413" s="91">
        <v>45855</v>
      </c>
      <c r="Q413" s="92"/>
      <c r="R413" s="68" t="str">
        <f t="shared" si="9"/>
        <v/>
      </c>
      <c r="S413" s="22"/>
    </row>
    <row r="414" spans="1:19" ht="18" customHeight="1">
      <c r="A414" s="85">
        <v>38939</v>
      </c>
      <c r="B414" s="86">
        <v>72527</v>
      </c>
      <c r="C414" s="22" t="s">
        <v>167</v>
      </c>
      <c r="D414" s="85">
        <v>1</v>
      </c>
      <c r="E414" s="87" t="s">
        <v>516</v>
      </c>
      <c r="F414" s="85"/>
      <c r="G414" s="22" t="s">
        <v>1019</v>
      </c>
      <c r="H414" s="88">
        <v>45841</v>
      </c>
      <c r="I414" s="60">
        <v>30</v>
      </c>
      <c r="J414" s="22" t="s">
        <v>1022</v>
      </c>
      <c r="K414" s="63">
        <v>975</v>
      </c>
      <c r="L414" s="60">
        <v>280102819</v>
      </c>
      <c r="M414" s="89"/>
      <c r="N414" s="60"/>
      <c r="O414" s="90"/>
      <c r="P414" s="91">
        <v>45855</v>
      </c>
      <c r="Q414" s="92"/>
      <c r="R414" s="68" t="str">
        <f t="shared" si="9"/>
        <v/>
      </c>
      <c r="S414" s="22"/>
    </row>
    <row r="415" spans="1:19" ht="18" customHeight="1">
      <c r="A415" s="85">
        <v>38939</v>
      </c>
      <c r="B415" s="86">
        <v>72528</v>
      </c>
      <c r="C415" s="22" t="s">
        <v>167</v>
      </c>
      <c r="D415" s="85">
        <v>1</v>
      </c>
      <c r="E415" s="87" t="s">
        <v>516</v>
      </c>
      <c r="F415" s="85"/>
      <c r="G415" s="22" t="s">
        <v>1019</v>
      </c>
      <c r="H415" s="88">
        <v>45841</v>
      </c>
      <c r="I415" s="60">
        <v>40</v>
      </c>
      <c r="J415" s="22" t="s">
        <v>1023</v>
      </c>
      <c r="K415" s="63">
        <v>200</v>
      </c>
      <c r="L415" s="60">
        <v>280102819</v>
      </c>
      <c r="M415" s="89"/>
      <c r="N415" s="60"/>
      <c r="O415" s="90"/>
      <c r="P415" s="91">
        <v>45855</v>
      </c>
      <c r="Q415" s="92"/>
      <c r="R415" s="68" t="str">
        <f t="shared" si="9"/>
        <v/>
      </c>
      <c r="S415" s="22"/>
    </row>
    <row r="416" spans="1:19" ht="18" customHeight="1">
      <c r="A416" s="85">
        <v>38939</v>
      </c>
      <c r="B416" s="86">
        <v>72529</v>
      </c>
      <c r="C416" s="22" t="s">
        <v>167</v>
      </c>
      <c r="D416" s="85">
        <v>1</v>
      </c>
      <c r="E416" s="87" t="s">
        <v>519</v>
      </c>
      <c r="F416" s="85"/>
      <c r="G416" s="22" t="s">
        <v>1019</v>
      </c>
      <c r="H416" s="88">
        <v>45841</v>
      </c>
      <c r="I416" s="60">
        <v>50</v>
      </c>
      <c r="J416" s="22" t="s">
        <v>1024</v>
      </c>
      <c r="K416" s="63">
        <v>175</v>
      </c>
      <c r="L416" s="60">
        <v>280102819</v>
      </c>
      <c r="M416" s="89"/>
      <c r="N416" s="60"/>
      <c r="O416" s="90"/>
      <c r="P416" s="91">
        <v>45855</v>
      </c>
      <c r="Q416" s="92"/>
      <c r="R416" s="68" t="str">
        <f t="shared" si="9"/>
        <v/>
      </c>
      <c r="S416" s="22"/>
    </row>
    <row r="417" spans="1:19" ht="18" customHeight="1">
      <c r="A417" s="85">
        <v>38939</v>
      </c>
      <c r="B417" s="86">
        <v>72530</v>
      </c>
      <c r="C417" s="22" t="s">
        <v>167</v>
      </c>
      <c r="D417" s="85">
        <v>4</v>
      </c>
      <c r="E417" s="87" t="s">
        <v>521</v>
      </c>
      <c r="F417" s="85"/>
      <c r="G417" s="22" t="s">
        <v>1019</v>
      </c>
      <c r="H417" s="88">
        <v>45841</v>
      </c>
      <c r="I417" s="60">
        <v>60</v>
      </c>
      <c r="J417" s="22" t="s">
        <v>1025</v>
      </c>
      <c r="K417" s="63">
        <v>455</v>
      </c>
      <c r="L417" s="60">
        <v>280102819</v>
      </c>
      <c r="M417" s="89"/>
      <c r="N417" s="60"/>
      <c r="O417" s="90"/>
      <c r="P417" s="91">
        <v>45855</v>
      </c>
      <c r="Q417" s="92"/>
      <c r="R417" s="68" t="str">
        <f t="shared" si="9"/>
        <v/>
      </c>
      <c r="S417" s="22"/>
    </row>
    <row r="418" spans="1:19" ht="18" customHeight="1">
      <c r="A418" s="85"/>
      <c r="B418" s="86"/>
      <c r="C418" s="22"/>
      <c r="D418" s="85"/>
      <c r="E418" s="87"/>
      <c r="F418" s="85"/>
      <c r="G418" s="22"/>
      <c r="H418" s="88"/>
      <c r="J418" s="22"/>
      <c r="M418" s="89"/>
      <c r="N418" s="60"/>
      <c r="O418" s="90"/>
      <c r="P418" s="91"/>
      <c r="Q418" s="92"/>
      <c r="R418" s="68" t="str">
        <f t="shared" si="9"/>
        <v/>
      </c>
      <c r="S418" s="22"/>
    </row>
    <row r="419" spans="1:19" ht="18" customHeight="1">
      <c r="A419" s="85">
        <v>38940</v>
      </c>
      <c r="B419" s="86">
        <v>72531</v>
      </c>
      <c r="C419" s="22" t="s">
        <v>526</v>
      </c>
      <c r="D419" s="85">
        <v>2</v>
      </c>
      <c r="E419" s="87" t="s">
        <v>524</v>
      </c>
      <c r="F419" s="85"/>
      <c r="G419" s="22" t="s">
        <v>1026</v>
      </c>
      <c r="H419" s="88">
        <v>45841</v>
      </c>
      <c r="I419" s="60">
        <v>1</v>
      </c>
      <c r="J419" s="22" t="s">
        <v>525</v>
      </c>
      <c r="K419" s="63">
        <v>175</v>
      </c>
      <c r="L419" s="60" t="s">
        <v>523</v>
      </c>
      <c r="M419" s="89">
        <v>44578</v>
      </c>
      <c r="N419" s="60">
        <v>2</v>
      </c>
      <c r="O419" s="90">
        <v>52839</v>
      </c>
      <c r="P419" s="91">
        <v>45846</v>
      </c>
      <c r="Q419" s="92">
        <v>45846</v>
      </c>
      <c r="R419" s="68">
        <f t="shared" si="9"/>
        <v>0</v>
      </c>
      <c r="S419" s="22"/>
    </row>
    <row r="420" spans="1:19" ht="18" customHeight="1">
      <c r="A420" s="85"/>
      <c r="B420" s="86"/>
      <c r="C420" s="22"/>
      <c r="D420" s="85"/>
      <c r="E420" s="87"/>
      <c r="F420" s="85"/>
      <c r="G420" s="22"/>
      <c r="H420" s="88"/>
      <c r="J420" s="22"/>
      <c r="M420" s="89"/>
      <c r="N420" s="60"/>
      <c r="O420" s="90"/>
      <c r="P420" s="91"/>
      <c r="Q420" s="92"/>
      <c r="R420" s="68" t="str">
        <f t="shared" si="9"/>
        <v/>
      </c>
      <c r="S420" s="22"/>
    </row>
    <row r="421" spans="1:19" ht="18" customHeight="1">
      <c r="A421" s="85">
        <v>38941</v>
      </c>
      <c r="B421" s="86">
        <v>72532</v>
      </c>
      <c r="C421" s="22" t="s">
        <v>255</v>
      </c>
      <c r="D421" s="85" t="s">
        <v>528</v>
      </c>
      <c r="E421" s="87" t="s">
        <v>154</v>
      </c>
      <c r="F421" s="85"/>
      <c r="G421" s="22" t="s">
        <v>1027</v>
      </c>
      <c r="H421" s="88">
        <v>45841</v>
      </c>
      <c r="I421" s="60">
        <v>1</v>
      </c>
      <c r="J421" s="22" t="s">
        <v>527</v>
      </c>
      <c r="M421" s="89">
        <v>44576</v>
      </c>
      <c r="N421" s="60">
        <v>5</v>
      </c>
      <c r="O421" s="90"/>
      <c r="P421" s="91">
        <v>45845</v>
      </c>
      <c r="Q421" s="92">
        <v>45845</v>
      </c>
      <c r="R421" s="68">
        <f t="shared" si="9"/>
        <v>0</v>
      </c>
      <c r="S421" s="22"/>
    </row>
    <row r="422" spans="1:19" ht="18" customHeight="1">
      <c r="A422" s="85"/>
      <c r="B422" s="86"/>
      <c r="C422" s="22"/>
      <c r="D422" s="85"/>
      <c r="E422" s="87"/>
      <c r="F422" s="85"/>
      <c r="G422" s="22"/>
      <c r="H422" s="88"/>
      <c r="J422" s="22"/>
      <c r="M422" s="89"/>
      <c r="N422" s="60"/>
      <c r="O422" s="90"/>
      <c r="P422" s="91"/>
      <c r="Q422" s="92"/>
      <c r="R422" s="68" t="str">
        <f t="shared" si="9"/>
        <v/>
      </c>
      <c r="S422" s="22"/>
    </row>
    <row r="423" spans="1:19" ht="18" customHeight="1">
      <c r="A423" s="85">
        <v>38942</v>
      </c>
      <c r="B423" s="86">
        <v>72533</v>
      </c>
      <c r="C423" s="22" t="s">
        <v>1028</v>
      </c>
      <c r="D423" s="85">
        <v>2</v>
      </c>
      <c r="E423" s="87">
        <v>2604680</v>
      </c>
      <c r="F423" s="85">
        <v>0</v>
      </c>
      <c r="G423" s="22" t="s">
        <v>990</v>
      </c>
      <c r="H423" s="88">
        <v>45842</v>
      </c>
      <c r="I423" s="60">
        <v>1</v>
      </c>
      <c r="J423" s="22" t="s">
        <v>1029</v>
      </c>
      <c r="K423" s="63">
        <v>3890</v>
      </c>
      <c r="L423" s="60">
        <v>211249978</v>
      </c>
      <c r="M423" s="89"/>
      <c r="N423" s="60"/>
      <c r="O423" s="90"/>
      <c r="P423" s="91">
        <v>45881</v>
      </c>
      <c r="Q423" s="92"/>
      <c r="R423" s="68" t="str">
        <f t="shared" si="9"/>
        <v/>
      </c>
      <c r="S423" s="22"/>
    </row>
    <row r="424" spans="1:19" ht="18" customHeight="1">
      <c r="A424" s="85"/>
      <c r="B424" s="86"/>
      <c r="C424" s="22"/>
      <c r="D424" s="85"/>
      <c r="E424" s="87"/>
      <c r="F424" s="85"/>
      <c r="G424" s="22"/>
      <c r="H424" s="88"/>
      <c r="J424" s="22"/>
      <c r="M424" s="89"/>
      <c r="N424" s="60"/>
      <c r="O424" s="90"/>
      <c r="P424" s="91"/>
      <c r="Q424" s="92"/>
      <c r="R424" s="68" t="str">
        <f t="shared" si="9"/>
        <v/>
      </c>
      <c r="S424" s="22"/>
    </row>
    <row r="425" spans="1:19" ht="18" customHeight="1">
      <c r="A425" s="85">
        <v>38943</v>
      </c>
      <c r="B425" s="86">
        <v>72534</v>
      </c>
      <c r="C425" s="22" t="s">
        <v>20</v>
      </c>
      <c r="D425" s="85">
        <v>1</v>
      </c>
      <c r="E425" s="87" t="s">
        <v>1030</v>
      </c>
      <c r="F425" s="85">
        <v>0</v>
      </c>
      <c r="G425" s="22" t="s">
        <v>934</v>
      </c>
      <c r="H425" s="88">
        <v>45842</v>
      </c>
      <c r="I425" s="60">
        <v>1</v>
      </c>
      <c r="J425" s="22" t="s">
        <v>1031</v>
      </c>
      <c r="K425" s="63">
        <v>105</v>
      </c>
      <c r="L425" s="60" t="s">
        <v>1032</v>
      </c>
      <c r="M425" s="89"/>
      <c r="N425" s="60"/>
      <c r="O425" s="90"/>
      <c r="P425" s="91">
        <v>45884</v>
      </c>
      <c r="Q425" s="92"/>
      <c r="R425" s="68" t="str">
        <f t="shared" si="9"/>
        <v/>
      </c>
      <c r="S425" s="22"/>
    </row>
    <row r="426" spans="1:19" ht="18" customHeight="1">
      <c r="A426" s="85">
        <v>38943</v>
      </c>
      <c r="B426" s="86">
        <v>72535</v>
      </c>
      <c r="C426" s="22" t="s">
        <v>20</v>
      </c>
      <c r="D426" s="85">
        <v>1</v>
      </c>
      <c r="E426" s="87" t="s">
        <v>1033</v>
      </c>
      <c r="F426" s="85">
        <v>0</v>
      </c>
      <c r="G426" s="22" t="s">
        <v>934</v>
      </c>
      <c r="H426" s="88">
        <v>45842</v>
      </c>
      <c r="I426" s="60">
        <v>2</v>
      </c>
      <c r="J426" s="22" t="s">
        <v>1034</v>
      </c>
      <c r="K426" s="63">
        <v>450</v>
      </c>
      <c r="L426" s="60" t="s">
        <v>1032</v>
      </c>
      <c r="M426" s="89"/>
      <c r="N426" s="60"/>
      <c r="O426" s="90"/>
      <c r="P426" s="91">
        <v>45884</v>
      </c>
      <c r="Q426" s="92"/>
      <c r="R426" s="68" t="str">
        <f t="shared" si="9"/>
        <v/>
      </c>
      <c r="S426" s="22"/>
    </row>
    <row r="427" spans="1:19" ht="18" customHeight="1">
      <c r="A427" s="85">
        <v>38943</v>
      </c>
      <c r="B427" s="86">
        <v>72536</v>
      </c>
      <c r="C427" s="22" t="s">
        <v>20</v>
      </c>
      <c r="D427" s="85">
        <v>1</v>
      </c>
      <c r="E427" s="87" t="s">
        <v>1035</v>
      </c>
      <c r="F427" s="85">
        <v>0</v>
      </c>
      <c r="G427" s="22" t="s">
        <v>934</v>
      </c>
      <c r="H427" s="88">
        <v>45842</v>
      </c>
      <c r="I427" s="60">
        <v>3</v>
      </c>
      <c r="J427" s="22" t="s">
        <v>1036</v>
      </c>
      <c r="K427" s="63">
        <v>105</v>
      </c>
      <c r="L427" s="60" t="s">
        <v>1032</v>
      </c>
      <c r="M427" s="89"/>
      <c r="N427" s="60"/>
      <c r="O427" s="90"/>
      <c r="P427" s="91">
        <v>45884</v>
      </c>
      <c r="Q427" s="92"/>
      <c r="R427" s="68" t="str">
        <f t="shared" si="9"/>
        <v/>
      </c>
      <c r="S427" s="22"/>
    </row>
    <row r="428" spans="1:19" ht="18" customHeight="1">
      <c r="A428" s="85">
        <v>38943</v>
      </c>
      <c r="B428" s="86">
        <v>72537</v>
      </c>
      <c r="C428" s="22" t="s">
        <v>20</v>
      </c>
      <c r="D428" s="85">
        <v>2</v>
      </c>
      <c r="E428" s="87" t="s">
        <v>1037</v>
      </c>
      <c r="F428" s="85">
        <v>1</v>
      </c>
      <c r="G428" s="22" t="s">
        <v>934</v>
      </c>
      <c r="H428" s="88">
        <v>45842</v>
      </c>
      <c r="I428" s="60">
        <v>4</v>
      </c>
      <c r="J428" s="22" t="s">
        <v>1038</v>
      </c>
      <c r="K428" s="63">
        <v>494</v>
      </c>
      <c r="L428" s="60" t="s">
        <v>1032</v>
      </c>
      <c r="M428" s="89"/>
      <c r="N428" s="60"/>
      <c r="O428" s="90"/>
      <c r="P428" s="91">
        <v>45884</v>
      </c>
      <c r="Q428" s="92"/>
      <c r="R428" s="68" t="str">
        <f t="shared" si="9"/>
        <v/>
      </c>
      <c r="S428" s="22"/>
    </row>
    <row r="429" spans="1:19" ht="18" customHeight="1">
      <c r="A429" s="85">
        <v>38943</v>
      </c>
      <c r="B429" s="86">
        <v>72538</v>
      </c>
      <c r="C429" s="22" t="s">
        <v>20</v>
      </c>
      <c r="D429" s="85">
        <v>1</v>
      </c>
      <c r="E429" s="87" t="s">
        <v>1039</v>
      </c>
      <c r="F429" s="85">
        <v>0</v>
      </c>
      <c r="G429" s="22" t="s">
        <v>934</v>
      </c>
      <c r="H429" s="88">
        <v>45842</v>
      </c>
      <c r="I429" s="60">
        <v>5</v>
      </c>
      <c r="J429" s="22" t="s">
        <v>1040</v>
      </c>
      <c r="K429" s="63">
        <v>187</v>
      </c>
      <c r="L429" s="60" t="s">
        <v>1032</v>
      </c>
      <c r="M429" s="89"/>
      <c r="N429" s="60"/>
      <c r="O429" s="90"/>
      <c r="P429" s="91">
        <v>45884</v>
      </c>
      <c r="Q429" s="92"/>
      <c r="R429" s="68" t="str">
        <f t="shared" si="9"/>
        <v/>
      </c>
      <c r="S429" s="22"/>
    </row>
    <row r="430" spans="1:19" ht="18" customHeight="1">
      <c r="A430" s="85">
        <v>38943</v>
      </c>
      <c r="B430" s="86">
        <v>72539</v>
      </c>
      <c r="C430" s="22" t="s">
        <v>20</v>
      </c>
      <c r="D430" s="85">
        <v>1</v>
      </c>
      <c r="E430" s="87" t="s">
        <v>1041</v>
      </c>
      <c r="F430" s="85">
        <v>0</v>
      </c>
      <c r="G430" s="22" t="s">
        <v>934</v>
      </c>
      <c r="H430" s="88">
        <v>45842</v>
      </c>
      <c r="I430" s="60">
        <v>6</v>
      </c>
      <c r="J430" s="22" t="s">
        <v>1042</v>
      </c>
      <c r="K430" s="63">
        <v>277</v>
      </c>
      <c r="L430" s="60" t="s">
        <v>1032</v>
      </c>
      <c r="M430" s="89"/>
      <c r="N430" s="60"/>
      <c r="O430" s="90"/>
      <c r="P430" s="91">
        <v>45884</v>
      </c>
      <c r="Q430" s="92"/>
      <c r="R430" s="68" t="str">
        <f t="shared" si="9"/>
        <v/>
      </c>
      <c r="S430" s="22"/>
    </row>
    <row r="431" spans="1:19" ht="18" customHeight="1">
      <c r="A431" s="85">
        <v>38943</v>
      </c>
      <c r="B431" s="86">
        <v>72540</v>
      </c>
      <c r="C431" s="22" t="s">
        <v>20</v>
      </c>
      <c r="D431" s="85">
        <v>1</v>
      </c>
      <c r="E431" s="87" t="s">
        <v>1043</v>
      </c>
      <c r="F431" s="85">
        <v>1</v>
      </c>
      <c r="G431" s="22" t="s">
        <v>934</v>
      </c>
      <c r="H431" s="88">
        <v>45842</v>
      </c>
      <c r="I431" s="60">
        <v>7</v>
      </c>
      <c r="J431" s="22" t="s">
        <v>1044</v>
      </c>
      <c r="K431" s="63">
        <v>704</v>
      </c>
      <c r="L431" s="60" t="s">
        <v>1032</v>
      </c>
      <c r="M431" s="89"/>
      <c r="N431" s="60"/>
      <c r="O431" s="90"/>
      <c r="P431" s="91">
        <v>45884</v>
      </c>
      <c r="Q431" s="92"/>
      <c r="R431" s="68" t="str">
        <f t="shared" si="9"/>
        <v/>
      </c>
      <c r="S431" s="22"/>
    </row>
    <row r="432" spans="1:19" ht="18" customHeight="1">
      <c r="A432" s="85">
        <v>38943</v>
      </c>
      <c r="B432" s="86">
        <v>72541</v>
      </c>
      <c r="C432" s="22" t="s">
        <v>20</v>
      </c>
      <c r="D432" s="85">
        <v>1</v>
      </c>
      <c r="E432" s="87" t="s">
        <v>1045</v>
      </c>
      <c r="F432" s="85">
        <v>0</v>
      </c>
      <c r="G432" s="22" t="s">
        <v>934</v>
      </c>
      <c r="H432" s="88">
        <v>45842</v>
      </c>
      <c r="I432" s="60">
        <v>8</v>
      </c>
      <c r="J432" s="22" t="s">
        <v>1046</v>
      </c>
      <c r="K432" s="63">
        <v>3149</v>
      </c>
      <c r="L432" s="60" t="s">
        <v>1032</v>
      </c>
      <c r="M432" s="89"/>
      <c r="N432" s="60"/>
      <c r="O432" s="90"/>
      <c r="P432" s="91">
        <v>45884</v>
      </c>
      <c r="Q432" s="92"/>
      <c r="R432" s="68" t="str">
        <f t="shared" si="9"/>
        <v/>
      </c>
      <c r="S432" s="22"/>
    </row>
    <row r="433" spans="1:19" ht="18" customHeight="1">
      <c r="A433" s="85">
        <v>38943</v>
      </c>
      <c r="B433" s="86">
        <v>72542</v>
      </c>
      <c r="C433" s="22" t="s">
        <v>20</v>
      </c>
      <c r="D433" s="85">
        <v>1</v>
      </c>
      <c r="E433" s="87" t="s">
        <v>1047</v>
      </c>
      <c r="F433" s="85">
        <v>0</v>
      </c>
      <c r="G433" s="22" t="s">
        <v>934</v>
      </c>
      <c r="H433" s="88">
        <v>45842</v>
      </c>
      <c r="I433" s="60">
        <v>9</v>
      </c>
      <c r="J433" s="22" t="s">
        <v>1040</v>
      </c>
      <c r="K433" s="63">
        <v>277</v>
      </c>
      <c r="L433" s="60" t="s">
        <v>1032</v>
      </c>
      <c r="M433" s="89"/>
      <c r="N433" s="60"/>
      <c r="O433" s="90"/>
      <c r="P433" s="91">
        <v>45884</v>
      </c>
      <c r="Q433" s="92"/>
      <c r="R433" s="68" t="str">
        <f t="shared" si="9"/>
        <v/>
      </c>
      <c r="S433" s="22"/>
    </row>
    <row r="434" spans="1:19" ht="18" customHeight="1">
      <c r="A434" s="85">
        <v>38943</v>
      </c>
      <c r="B434" s="86">
        <v>72543</v>
      </c>
      <c r="C434" s="22" t="s">
        <v>20</v>
      </c>
      <c r="D434" s="85">
        <v>1</v>
      </c>
      <c r="E434" s="87" t="s">
        <v>1048</v>
      </c>
      <c r="F434" s="85">
        <v>2</v>
      </c>
      <c r="G434" s="22" t="s">
        <v>934</v>
      </c>
      <c r="H434" s="88">
        <v>45842</v>
      </c>
      <c r="I434" s="60">
        <v>10</v>
      </c>
      <c r="J434" s="22" t="s">
        <v>1049</v>
      </c>
      <c r="K434" s="63">
        <v>975</v>
      </c>
      <c r="L434" s="60" t="s">
        <v>1032</v>
      </c>
      <c r="M434" s="89"/>
      <c r="N434" s="60"/>
      <c r="O434" s="90"/>
      <c r="P434" s="91">
        <v>45884</v>
      </c>
      <c r="Q434" s="92"/>
      <c r="R434" s="68" t="str">
        <f t="shared" si="9"/>
        <v/>
      </c>
      <c r="S434" s="22"/>
    </row>
    <row r="435" spans="1:19" ht="18" customHeight="1">
      <c r="A435" s="85"/>
      <c r="B435" s="86"/>
      <c r="C435" s="22"/>
      <c r="D435" s="85"/>
      <c r="E435" s="87"/>
      <c r="F435" s="85"/>
      <c r="G435" s="22"/>
      <c r="H435" s="88"/>
      <c r="J435" s="22"/>
      <c r="M435" s="89"/>
      <c r="N435" s="60"/>
      <c r="O435" s="90"/>
      <c r="P435" s="91"/>
      <c r="Q435" s="92"/>
      <c r="R435" s="68"/>
      <c r="S435" s="22"/>
    </row>
    <row r="436" spans="1:19" ht="18" customHeight="1">
      <c r="A436" s="85">
        <v>38944</v>
      </c>
      <c r="B436" s="86">
        <v>72544</v>
      </c>
      <c r="C436" s="22" t="s">
        <v>167</v>
      </c>
      <c r="D436" s="85">
        <v>1</v>
      </c>
      <c r="E436" s="87" t="s">
        <v>1050</v>
      </c>
      <c r="F436" s="89">
        <v>1</v>
      </c>
      <c r="G436" s="22" t="s">
        <v>1051</v>
      </c>
      <c r="H436" s="88">
        <v>45842</v>
      </c>
      <c r="I436" s="60">
        <v>10</v>
      </c>
      <c r="J436" s="22" t="s">
        <v>1052</v>
      </c>
      <c r="K436" s="63">
        <v>450</v>
      </c>
      <c r="L436" s="60">
        <v>280102919</v>
      </c>
      <c r="M436" s="89">
        <v>44581</v>
      </c>
      <c r="N436" s="60">
        <v>1</v>
      </c>
      <c r="O436" s="90">
        <v>52841</v>
      </c>
      <c r="P436" s="91">
        <v>45846</v>
      </c>
      <c r="Q436" s="92">
        <v>45846</v>
      </c>
      <c r="R436" s="68">
        <f t="shared" ref="R436:R499" si="10">IF(SUM(Q436)&gt;0,SUM(Q436-P436),"")</f>
        <v>0</v>
      </c>
      <c r="S436" s="22"/>
    </row>
    <row r="437" spans="1:19" ht="18" customHeight="1">
      <c r="A437" s="85"/>
      <c r="B437" s="86"/>
      <c r="C437" s="22"/>
      <c r="D437" s="85"/>
      <c r="E437" s="87"/>
      <c r="F437" s="85"/>
      <c r="G437" s="22"/>
      <c r="H437" s="88"/>
      <c r="J437" s="22"/>
      <c r="M437" s="89"/>
      <c r="N437" s="60"/>
      <c r="O437" s="90"/>
      <c r="P437" s="91"/>
      <c r="Q437" s="92"/>
      <c r="R437" s="68" t="str">
        <f t="shared" si="10"/>
        <v/>
      </c>
      <c r="S437" s="22"/>
    </row>
    <row r="438" spans="1:19" ht="18" customHeight="1">
      <c r="A438" s="85">
        <v>38945</v>
      </c>
      <c r="B438" s="86">
        <v>72545</v>
      </c>
      <c r="C438" s="22" t="s">
        <v>255</v>
      </c>
      <c r="D438" s="85">
        <v>1</v>
      </c>
      <c r="E438" s="87" t="s">
        <v>253</v>
      </c>
      <c r="F438" s="85"/>
      <c r="G438" s="22" t="s">
        <v>1027</v>
      </c>
      <c r="H438" s="88">
        <v>45842</v>
      </c>
      <c r="I438" s="60">
        <v>1</v>
      </c>
      <c r="J438" s="22" t="s">
        <v>1053</v>
      </c>
      <c r="M438" s="89">
        <v>44577</v>
      </c>
      <c r="N438" s="60">
        <v>1</v>
      </c>
      <c r="O438" s="90"/>
      <c r="P438" s="91">
        <v>45845</v>
      </c>
      <c r="Q438" s="92">
        <v>45845</v>
      </c>
      <c r="R438" s="68">
        <f t="shared" si="10"/>
        <v>0</v>
      </c>
      <c r="S438" s="22"/>
    </row>
    <row r="439" spans="1:19" ht="18" customHeight="1">
      <c r="A439" s="85"/>
      <c r="B439" s="86"/>
      <c r="C439" s="22"/>
      <c r="D439" s="85"/>
      <c r="E439" s="87"/>
      <c r="F439" s="85"/>
      <c r="G439" s="22"/>
      <c r="H439" s="88"/>
      <c r="J439" s="22"/>
      <c r="M439" s="89"/>
      <c r="N439" s="60"/>
      <c r="O439" s="90"/>
      <c r="P439" s="91"/>
      <c r="Q439" s="92"/>
      <c r="R439" s="68" t="str">
        <f t="shared" si="10"/>
        <v/>
      </c>
      <c r="S439" s="22"/>
    </row>
    <row r="440" spans="1:19" ht="18" customHeight="1">
      <c r="A440" s="85">
        <v>38946</v>
      </c>
      <c r="B440" s="86">
        <v>72546</v>
      </c>
      <c r="C440" s="22" t="s">
        <v>338</v>
      </c>
      <c r="D440" s="85">
        <v>1</v>
      </c>
      <c r="E440" s="87" t="s">
        <v>1054</v>
      </c>
      <c r="F440" s="85"/>
      <c r="G440" s="22" t="s">
        <v>979</v>
      </c>
      <c r="H440" s="88">
        <v>45845</v>
      </c>
      <c r="I440" s="60">
        <v>10</v>
      </c>
      <c r="J440" s="22" t="s">
        <v>1055</v>
      </c>
      <c r="K440" s="63">
        <v>42460</v>
      </c>
      <c r="L440" s="60" t="s">
        <v>1056</v>
      </c>
      <c r="M440" s="89"/>
      <c r="N440" s="60"/>
      <c r="O440" s="90"/>
      <c r="P440" s="91">
        <v>45923</v>
      </c>
      <c r="Q440" s="92"/>
      <c r="R440" s="68" t="str">
        <f t="shared" si="10"/>
        <v/>
      </c>
      <c r="S440" s="22"/>
    </row>
    <row r="441" spans="1:19" ht="18" customHeight="1">
      <c r="A441" s="85"/>
      <c r="B441" s="86"/>
      <c r="C441" s="22"/>
      <c r="D441" s="85"/>
      <c r="E441" s="87"/>
      <c r="F441" s="85"/>
      <c r="G441" s="22"/>
      <c r="H441" s="88"/>
      <c r="J441" s="22"/>
      <c r="M441" s="89"/>
      <c r="N441" s="60"/>
      <c r="O441" s="90"/>
      <c r="P441" s="91"/>
      <c r="Q441" s="92"/>
      <c r="R441" s="68" t="str">
        <f t="shared" si="10"/>
        <v/>
      </c>
      <c r="S441" s="22"/>
    </row>
    <row r="442" spans="1:19" ht="18" customHeight="1">
      <c r="A442" s="85">
        <v>38947</v>
      </c>
      <c r="B442" s="86">
        <v>72547</v>
      </c>
      <c r="C442" s="22" t="s">
        <v>179</v>
      </c>
      <c r="D442" s="85">
        <v>1</v>
      </c>
      <c r="E442" s="87" t="s">
        <v>1057</v>
      </c>
      <c r="F442" s="85"/>
      <c r="G442" s="22" t="s">
        <v>1058</v>
      </c>
      <c r="H442" s="88">
        <v>45849</v>
      </c>
      <c r="I442" s="60">
        <v>1</v>
      </c>
      <c r="J442" s="231" t="s">
        <v>1059</v>
      </c>
      <c r="L442" s="60">
        <v>19603</v>
      </c>
      <c r="M442" s="89"/>
      <c r="N442" s="60"/>
      <c r="O442" s="90"/>
      <c r="P442" s="91">
        <v>45868</v>
      </c>
      <c r="Q442" s="92"/>
      <c r="R442" s="68" t="str">
        <f t="shared" si="10"/>
        <v/>
      </c>
      <c r="S442" s="22"/>
    </row>
    <row r="443" spans="1:19" ht="18" customHeight="1">
      <c r="A443" s="85">
        <v>38947</v>
      </c>
      <c r="B443" s="86">
        <v>72548</v>
      </c>
      <c r="C443" s="22" t="s">
        <v>179</v>
      </c>
      <c r="D443" s="85">
        <v>1</v>
      </c>
      <c r="E443" s="87" t="s">
        <v>1060</v>
      </c>
      <c r="F443" s="85"/>
      <c r="G443" s="22" t="s">
        <v>1058</v>
      </c>
      <c r="H443" s="88">
        <v>45849</v>
      </c>
      <c r="I443" s="60">
        <v>2</v>
      </c>
      <c r="J443" s="206" t="s">
        <v>1061</v>
      </c>
      <c r="L443" s="60">
        <v>19603</v>
      </c>
      <c r="M443" s="89"/>
      <c r="N443" s="60"/>
      <c r="O443" s="90"/>
      <c r="P443" s="91">
        <v>45868</v>
      </c>
      <c r="Q443" s="92"/>
      <c r="R443" s="68" t="str">
        <f t="shared" si="10"/>
        <v/>
      </c>
      <c r="S443" s="22"/>
    </row>
    <row r="444" spans="1:19" ht="18" customHeight="1">
      <c r="A444" s="85">
        <v>38947</v>
      </c>
      <c r="B444" s="86">
        <v>72549</v>
      </c>
      <c r="C444" s="22" t="s">
        <v>179</v>
      </c>
      <c r="D444" s="85">
        <v>1</v>
      </c>
      <c r="E444" s="87" t="s">
        <v>1062</v>
      </c>
      <c r="F444" s="85"/>
      <c r="G444" s="22" t="s">
        <v>1058</v>
      </c>
      <c r="H444" s="88">
        <v>45849</v>
      </c>
      <c r="I444" s="60">
        <v>3</v>
      </c>
      <c r="J444" s="206" t="s">
        <v>1063</v>
      </c>
      <c r="L444" s="60">
        <v>19603</v>
      </c>
      <c r="M444" s="89"/>
      <c r="N444" s="60"/>
      <c r="O444" s="90"/>
      <c r="P444" s="91">
        <v>45868</v>
      </c>
      <c r="Q444" s="92"/>
      <c r="R444" s="68" t="str">
        <f t="shared" si="10"/>
        <v/>
      </c>
      <c r="S444" s="22"/>
    </row>
    <row r="445" spans="1:19" ht="18" customHeight="1">
      <c r="A445" s="85"/>
      <c r="B445" s="86"/>
      <c r="C445" s="22"/>
      <c r="D445" s="85"/>
      <c r="E445" s="87"/>
      <c r="F445" s="85"/>
      <c r="G445" s="22"/>
      <c r="H445" s="88"/>
      <c r="J445" s="22"/>
      <c r="M445" s="89"/>
      <c r="N445" s="60"/>
      <c r="O445" s="90"/>
      <c r="P445" s="91"/>
      <c r="Q445" s="92"/>
      <c r="R445" s="68" t="str">
        <f t="shared" si="10"/>
        <v/>
      </c>
      <c r="S445" s="22"/>
    </row>
    <row r="446" spans="1:19" ht="18" customHeight="1">
      <c r="A446" s="85">
        <v>38948</v>
      </c>
      <c r="B446" s="86">
        <v>72550</v>
      </c>
      <c r="C446" s="59" t="s">
        <v>179</v>
      </c>
      <c r="D446" s="85">
        <v>1</v>
      </c>
      <c r="E446" s="87" t="s">
        <v>1057</v>
      </c>
      <c r="F446" s="85"/>
      <c r="G446" s="22" t="s">
        <v>892</v>
      </c>
      <c r="H446" s="88">
        <v>45849</v>
      </c>
      <c r="I446" s="60">
        <v>1</v>
      </c>
      <c r="J446" s="231" t="s">
        <v>1064</v>
      </c>
      <c r="L446" s="60">
        <v>19603</v>
      </c>
      <c r="M446" s="89"/>
      <c r="N446" s="60"/>
      <c r="O446" s="90"/>
      <c r="P446" s="91">
        <v>45868</v>
      </c>
      <c r="Q446" s="92"/>
      <c r="R446" s="68" t="str">
        <f t="shared" si="10"/>
        <v/>
      </c>
      <c r="S446" s="22"/>
    </row>
    <row r="447" spans="1:19" ht="18" customHeight="1">
      <c r="A447" s="85">
        <v>38948</v>
      </c>
      <c r="B447" s="86">
        <v>72551</v>
      </c>
      <c r="C447" s="22" t="s">
        <v>179</v>
      </c>
      <c r="D447" s="85">
        <v>1</v>
      </c>
      <c r="E447" s="87" t="s">
        <v>1060</v>
      </c>
      <c r="F447" s="85"/>
      <c r="G447" s="22" t="s">
        <v>892</v>
      </c>
      <c r="H447" s="88">
        <v>45849</v>
      </c>
      <c r="I447" s="60">
        <v>2</v>
      </c>
      <c r="J447" s="206" t="s">
        <v>1065</v>
      </c>
      <c r="L447" s="60">
        <v>19603</v>
      </c>
      <c r="M447" s="89"/>
      <c r="N447" s="60"/>
      <c r="O447" s="90"/>
      <c r="P447" s="91">
        <v>45868</v>
      </c>
      <c r="Q447" s="92"/>
      <c r="R447" s="68" t="str">
        <f t="shared" si="10"/>
        <v/>
      </c>
      <c r="S447" s="22"/>
    </row>
    <row r="448" spans="1:19" ht="18" customHeight="1">
      <c r="A448" s="85">
        <v>38948</v>
      </c>
      <c r="B448" s="86">
        <v>72552</v>
      </c>
      <c r="C448" s="22" t="s">
        <v>179</v>
      </c>
      <c r="D448" s="85">
        <v>1</v>
      </c>
      <c r="E448" s="87" t="s">
        <v>1060</v>
      </c>
      <c r="F448" s="85"/>
      <c r="G448" s="22" t="s">
        <v>892</v>
      </c>
      <c r="H448" s="88">
        <v>45849</v>
      </c>
      <c r="I448" s="60">
        <v>3</v>
      </c>
      <c r="J448" s="206" t="s">
        <v>1066</v>
      </c>
      <c r="L448" s="60">
        <v>19603</v>
      </c>
      <c r="M448" s="89"/>
      <c r="N448" s="60"/>
      <c r="O448" s="90"/>
      <c r="P448" s="91">
        <v>45868</v>
      </c>
      <c r="Q448" s="92"/>
      <c r="R448" s="68" t="str">
        <f t="shared" si="10"/>
        <v/>
      </c>
      <c r="S448" s="22"/>
    </row>
    <row r="449" spans="1:19" ht="18" customHeight="1">
      <c r="A449" s="85"/>
      <c r="B449" s="86"/>
      <c r="C449" s="22"/>
      <c r="D449" s="85"/>
      <c r="E449" s="87"/>
      <c r="F449" s="85"/>
      <c r="G449" s="22"/>
      <c r="H449" s="88"/>
      <c r="J449" s="22"/>
      <c r="M449" s="89"/>
      <c r="N449" s="60"/>
      <c r="O449" s="90"/>
      <c r="P449" s="91"/>
      <c r="Q449" s="92"/>
      <c r="R449" s="68" t="str">
        <f t="shared" si="10"/>
        <v/>
      </c>
      <c r="S449" s="22"/>
    </row>
    <row r="450" spans="1:19" ht="18" customHeight="1">
      <c r="A450" s="85">
        <v>38949</v>
      </c>
      <c r="B450" s="86">
        <v>72553</v>
      </c>
      <c r="C450" s="22" t="s">
        <v>179</v>
      </c>
      <c r="D450" s="85">
        <v>1</v>
      </c>
      <c r="E450" s="87" t="s">
        <v>1060</v>
      </c>
      <c r="F450" s="85"/>
      <c r="G450" s="22" t="s">
        <v>892</v>
      </c>
      <c r="H450" s="88">
        <v>45849</v>
      </c>
      <c r="I450" s="60">
        <v>1</v>
      </c>
      <c r="J450" s="206" t="s">
        <v>1067</v>
      </c>
      <c r="L450" s="60">
        <v>19603</v>
      </c>
      <c r="M450" s="89"/>
      <c r="N450" s="60"/>
      <c r="O450" s="90"/>
      <c r="P450" s="91">
        <v>45868</v>
      </c>
      <c r="Q450" s="92"/>
      <c r="R450" s="68" t="str">
        <f t="shared" si="10"/>
        <v/>
      </c>
      <c r="S450" s="22"/>
    </row>
    <row r="451" spans="1:19" ht="18" customHeight="1">
      <c r="A451" s="85">
        <v>38949</v>
      </c>
      <c r="B451" s="86">
        <v>72554</v>
      </c>
      <c r="C451" s="22" t="s">
        <v>179</v>
      </c>
      <c r="D451" s="85">
        <v>1</v>
      </c>
      <c r="E451" s="87" t="s">
        <v>1057</v>
      </c>
      <c r="F451" s="85"/>
      <c r="G451" s="22" t="s">
        <v>892</v>
      </c>
      <c r="H451" s="88">
        <v>45849</v>
      </c>
      <c r="I451" s="60">
        <v>2</v>
      </c>
      <c r="J451" s="231" t="s">
        <v>1068</v>
      </c>
      <c r="L451" s="60">
        <v>19603</v>
      </c>
      <c r="M451" s="89"/>
      <c r="N451" s="60"/>
      <c r="O451" s="90"/>
      <c r="P451" s="91">
        <v>45868</v>
      </c>
      <c r="Q451" s="92"/>
      <c r="R451" s="68" t="str">
        <f t="shared" si="10"/>
        <v/>
      </c>
      <c r="S451" s="22"/>
    </row>
    <row r="452" spans="1:19" ht="18" customHeight="1">
      <c r="A452" s="85">
        <v>38949</v>
      </c>
      <c r="B452" s="86">
        <v>72555</v>
      </c>
      <c r="C452" s="22" t="s">
        <v>179</v>
      </c>
      <c r="D452" s="85">
        <v>1</v>
      </c>
      <c r="E452" s="87" t="s">
        <v>1060</v>
      </c>
      <c r="F452" s="85"/>
      <c r="G452" s="22" t="s">
        <v>892</v>
      </c>
      <c r="H452" s="88">
        <v>45849</v>
      </c>
      <c r="I452" s="60">
        <v>3</v>
      </c>
      <c r="J452" s="206" t="s">
        <v>1069</v>
      </c>
      <c r="L452" s="60">
        <v>19603</v>
      </c>
      <c r="M452" s="89"/>
      <c r="N452" s="60"/>
      <c r="O452" s="90"/>
      <c r="P452" s="91">
        <v>45868</v>
      </c>
      <c r="Q452" s="92"/>
      <c r="R452" s="68" t="str">
        <f t="shared" si="10"/>
        <v/>
      </c>
      <c r="S452" s="22"/>
    </row>
    <row r="453" spans="1:19" ht="18" customHeight="1">
      <c r="A453" s="85"/>
      <c r="B453" s="86"/>
      <c r="C453" s="22"/>
      <c r="D453" s="85"/>
      <c r="E453" s="87"/>
      <c r="F453" s="85"/>
      <c r="G453" s="22"/>
      <c r="H453" s="88"/>
      <c r="J453" s="22"/>
      <c r="M453" s="89"/>
      <c r="N453" s="60"/>
      <c r="O453" s="90"/>
      <c r="P453" s="91"/>
      <c r="Q453" s="92"/>
      <c r="R453" s="68" t="str">
        <f t="shared" si="10"/>
        <v/>
      </c>
      <c r="S453" s="22"/>
    </row>
    <row r="454" spans="1:19" ht="18" customHeight="1">
      <c r="A454" s="85">
        <v>38950</v>
      </c>
      <c r="B454" s="86">
        <v>72556</v>
      </c>
      <c r="C454" s="22" t="s">
        <v>1070</v>
      </c>
      <c r="D454" s="85">
        <v>1</v>
      </c>
      <c r="E454" s="87">
        <v>4038371</v>
      </c>
      <c r="F454" s="85"/>
      <c r="G454" s="22" t="s">
        <v>1071</v>
      </c>
      <c r="H454" s="88">
        <v>45849</v>
      </c>
      <c r="I454" s="60">
        <v>1</v>
      </c>
      <c r="J454" s="22" t="s">
        <v>1072</v>
      </c>
      <c r="K454" s="63">
        <v>4475</v>
      </c>
      <c r="L454" s="60" t="s">
        <v>1073</v>
      </c>
      <c r="M454" s="89"/>
      <c r="N454" s="60"/>
      <c r="O454" s="90"/>
      <c r="P454" s="91">
        <v>45895</v>
      </c>
      <c r="Q454" s="92"/>
      <c r="R454" s="68" t="str">
        <f t="shared" si="10"/>
        <v/>
      </c>
      <c r="S454" s="22"/>
    </row>
    <row r="455" spans="1:19" ht="18" customHeight="1">
      <c r="A455" s="85"/>
      <c r="B455" s="86"/>
      <c r="C455" s="22"/>
      <c r="D455" s="85"/>
      <c r="E455" s="87"/>
      <c r="F455" s="85"/>
      <c r="G455" s="22"/>
      <c r="H455" s="88"/>
      <c r="J455" s="22"/>
      <c r="M455" s="89"/>
      <c r="N455" s="60"/>
      <c r="O455" s="90"/>
      <c r="P455" s="91"/>
      <c r="Q455" s="92"/>
      <c r="R455" s="68" t="str">
        <f t="shared" si="10"/>
        <v/>
      </c>
      <c r="S455" s="22"/>
    </row>
    <row r="456" spans="1:19" ht="18" customHeight="1">
      <c r="A456" s="85"/>
      <c r="B456" s="86"/>
      <c r="C456" s="22"/>
      <c r="D456" s="85"/>
      <c r="E456" s="87"/>
      <c r="F456" s="85"/>
      <c r="G456" s="22"/>
      <c r="H456" s="88"/>
      <c r="J456" s="22"/>
      <c r="M456" s="89"/>
      <c r="N456" s="60"/>
      <c r="O456" s="90"/>
      <c r="P456" s="91"/>
      <c r="Q456" s="92"/>
      <c r="R456" s="68" t="str">
        <f t="shared" si="10"/>
        <v/>
      </c>
      <c r="S456" s="22"/>
    </row>
    <row r="457" spans="1:19" ht="18" customHeight="1">
      <c r="A457" s="85"/>
      <c r="B457" s="86"/>
      <c r="C457" s="22"/>
      <c r="D457" s="85"/>
      <c r="E457" s="87"/>
      <c r="F457" s="85"/>
      <c r="G457" s="22"/>
      <c r="H457" s="88"/>
      <c r="J457" s="22"/>
      <c r="M457" s="89"/>
      <c r="N457" s="60"/>
      <c r="O457" s="90"/>
      <c r="P457" s="91"/>
      <c r="Q457" s="92"/>
      <c r="R457" s="68" t="str">
        <f t="shared" si="10"/>
        <v/>
      </c>
      <c r="S457" s="22"/>
    </row>
    <row r="458" spans="1:19" ht="18" customHeight="1">
      <c r="A458" s="85"/>
      <c r="B458" s="86"/>
      <c r="C458" s="22"/>
      <c r="D458" s="85"/>
      <c r="E458" s="87"/>
      <c r="F458" s="85"/>
      <c r="G458" s="22"/>
      <c r="H458" s="88"/>
      <c r="J458" s="22"/>
      <c r="M458" s="89"/>
      <c r="N458" s="60"/>
      <c r="O458" s="90"/>
      <c r="P458" s="91"/>
      <c r="Q458" s="92"/>
      <c r="R458" s="68" t="str">
        <f t="shared" si="10"/>
        <v/>
      </c>
      <c r="S458" s="22"/>
    </row>
    <row r="459" spans="1:19" ht="18" customHeight="1">
      <c r="A459" s="85"/>
      <c r="B459" s="86"/>
      <c r="C459" s="22"/>
      <c r="D459" s="85"/>
      <c r="E459" s="87"/>
      <c r="F459" s="85"/>
      <c r="G459" s="22"/>
      <c r="H459" s="88"/>
      <c r="J459" s="22"/>
      <c r="M459" s="89"/>
      <c r="N459" s="60"/>
      <c r="O459" s="90"/>
      <c r="P459" s="91"/>
      <c r="Q459" s="92"/>
      <c r="R459" s="68" t="str">
        <f t="shared" si="10"/>
        <v/>
      </c>
      <c r="S459" s="22"/>
    </row>
    <row r="460" spans="1:19" ht="18" customHeight="1">
      <c r="A460" s="85"/>
      <c r="B460" s="86"/>
      <c r="C460" s="22"/>
      <c r="D460" s="85"/>
      <c r="E460" s="87"/>
      <c r="F460" s="85"/>
      <c r="G460" s="22"/>
      <c r="H460" s="88"/>
      <c r="J460" s="22"/>
      <c r="M460" s="89"/>
      <c r="N460" s="60"/>
      <c r="O460" s="90"/>
      <c r="P460" s="91"/>
      <c r="Q460" s="92"/>
      <c r="R460" s="68" t="str">
        <f t="shared" si="10"/>
        <v/>
      </c>
      <c r="S460" s="22"/>
    </row>
    <row r="461" spans="1:19" ht="18" customHeight="1">
      <c r="A461" s="85"/>
      <c r="B461" s="86"/>
      <c r="C461" s="22"/>
      <c r="D461" s="85"/>
      <c r="E461" s="87"/>
      <c r="F461" s="85"/>
      <c r="G461" s="22"/>
      <c r="H461" s="88"/>
      <c r="J461" s="22"/>
      <c r="M461" s="89"/>
      <c r="N461" s="60"/>
      <c r="O461" s="90"/>
      <c r="P461" s="91"/>
      <c r="Q461" s="92"/>
      <c r="R461" s="68" t="str">
        <f t="shared" si="10"/>
        <v/>
      </c>
      <c r="S461" s="22"/>
    </row>
    <row r="462" spans="1:19" ht="18" customHeight="1">
      <c r="A462" s="85"/>
      <c r="B462" s="86"/>
      <c r="C462" s="22"/>
      <c r="D462" s="85"/>
      <c r="E462" s="87"/>
      <c r="F462" s="85"/>
      <c r="G462" s="22"/>
      <c r="H462" s="88"/>
      <c r="J462" s="22"/>
      <c r="M462" s="89"/>
      <c r="N462" s="60"/>
      <c r="O462" s="90"/>
      <c r="P462" s="91"/>
      <c r="Q462" s="92"/>
      <c r="R462" s="68" t="str">
        <f t="shared" si="10"/>
        <v/>
      </c>
      <c r="S462" s="22"/>
    </row>
    <row r="463" spans="1:19" ht="18" customHeight="1">
      <c r="A463" s="85"/>
      <c r="B463" s="86"/>
      <c r="C463" s="22"/>
      <c r="D463" s="85"/>
      <c r="E463" s="87"/>
      <c r="F463" s="85"/>
      <c r="G463" s="22"/>
      <c r="H463" s="88"/>
      <c r="J463" s="22"/>
      <c r="M463" s="89"/>
      <c r="N463" s="60"/>
      <c r="O463" s="90"/>
      <c r="P463" s="91"/>
      <c r="Q463" s="92"/>
      <c r="R463" s="68" t="str">
        <f t="shared" si="10"/>
        <v/>
      </c>
      <c r="S463" s="22"/>
    </row>
    <row r="464" spans="1:19" ht="18" customHeight="1">
      <c r="A464" s="85"/>
      <c r="B464" s="86"/>
      <c r="C464" s="22"/>
      <c r="D464" s="85"/>
      <c r="E464" s="87"/>
      <c r="F464" s="85"/>
      <c r="G464" s="22"/>
      <c r="H464" s="88"/>
      <c r="J464" s="22"/>
      <c r="M464" s="89"/>
      <c r="N464" s="60"/>
      <c r="O464" s="90"/>
      <c r="P464" s="91"/>
      <c r="Q464" s="92"/>
      <c r="R464" s="68" t="str">
        <f t="shared" si="10"/>
        <v/>
      </c>
      <c r="S464" s="22"/>
    </row>
    <row r="465" spans="1:19" ht="18" customHeight="1">
      <c r="A465" s="85"/>
      <c r="B465" s="86"/>
      <c r="C465" s="22"/>
      <c r="D465" s="85"/>
      <c r="E465" s="87"/>
      <c r="F465" s="85"/>
      <c r="G465" s="22"/>
      <c r="H465" s="88"/>
      <c r="J465" s="22"/>
      <c r="M465" s="89"/>
      <c r="N465" s="60"/>
      <c r="O465" s="90"/>
      <c r="P465" s="91"/>
      <c r="Q465" s="92"/>
      <c r="R465" s="68" t="str">
        <f t="shared" si="10"/>
        <v/>
      </c>
      <c r="S465" s="22"/>
    </row>
    <row r="466" spans="1:19" ht="18" customHeight="1">
      <c r="A466" s="85"/>
      <c r="B466" s="86"/>
      <c r="C466" s="22"/>
      <c r="D466" s="85"/>
      <c r="E466" s="87"/>
      <c r="F466" s="85"/>
      <c r="G466" s="22"/>
      <c r="H466" s="88"/>
      <c r="J466" s="22"/>
      <c r="M466" s="89"/>
      <c r="N466" s="60"/>
      <c r="O466" s="90"/>
      <c r="P466" s="91"/>
      <c r="Q466" s="92"/>
      <c r="R466" s="68" t="str">
        <f t="shared" si="10"/>
        <v/>
      </c>
      <c r="S466" s="22"/>
    </row>
    <row r="467" spans="1:19" ht="18" customHeight="1">
      <c r="A467" s="85"/>
      <c r="B467" s="86"/>
      <c r="C467" s="22"/>
      <c r="D467" s="85"/>
      <c r="E467" s="87"/>
      <c r="F467" s="85"/>
      <c r="G467" s="22"/>
      <c r="H467" s="88"/>
      <c r="J467" s="22"/>
      <c r="M467" s="89"/>
      <c r="N467" s="60"/>
      <c r="O467" s="90"/>
      <c r="P467" s="91"/>
      <c r="Q467" s="92"/>
      <c r="R467" s="68" t="str">
        <f t="shared" si="10"/>
        <v/>
      </c>
      <c r="S467" s="22"/>
    </row>
    <row r="468" spans="1:19" ht="18" customHeight="1">
      <c r="A468" s="85"/>
      <c r="B468" s="86"/>
      <c r="C468" s="22"/>
      <c r="D468" s="85"/>
      <c r="E468" s="87"/>
      <c r="F468" s="85"/>
      <c r="G468" s="22"/>
      <c r="H468" s="88"/>
      <c r="J468" s="22"/>
      <c r="M468" s="89"/>
      <c r="N468" s="60"/>
      <c r="O468" s="90"/>
      <c r="P468" s="91"/>
      <c r="Q468" s="92"/>
      <c r="R468" s="68" t="str">
        <f t="shared" si="10"/>
        <v/>
      </c>
      <c r="S468" s="22"/>
    </row>
    <row r="469" spans="1:19" ht="18" customHeight="1">
      <c r="A469" s="85"/>
      <c r="B469" s="86"/>
      <c r="C469" s="22"/>
      <c r="D469" s="85"/>
      <c r="E469" s="87"/>
      <c r="F469" s="85"/>
      <c r="G469" s="22"/>
      <c r="H469" s="88"/>
      <c r="J469" s="22"/>
      <c r="M469" s="89"/>
      <c r="N469" s="60"/>
      <c r="O469" s="90"/>
      <c r="P469" s="91"/>
      <c r="Q469" s="92"/>
      <c r="R469" s="68" t="str">
        <f t="shared" si="10"/>
        <v/>
      </c>
      <c r="S469" s="22"/>
    </row>
    <row r="470" spans="1:19" ht="18" customHeight="1">
      <c r="A470" s="85"/>
      <c r="B470" s="86"/>
      <c r="C470" s="22"/>
      <c r="D470" s="85"/>
      <c r="E470" s="87"/>
      <c r="F470" s="85"/>
      <c r="G470" s="22"/>
      <c r="H470" s="88"/>
      <c r="J470" s="22"/>
      <c r="M470" s="89"/>
      <c r="N470" s="60"/>
      <c r="O470" s="90"/>
      <c r="P470" s="91"/>
      <c r="Q470" s="92"/>
      <c r="R470" s="68" t="str">
        <f t="shared" si="10"/>
        <v/>
      </c>
      <c r="S470" s="22"/>
    </row>
    <row r="471" spans="1:19" ht="18" customHeight="1">
      <c r="A471" s="85"/>
      <c r="B471" s="86"/>
      <c r="C471" s="22"/>
      <c r="D471" s="85"/>
      <c r="E471" s="87"/>
      <c r="F471" s="85"/>
      <c r="G471" s="22"/>
      <c r="H471" s="88"/>
      <c r="J471" s="22"/>
      <c r="M471" s="89"/>
      <c r="N471" s="60"/>
      <c r="O471" s="90"/>
      <c r="P471" s="91"/>
      <c r="Q471" s="92"/>
      <c r="R471" s="68" t="str">
        <f t="shared" si="10"/>
        <v/>
      </c>
      <c r="S471" s="22"/>
    </row>
    <row r="472" spans="1:19" ht="18" customHeight="1">
      <c r="A472" s="85"/>
      <c r="B472" s="86"/>
      <c r="C472" s="22"/>
      <c r="D472" s="85"/>
      <c r="E472" s="87"/>
      <c r="F472" s="85"/>
      <c r="G472" s="22"/>
      <c r="H472" s="88"/>
      <c r="J472" s="22"/>
      <c r="M472" s="89"/>
      <c r="N472" s="60"/>
      <c r="O472" s="90"/>
      <c r="P472" s="91"/>
      <c r="Q472" s="92"/>
      <c r="R472" s="68" t="str">
        <f t="shared" si="10"/>
        <v/>
      </c>
      <c r="S472" s="22"/>
    </row>
    <row r="473" spans="1:19" ht="18" customHeight="1">
      <c r="A473" s="85"/>
      <c r="B473" s="86"/>
      <c r="C473" s="22"/>
      <c r="D473" s="85"/>
      <c r="E473" s="87"/>
      <c r="F473" s="85"/>
      <c r="G473" s="22"/>
      <c r="H473" s="88"/>
      <c r="J473" s="22"/>
      <c r="M473" s="89"/>
      <c r="N473" s="60"/>
      <c r="O473" s="90"/>
      <c r="P473" s="91"/>
      <c r="Q473" s="92"/>
      <c r="R473" s="68" t="str">
        <f t="shared" si="10"/>
        <v/>
      </c>
      <c r="S473" s="22"/>
    </row>
    <row r="474" spans="1:19" ht="18" customHeight="1">
      <c r="A474" s="85"/>
      <c r="B474" s="86"/>
      <c r="C474" s="22"/>
      <c r="D474" s="85"/>
      <c r="E474" s="87"/>
      <c r="F474" s="85"/>
      <c r="G474" s="22"/>
      <c r="H474" s="88"/>
      <c r="J474" s="22"/>
      <c r="M474" s="89"/>
      <c r="N474" s="60"/>
      <c r="O474" s="90"/>
      <c r="P474" s="91"/>
      <c r="Q474" s="92"/>
      <c r="R474" s="68" t="str">
        <f t="shared" si="10"/>
        <v/>
      </c>
      <c r="S474" s="22"/>
    </row>
    <row r="475" spans="1:19" ht="18" customHeight="1">
      <c r="A475" s="85"/>
      <c r="B475" s="86"/>
      <c r="C475" s="22"/>
      <c r="D475" s="85"/>
      <c r="E475" s="87"/>
      <c r="F475" s="85"/>
      <c r="G475" s="22"/>
      <c r="H475" s="88"/>
      <c r="J475" s="22"/>
      <c r="M475" s="89"/>
      <c r="N475" s="60"/>
      <c r="O475" s="90"/>
      <c r="P475" s="91"/>
      <c r="Q475" s="92"/>
      <c r="R475" s="68" t="str">
        <f t="shared" si="10"/>
        <v/>
      </c>
      <c r="S475" s="22"/>
    </row>
    <row r="476" spans="1:19" ht="18" customHeight="1">
      <c r="A476" s="85"/>
      <c r="B476" s="86"/>
      <c r="C476" s="22"/>
      <c r="D476" s="85"/>
      <c r="E476" s="87"/>
      <c r="F476" s="85"/>
      <c r="G476" s="22"/>
      <c r="H476" s="88"/>
      <c r="J476" s="22"/>
      <c r="M476" s="89"/>
      <c r="N476" s="60"/>
      <c r="O476" s="90"/>
      <c r="P476" s="91"/>
      <c r="Q476" s="92"/>
      <c r="R476" s="68" t="str">
        <f t="shared" si="10"/>
        <v/>
      </c>
      <c r="S476" s="22"/>
    </row>
    <row r="477" spans="1:19" ht="18" customHeight="1">
      <c r="A477" s="85"/>
      <c r="B477" s="86"/>
      <c r="C477" s="22"/>
      <c r="D477" s="85"/>
      <c r="E477" s="87"/>
      <c r="F477" s="85"/>
      <c r="G477" s="22"/>
      <c r="H477" s="88"/>
      <c r="J477" s="22"/>
      <c r="M477" s="89"/>
      <c r="N477" s="60"/>
      <c r="O477" s="90"/>
      <c r="P477" s="91"/>
      <c r="Q477" s="92"/>
      <c r="R477" s="68" t="str">
        <f t="shared" si="10"/>
        <v/>
      </c>
      <c r="S477" s="22"/>
    </row>
    <row r="478" spans="1:19" ht="18" customHeight="1">
      <c r="A478" s="85"/>
      <c r="B478" s="86"/>
      <c r="C478" s="22"/>
      <c r="D478" s="85"/>
      <c r="E478" s="87"/>
      <c r="F478" s="85"/>
      <c r="G478" s="22"/>
      <c r="H478" s="88"/>
      <c r="J478" s="22"/>
      <c r="M478" s="89"/>
      <c r="N478" s="60"/>
      <c r="O478" s="90"/>
      <c r="P478" s="91"/>
      <c r="Q478" s="92"/>
      <c r="R478" s="68" t="str">
        <f t="shared" si="10"/>
        <v/>
      </c>
      <c r="S478" s="22"/>
    </row>
    <row r="479" spans="1:19" ht="18" customHeight="1">
      <c r="A479" s="85"/>
      <c r="B479" s="86"/>
      <c r="C479" s="22"/>
      <c r="D479" s="85"/>
      <c r="E479" s="87"/>
      <c r="F479" s="85"/>
      <c r="G479" s="22"/>
      <c r="H479" s="88"/>
      <c r="J479" s="22"/>
      <c r="M479" s="89"/>
      <c r="N479" s="60"/>
      <c r="O479" s="90"/>
      <c r="P479" s="91"/>
      <c r="Q479" s="92"/>
      <c r="R479" s="68" t="str">
        <f t="shared" si="10"/>
        <v/>
      </c>
      <c r="S479" s="22"/>
    </row>
    <row r="480" spans="1:19" ht="18" customHeight="1">
      <c r="A480" s="85"/>
      <c r="B480" s="86"/>
      <c r="C480" s="22"/>
      <c r="D480" s="85"/>
      <c r="E480" s="87"/>
      <c r="F480" s="85"/>
      <c r="G480" s="22"/>
      <c r="H480" s="88"/>
      <c r="J480" s="22"/>
      <c r="M480" s="89"/>
      <c r="N480" s="60"/>
      <c r="O480" s="90"/>
      <c r="P480" s="91"/>
      <c r="Q480" s="92"/>
      <c r="R480" s="68" t="str">
        <f t="shared" si="10"/>
        <v/>
      </c>
      <c r="S480" s="22"/>
    </row>
    <row r="481" spans="1:19" ht="18" customHeight="1">
      <c r="A481" s="85"/>
      <c r="B481" s="86"/>
      <c r="C481" s="22"/>
      <c r="D481" s="85"/>
      <c r="E481" s="87"/>
      <c r="F481" s="85"/>
      <c r="G481" s="22"/>
      <c r="H481" s="88"/>
      <c r="J481" s="22"/>
      <c r="M481" s="89"/>
      <c r="N481" s="60"/>
      <c r="O481" s="90"/>
      <c r="P481" s="91"/>
      <c r="Q481" s="92"/>
      <c r="R481" s="68" t="str">
        <f t="shared" si="10"/>
        <v/>
      </c>
      <c r="S481" s="22"/>
    </row>
    <row r="482" spans="1:19" ht="18" customHeight="1">
      <c r="A482" s="85"/>
      <c r="B482" s="86"/>
      <c r="C482" s="22"/>
      <c r="D482" s="85"/>
      <c r="E482" s="87"/>
      <c r="F482" s="85"/>
      <c r="G482" s="22"/>
      <c r="H482" s="88"/>
      <c r="J482" s="22"/>
      <c r="M482" s="89"/>
      <c r="N482" s="60"/>
      <c r="O482" s="90"/>
      <c r="P482" s="91"/>
      <c r="Q482" s="92"/>
      <c r="R482" s="68" t="str">
        <f t="shared" si="10"/>
        <v/>
      </c>
      <c r="S482" s="22"/>
    </row>
    <row r="483" spans="1:19" ht="18" customHeight="1">
      <c r="A483" s="85"/>
      <c r="B483" s="86"/>
      <c r="C483" s="22"/>
      <c r="D483" s="85"/>
      <c r="E483" s="87"/>
      <c r="F483" s="85"/>
      <c r="G483" s="22"/>
      <c r="H483" s="88"/>
      <c r="J483" s="22"/>
      <c r="M483" s="89"/>
      <c r="N483" s="60"/>
      <c r="O483" s="90"/>
      <c r="P483" s="91"/>
      <c r="Q483" s="92"/>
      <c r="R483" s="68" t="str">
        <f t="shared" si="10"/>
        <v/>
      </c>
      <c r="S483" s="22"/>
    </row>
    <row r="484" spans="1:19" ht="18" customHeight="1">
      <c r="A484" s="85"/>
      <c r="B484" s="86"/>
      <c r="C484" s="22"/>
      <c r="D484" s="85"/>
      <c r="E484" s="87"/>
      <c r="F484" s="85"/>
      <c r="G484" s="22"/>
      <c r="H484" s="88"/>
      <c r="J484" s="22"/>
      <c r="M484" s="89"/>
      <c r="N484" s="60"/>
      <c r="O484" s="90"/>
      <c r="P484" s="91"/>
      <c r="Q484" s="92"/>
      <c r="R484" s="68" t="str">
        <f t="shared" si="10"/>
        <v/>
      </c>
      <c r="S484" s="22"/>
    </row>
    <row r="485" spans="1:19" ht="18" customHeight="1">
      <c r="A485" s="85"/>
      <c r="B485" s="86"/>
      <c r="C485" s="22"/>
      <c r="D485" s="85"/>
      <c r="E485" s="87"/>
      <c r="F485" s="85"/>
      <c r="G485" s="22"/>
      <c r="H485" s="88"/>
      <c r="J485" s="22"/>
      <c r="M485" s="89"/>
      <c r="N485" s="60"/>
      <c r="O485" s="90"/>
      <c r="P485" s="91"/>
      <c r="Q485" s="92"/>
      <c r="R485" s="68" t="str">
        <f t="shared" si="10"/>
        <v/>
      </c>
      <c r="S485" s="22"/>
    </row>
    <row r="486" spans="1:19" ht="18" customHeight="1">
      <c r="A486" s="85"/>
      <c r="B486" s="86"/>
      <c r="C486" s="22"/>
      <c r="D486" s="85"/>
      <c r="E486" s="87"/>
      <c r="F486" s="85"/>
      <c r="G486" s="22"/>
      <c r="H486" s="88"/>
      <c r="J486" s="22"/>
      <c r="M486" s="89"/>
      <c r="N486" s="60"/>
      <c r="O486" s="90"/>
      <c r="P486" s="91"/>
      <c r="Q486" s="92"/>
      <c r="R486" s="68" t="str">
        <f t="shared" si="10"/>
        <v/>
      </c>
      <c r="S486" s="22"/>
    </row>
    <row r="487" spans="1:19" ht="18" customHeight="1">
      <c r="A487" s="85"/>
      <c r="B487" s="86"/>
      <c r="C487" s="22"/>
      <c r="D487" s="85"/>
      <c r="E487" s="87"/>
      <c r="F487" s="85"/>
      <c r="G487" s="22"/>
      <c r="H487" s="88"/>
      <c r="J487" s="22"/>
      <c r="M487" s="89"/>
      <c r="N487" s="60"/>
      <c r="O487" s="90"/>
      <c r="P487" s="91"/>
      <c r="Q487" s="92"/>
      <c r="R487" s="68" t="str">
        <f t="shared" si="10"/>
        <v/>
      </c>
      <c r="S487" s="22"/>
    </row>
    <row r="488" spans="1:19" ht="18" customHeight="1">
      <c r="A488" s="85"/>
      <c r="B488" s="86"/>
      <c r="C488" s="22"/>
      <c r="D488" s="85"/>
      <c r="E488" s="87"/>
      <c r="F488" s="85"/>
      <c r="G488" s="22"/>
      <c r="H488" s="88"/>
      <c r="J488" s="22"/>
      <c r="M488" s="89"/>
      <c r="N488" s="60"/>
      <c r="O488" s="90"/>
      <c r="P488" s="91"/>
      <c r="Q488" s="92"/>
      <c r="R488" s="68" t="str">
        <f t="shared" si="10"/>
        <v/>
      </c>
      <c r="S488" s="22"/>
    </row>
    <row r="489" spans="1:19" ht="18" customHeight="1">
      <c r="A489" s="85"/>
      <c r="B489" s="86"/>
      <c r="C489" s="22"/>
      <c r="D489" s="85"/>
      <c r="E489" s="87"/>
      <c r="F489" s="85"/>
      <c r="G489" s="22"/>
      <c r="H489" s="88"/>
      <c r="J489" s="22"/>
      <c r="M489" s="89"/>
      <c r="N489" s="60"/>
      <c r="O489" s="90"/>
      <c r="P489" s="91"/>
      <c r="Q489" s="92"/>
      <c r="R489" s="68" t="str">
        <f t="shared" si="10"/>
        <v/>
      </c>
      <c r="S489" s="22"/>
    </row>
    <row r="490" spans="1:19" ht="18" customHeight="1">
      <c r="A490" s="85"/>
      <c r="B490" s="86"/>
      <c r="C490" s="22"/>
      <c r="D490" s="85"/>
      <c r="E490" s="87"/>
      <c r="F490" s="85"/>
      <c r="G490" s="22"/>
      <c r="H490" s="88"/>
      <c r="J490" s="22"/>
      <c r="M490" s="89"/>
      <c r="N490" s="60"/>
      <c r="O490" s="90"/>
      <c r="P490" s="91"/>
      <c r="Q490" s="92"/>
      <c r="R490" s="68" t="str">
        <f t="shared" si="10"/>
        <v/>
      </c>
      <c r="S490" s="22"/>
    </row>
    <row r="491" spans="1:19" ht="18" customHeight="1">
      <c r="A491" s="85"/>
      <c r="B491" s="86"/>
      <c r="C491" s="22"/>
      <c r="D491" s="85"/>
      <c r="E491" s="87"/>
      <c r="F491" s="85"/>
      <c r="G491" s="22"/>
      <c r="H491" s="88"/>
      <c r="J491" s="22"/>
      <c r="M491" s="89"/>
      <c r="N491" s="60"/>
      <c r="O491" s="90"/>
      <c r="P491" s="91"/>
      <c r="Q491" s="92"/>
      <c r="R491" s="68" t="str">
        <f t="shared" si="10"/>
        <v/>
      </c>
      <c r="S491" s="22"/>
    </row>
    <row r="492" spans="1:19" ht="18" customHeight="1">
      <c r="A492" s="85"/>
      <c r="B492" s="86"/>
      <c r="C492" s="22"/>
      <c r="D492" s="85"/>
      <c r="E492" s="87"/>
      <c r="F492" s="85"/>
      <c r="G492" s="22"/>
      <c r="H492" s="88"/>
      <c r="J492" s="22"/>
      <c r="M492" s="89"/>
      <c r="N492" s="60"/>
      <c r="O492" s="90"/>
      <c r="P492" s="91"/>
      <c r="Q492" s="92"/>
      <c r="R492" s="68" t="str">
        <f t="shared" si="10"/>
        <v/>
      </c>
      <c r="S492" s="22"/>
    </row>
    <row r="493" spans="1:19" ht="18" customHeight="1">
      <c r="A493" s="85"/>
      <c r="B493" s="86"/>
      <c r="C493" s="22"/>
      <c r="D493" s="85"/>
      <c r="E493" s="87"/>
      <c r="F493" s="85"/>
      <c r="G493" s="22"/>
      <c r="H493" s="88"/>
      <c r="J493" s="22"/>
      <c r="M493" s="89"/>
      <c r="N493" s="60"/>
      <c r="O493" s="90"/>
      <c r="P493" s="91"/>
      <c r="Q493" s="92"/>
      <c r="R493" s="68" t="str">
        <f t="shared" si="10"/>
        <v/>
      </c>
      <c r="S493" s="22"/>
    </row>
    <row r="494" spans="1:19" ht="18" customHeight="1">
      <c r="A494" s="85"/>
      <c r="B494" s="86"/>
      <c r="C494" s="22"/>
      <c r="D494" s="85"/>
      <c r="E494" s="87"/>
      <c r="F494" s="85"/>
      <c r="G494" s="22"/>
      <c r="H494" s="88"/>
      <c r="J494" s="22"/>
      <c r="M494" s="89"/>
      <c r="N494" s="60"/>
      <c r="O494" s="90"/>
      <c r="P494" s="91"/>
      <c r="Q494" s="92"/>
      <c r="R494" s="68" t="str">
        <f t="shared" si="10"/>
        <v/>
      </c>
      <c r="S494" s="22"/>
    </row>
    <row r="495" spans="1:19" ht="18" customHeight="1">
      <c r="A495" s="85"/>
      <c r="B495" s="86"/>
      <c r="C495" s="22"/>
      <c r="D495" s="85"/>
      <c r="E495" s="87"/>
      <c r="F495" s="85"/>
      <c r="G495" s="22"/>
      <c r="H495" s="88"/>
      <c r="J495" s="22"/>
      <c r="M495" s="89"/>
      <c r="N495" s="60"/>
      <c r="O495" s="90"/>
      <c r="P495" s="91"/>
      <c r="Q495" s="92"/>
      <c r="R495" s="68" t="str">
        <f t="shared" si="10"/>
        <v/>
      </c>
      <c r="S495" s="22"/>
    </row>
    <row r="496" spans="1:19" ht="18" customHeight="1">
      <c r="A496" s="85"/>
      <c r="B496" s="86"/>
      <c r="C496" s="22"/>
      <c r="D496" s="85"/>
      <c r="E496" s="87"/>
      <c r="F496" s="85"/>
      <c r="G496" s="22"/>
      <c r="H496" s="88"/>
      <c r="J496" s="22"/>
      <c r="M496" s="89"/>
      <c r="N496" s="60"/>
      <c r="O496" s="90"/>
      <c r="P496" s="91"/>
      <c r="Q496" s="92"/>
      <c r="R496" s="68" t="str">
        <f t="shared" si="10"/>
        <v/>
      </c>
      <c r="S496" s="22"/>
    </row>
    <row r="497" spans="1:19" ht="18" customHeight="1">
      <c r="A497" s="85"/>
      <c r="B497" s="86"/>
      <c r="C497" s="22"/>
      <c r="D497" s="85"/>
      <c r="E497" s="87"/>
      <c r="F497" s="85"/>
      <c r="G497" s="22"/>
      <c r="H497" s="88"/>
      <c r="J497" s="22"/>
      <c r="M497" s="89"/>
      <c r="N497" s="60"/>
      <c r="O497" s="90"/>
      <c r="P497" s="91"/>
      <c r="Q497" s="92"/>
      <c r="R497" s="68" t="str">
        <f t="shared" si="10"/>
        <v/>
      </c>
      <c r="S497" s="22"/>
    </row>
    <row r="498" spans="1:19" ht="18" customHeight="1">
      <c r="A498" s="85"/>
      <c r="B498" s="86"/>
      <c r="C498" s="22"/>
      <c r="D498" s="85"/>
      <c r="E498" s="87"/>
      <c r="F498" s="85"/>
      <c r="G498" s="22"/>
      <c r="H498" s="88"/>
      <c r="J498" s="22"/>
      <c r="M498" s="89"/>
      <c r="N498" s="60"/>
      <c r="O498" s="90"/>
      <c r="P498" s="91"/>
      <c r="Q498" s="92"/>
      <c r="R498" s="68" t="str">
        <f t="shared" si="10"/>
        <v/>
      </c>
      <c r="S498" s="22"/>
    </row>
    <row r="499" spans="1:19" ht="18" customHeight="1">
      <c r="A499" s="85"/>
      <c r="B499" s="86"/>
      <c r="C499" s="22"/>
      <c r="D499" s="85"/>
      <c r="E499" s="87"/>
      <c r="F499" s="85"/>
      <c r="G499" s="22"/>
      <c r="H499" s="88"/>
      <c r="J499" s="22"/>
      <c r="M499" s="89"/>
      <c r="N499" s="60"/>
      <c r="O499" s="90"/>
      <c r="P499" s="91"/>
      <c r="Q499" s="92"/>
      <c r="R499" s="68" t="str">
        <f t="shared" si="10"/>
        <v/>
      </c>
      <c r="S499" s="22"/>
    </row>
    <row r="500" spans="1:19" ht="18" customHeight="1">
      <c r="A500" s="85"/>
      <c r="B500" s="86"/>
      <c r="C500" s="22"/>
      <c r="D500" s="85"/>
      <c r="E500" s="87"/>
      <c r="F500" s="85"/>
      <c r="G500" s="22"/>
      <c r="H500" s="88"/>
      <c r="J500" s="22"/>
      <c r="M500" s="89"/>
      <c r="N500" s="60"/>
      <c r="O500" s="90"/>
      <c r="P500" s="91"/>
      <c r="Q500" s="92"/>
      <c r="R500" s="68" t="str">
        <f t="shared" ref="R500:R563" si="11">IF(SUM(Q500)&gt;0,SUM(Q500-P500),"")</f>
        <v/>
      </c>
      <c r="S500" s="22"/>
    </row>
    <row r="501" spans="1:19" ht="18" customHeight="1">
      <c r="A501" s="85"/>
      <c r="B501" s="86"/>
      <c r="C501" s="22"/>
      <c r="D501" s="85"/>
      <c r="E501" s="87"/>
      <c r="F501" s="85"/>
      <c r="G501" s="22"/>
      <c r="H501" s="88"/>
      <c r="J501" s="22"/>
      <c r="M501" s="89"/>
      <c r="N501" s="60"/>
      <c r="O501" s="90"/>
      <c r="P501" s="91"/>
      <c r="Q501" s="92"/>
      <c r="R501" s="68" t="str">
        <f t="shared" si="11"/>
        <v/>
      </c>
      <c r="S501" s="22"/>
    </row>
    <row r="502" spans="1:19" ht="18" customHeight="1">
      <c r="A502" s="85"/>
      <c r="B502" s="86"/>
      <c r="C502" s="22"/>
      <c r="D502" s="85"/>
      <c r="E502" s="87"/>
      <c r="F502" s="85"/>
      <c r="G502" s="22"/>
      <c r="H502" s="88"/>
      <c r="J502" s="22"/>
      <c r="M502" s="89"/>
      <c r="N502" s="60"/>
      <c r="O502" s="90"/>
      <c r="P502" s="91"/>
      <c r="Q502" s="92"/>
      <c r="R502" s="68" t="str">
        <f t="shared" si="11"/>
        <v/>
      </c>
      <c r="S502" s="22"/>
    </row>
    <row r="503" spans="1:19" ht="18" customHeight="1">
      <c r="A503" s="85"/>
      <c r="B503" s="86"/>
      <c r="C503" s="22"/>
      <c r="D503" s="85"/>
      <c r="E503" s="87"/>
      <c r="F503" s="85"/>
      <c r="G503" s="22"/>
      <c r="H503" s="88"/>
      <c r="J503" s="22"/>
      <c r="M503" s="89"/>
      <c r="N503" s="60"/>
      <c r="O503" s="90"/>
      <c r="P503" s="91"/>
      <c r="Q503" s="92"/>
      <c r="R503" s="68" t="str">
        <f t="shared" si="11"/>
        <v/>
      </c>
      <c r="S503" s="22"/>
    </row>
    <row r="504" spans="1:19" ht="18" customHeight="1">
      <c r="A504" s="85"/>
      <c r="B504" s="86"/>
      <c r="C504" s="22"/>
      <c r="D504" s="85"/>
      <c r="E504" s="87"/>
      <c r="F504" s="85"/>
      <c r="G504" s="22"/>
      <c r="H504" s="88"/>
      <c r="J504" s="22"/>
      <c r="M504" s="89"/>
      <c r="N504" s="60"/>
      <c r="O504" s="90"/>
      <c r="P504" s="91"/>
      <c r="Q504" s="92"/>
      <c r="R504" s="68" t="str">
        <f t="shared" si="11"/>
        <v/>
      </c>
      <c r="S504" s="22"/>
    </row>
    <row r="505" spans="1:19" ht="18" customHeight="1">
      <c r="A505" s="85"/>
      <c r="B505" s="86"/>
      <c r="C505" s="22"/>
      <c r="D505" s="85"/>
      <c r="E505" s="87"/>
      <c r="F505" s="85"/>
      <c r="G505" s="22"/>
      <c r="H505" s="88"/>
      <c r="J505" s="22"/>
      <c r="M505" s="89"/>
      <c r="N505" s="60"/>
      <c r="O505" s="90"/>
      <c r="P505" s="91"/>
      <c r="Q505" s="92"/>
      <c r="R505" s="68" t="str">
        <f t="shared" si="11"/>
        <v/>
      </c>
      <c r="S505" s="22"/>
    </row>
    <row r="506" spans="1:19" ht="18" customHeight="1">
      <c r="A506" s="85"/>
      <c r="B506" s="86"/>
      <c r="C506" s="22"/>
      <c r="D506" s="85"/>
      <c r="E506" s="87"/>
      <c r="F506" s="85"/>
      <c r="G506" s="22"/>
      <c r="H506" s="88"/>
      <c r="J506" s="22"/>
      <c r="M506" s="89"/>
      <c r="N506" s="60"/>
      <c r="O506" s="90"/>
      <c r="P506" s="91"/>
      <c r="Q506" s="92"/>
      <c r="R506" s="68" t="str">
        <f t="shared" si="11"/>
        <v/>
      </c>
      <c r="S506" s="22"/>
    </row>
    <row r="507" spans="1:19" ht="18" customHeight="1">
      <c r="A507" s="85"/>
      <c r="B507" s="86"/>
      <c r="C507" s="22"/>
      <c r="D507" s="85"/>
      <c r="E507" s="87"/>
      <c r="F507" s="85"/>
      <c r="G507" s="22"/>
      <c r="H507" s="88"/>
      <c r="J507" s="22"/>
      <c r="M507" s="89"/>
      <c r="N507" s="60"/>
      <c r="O507" s="90"/>
      <c r="P507" s="91"/>
      <c r="Q507" s="92"/>
      <c r="R507" s="68" t="str">
        <f t="shared" si="11"/>
        <v/>
      </c>
      <c r="S507" s="22"/>
    </row>
    <row r="508" spans="1:19" ht="18" customHeight="1">
      <c r="A508" s="85"/>
      <c r="B508" s="86"/>
      <c r="C508" s="22"/>
      <c r="D508" s="85"/>
      <c r="E508" s="87"/>
      <c r="F508" s="85"/>
      <c r="G508" s="22"/>
      <c r="H508" s="88"/>
      <c r="J508" s="22"/>
      <c r="M508" s="89"/>
      <c r="N508" s="60"/>
      <c r="O508" s="90"/>
      <c r="P508" s="91"/>
      <c r="Q508" s="92"/>
      <c r="R508" s="68" t="str">
        <f t="shared" si="11"/>
        <v/>
      </c>
      <c r="S508" s="22"/>
    </row>
    <row r="509" spans="1:19" ht="18" customHeight="1">
      <c r="A509" s="85"/>
      <c r="B509" s="86"/>
      <c r="C509" s="22"/>
      <c r="D509" s="85"/>
      <c r="E509" s="87"/>
      <c r="F509" s="85"/>
      <c r="G509" s="22"/>
      <c r="H509" s="88"/>
      <c r="J509" s="22"/>
      <c r="M509" s="89"/>
      <c r="N509" s="60"/>
      <c r="O509" s="90"/>
      <c r="P509" s="91"/>
      <c r="Q509" s="92"/>
      <c r="R509" s="68" t="str">
        <f t="shared" si="11"/>
        <v/>
      </c>
      <c r="S509" s="22"/>
    </row>
    <row r="510" spans="1:19" ht="18" customHeight="1">
      <c r="A510" s="85"/>
      <c r="B510" s="86"/>
      <c r="C510" s="22"/>
      <c r="D510" s="85"/>
      <c r="E510" s="87"/>
      <c r="F510" s="85"/>
      <c r="G510" s="22"/>
      <c r="H510" s="88"/>
      <c r="J510" s="22"/>
      <c r="M510" s="89"/>
      <c r="N510" s="60"/>
      <c r="O510" s="90"/>
      <c r="P510" s="91"/>
      <c r="Q510" s="92"/>
      <c r="R510" s="68" t="str">
        <f t="shared" si="11"/>
        <v/>
      </c>
      <c r="S510" s="22"/>
    </row>
    <row r="511" spans="1:19" ht="18" customHeight="1">
      <c r="A511" s="85"/>
      <c r="B511" s="86"/>
      <c r="C511" s="22"/>
      <c r="D511" s="85"/>
      <c r="E511" s="87"/>
      <c r="F511" s="85"/>
      <c r="G511" s="22"/>
      <c r="H511" s="88"/>
      <c r="J511" s="22"/>
      <c r="M511" s="89"/>
      <c r="N511" s="60"/>
      <c r="O511" s="90"/>
      <c r="P511" s="91"/>
      <c r="Q511" s="92"/>
      <c r="R511" s="68" t="str">
        <f t="shared" si="11"/>
        <v/>
      </c>
      <c r="S511" s="22"/>
    </row>
    <row r="512" spans="1:19" ht="18" customHeight="1">
      <c r="A512" s="85"/>
      <c r="B512" s="86"/>
      <c r="C512" s="22"/>
      <c r="D512" s="85"/>
      <c r="E512" s="87"/>
      <c r="F512" s="85"/>
      <c r="G512" s="22"/>
      <c r="H512" s="88"/>
      <c r="J512" s="22"/>
      <c r="M512" s="89"/>
      <c r="N512" s="60"/>
      <c r="O512" s="90"/>
      <c r="P512" s="91"/>
      <c r="Q512" s="92"/>
      <c r="R512" s="68" t="str">
        <f t="shared" si="11"/>
        <v/>
      </c>
      <c r="S512" s="22"/>
    </row>
    <row r="513" spans="1:19" ht="18" customHeight="1">
      <c r="A513" s="85"/>
      <c r="B513" s="86"/>
      <c r="C513" s="22"/>
      <c r="D513" s="85"/>
      <c r="E513" s="87"/>
      <c r="F513" s="85"/>
      <c r="G513" s="22"/>
      <c r="H513" s="88"/>
      <c r="J513" s="22"/>
      <c r="M513" s="89"/>
      <c r="N513" s="60"/>
      <c r="O513" s="90"/>
      <c r="P513" s="91"/>
      <c r="Q513" s="92"/>
      <c r="R513" s="68" t="str">
        <f t="shared" si="11"/>
        <v/>
      </c>
      <c r="S513" s="22"/>
    </row>
    <row r="514" spans="1:19" ht="18" customHeight="1">
      <c r="A514" s="85"/>
      <c r="B514" s="86"/>
      <c r="C514" s="22"/>
      <c r="D514" s="85"/>
      <c r="E514" s="87"/>
      <c r="F514" s="85"/>
      <c r="G514" s="22"/>
      <c r="H514" s="88"/>
      <c r="J514" s="22"/>
      <c r="M514" s="89"/>
      <c r="N514" s="60"/>
      <c r="O514" s="90"/>
      <c r="P514" s="91"/>
      <c r="Q514" s="92"/>
      <c r="R514" s="68" t="str">
        <f t="shared" si="11"/>
        <v/>
      </c>
      <c r="S514" s="22"/>
    </row>
    <row r="515" spans="1:19" ht="18" customHeight="1">
      <c r="A515" s="85"/>
      <c r="B515" s="86"/>
      <c r="C515" s="22"/>
      <c r="D515" s="85"/>
      <c r="E515" s="87"/>
      <c r="F515" s="85"/>
      <c r="G515" s="22"/>
      <c r="H515" s="88"/>
      <c r="J515" s="22"/>
      <c r="M515" s="89"/>
      <c r="N515" s="60"/>
      <c r="O515" s="90"/>
      <c r="P515" s="91"/>
      <c r="Q515" s="92"/>
      <c r="R515" s="68" t="str">
        <f t="shared" si="11"/>
        <v/>
      </c>
      <c r="S515" s="22"/>
    </row>
    <row r="516" spans="1:19" ht="18" customHeight="1">
      <c r="A516" s="85"/>
      <c r="B516" s="86"/>
      <c r="C516" s="22"/>
      <c r="D516" s="85"/>
      <c r="E516" s="87"/>
      <c r="F516" s="85"/>
      <c r="G516" s="22"/>
      <c r="H516" s="88"/>
      <c r="J516" s="22"/>
      <c r="M516" s="89"/>
      <c r="N516" s="60"/>
      <c r="O516" s="90"/>
      <c r="P516" s="91"/>
      <c r="Q516" s="92"/>
      <c r="R516" s="68" t="str">
        <f t="shared" si="11"/>
        <v/>
      </c>
      <c r="S516" s="22"/>
    </row>
    <row r="517" spans="1:19" ht="18" customHeight="1">
      <c r="A517" s="85"/>
      <c r="B517" s="86"/>
      <c r="C517" s="22"/>
      <c r="D517" s="85"/>
      <c r="E517" s="87"/>
      <c r="F517" s="85"/>
      <c r="G517" s="22"/>
      <c r="H517" s="88"/>
      <c r="J517" s="22"/>
      <c r="M517" s="89"/>
      <c r="N517" s="60"/>
      <c r="O517" s="90"/>
      <c r="P517" s="91"/>
      <c r="Q517" s="92"/>
      <c r="R517" s="68" t="str">
        <f t="shared" si="11"/>
        <v/>
      </c>
      <c r="S517" s="22"/>
    </row>
    <row r="518" spans="1:19" ht="18" customHeight="1">
      <c r="A518" s="85"/>
      <c r="B518" s="86"/>
      <c r="C518" s="22"/>
      <c r="D518" s="85"/>
      <c r="E518" s="87"/>
      <c r="F518" s="85"/>
      <c r="G518" s="22"/>
      <c r="H518" s="88"/>
      <c r="J518" s="22"/>
      <c r="M518" s="89"/>
      <c r="N518" s="60"/>
      <c r="O518" s="90"/>
      <c r="P518" s="91"/>
      <c r="Q518" s="92"/>
      <c r="R518" s="68" t="str">
        <f t="shared" si="11"/>
        <v/>
      </c>
      <c r="S518" s="22"/>
    </row>
    <row r="519" spans="1:19" ht="18" customHeight="1">
      <c r="A519" s="85"/>
      <c r="B519" s="86"/>
      <c r="C519" s="22"/>
      <c r="D519" s="85"/>
      <c r="E519" s="87"/>
      <c r="F519" s="85"/>
      <c r="G519" s="22"/>
      <c r="H519" s="88"/>
      <c r="J519" s="22"/>
      <c r="M519" s="89"/>
      <c r="N519" s="60"/>
      <c r="O519" s="90"/>
      <c r="P519" s="91"/>
      <c r="Q519" s="92"/>
      <c r="R519" s="68" t="str">
        <f t="shared" si="11"/>
        <v/>
      </c>
      <c r="S519" s="22"/>
    </row>
    <row r="520" spans="1:19" ht="18" customHeight="1">
      <c r="A520" s="85"/>
      <c r="B520" s="86"/>
      <c r="C520" s="22"/>
      <c r="D520" s="85"/>
      <c r="E520" s="87"/>
      <c r="F520" s="85"/>
      <c r="G520" s="22"/>
      <c r="H520" s="88"/>
      <c r="J520" s="22"/>
      <c r="M520" s="89"/>
      <c r="N520" s="60"/>
      <c r="O520" s="90"/>
      <c r="P520" s="91"/>
      <c r="Q520" s="92"/>
      <c r="R520" s="68" t="str">
        <f t="shared" si="11"/>
        <v/>
      </c>
      <c r="S520" s="22"/>
    </row>
    <row r="521" spans="1:19" ht="18" customHeight="1">
      <c r="A521" s="85"/>
      <c r="B521" s="86"/>
      <c r="C521" s="22"/>
      <c r="D521" s="85"/>
      <c r="E521" s="87"/>
      <c r="F521" s="85"/>
      <c r="G521" s="22"/>
      <c r="H521" s="88"/>
      <c r="J521" s="22"/>
      <c r="M521" s="89"/>
      <c r="N521" s="60"/>
      <c r="O521" s="90"/>
      <c r="P521" s="91"/>
      <c r="Q521" s="92"/>
      <c r="R521" s="68" t="str">
        <f t="shared" si="11"/>
        <v/>
      </c>
      <c r="S521" s="22"/>
    </row>
    <row r="522" spans="1:19" ht="18" customHeight="1">
      <c r="A522" s="85"/>
      <c r="B522" s="86"/>
      <c r="C522" s="22"/>
      <c r="D522" s="85"/>
      <c r="E522" s="87"/>
      <c r="F522" s="85"/>
      <c r="G522" s="22"/>
      <c r="H522" s="88"/>
      <c r="J522" s="22"/>
      <c r="M522" s="89"/>
      <c r="N522" s="60"/>
      <c r="O522" s="90"/>
      <c r="P522" s="91"/>
      <c r="Q522" s="92"/>
      <c r="R522" s="68" t="str">
        <f t="shared" si="11"/>
        <v/>
      </c>
      <c r="S522" s="22"/>
    </row>
    <row r="523" spans="1:19" ht="18" customHeight="1">
      <c r="A523" s="85"/>
      <c r="B523" s="86"/>
      <c r="C523" s="22"/>
      <c r="D523" s="85"/>
      <c r="E523" s="87"/>
      <c r="F523" s="85"/>
      <c r="G523" s="22"/>
      <c r="H523" s="88"/>
      <c r="J523" s="22"/>
      <c r="M523" s="89"/>
      <c r="N523" s="60"/>
      <c r="O523" s="90"/>
      <c r="P523" s="91"/>
      <c r="Q523" s="92"/>
      <c r="R523" s="68" t="str">
        <f t="shared" si="11"/>
        <v/>
      </c>
      <c r="S523" s="22"/>
    </row>
    <row r="524" spans="1:19" ht="18" customHeight="1">
      <c r="A524" s="85"/>
      <c r="B524" s="86"/>
      <c r="C524" s="22"/>
      <c r="D524" s="85"/>
      <c r="E524" s="87"/>
      <c r="F524" s="85"/>
      <c r="G524" s="22"/>
      <c r="H524" s="88"/>
      <c r="J524" s="22"/>
      <c r="M524" s="89"/>
      <c r="N524" s="60"/>
      <c r="O524" s="90"/>
      <c r="P524" s="91"/>
      <c r="Q524" s="92"/>
      <c r="R524" s="68" t="str">
        <f t="shared" si="11"/>
        <v/>
      </c>
      <c r="S524" s="22"/>
    </row>
    <row r="525" spans="1:19" ht="18" customHeight="1">
      <c r="A525" s="85"/>
      <c r="B525" s="86"/>
      <c r="C525" s="22"/>
      <c r="D525" s="85"/>
      <c r="E525" s="87"/>
      <c r="F525" s="85"/>
      <c r="G525" s="22"/>
      <c r="H525" s="88"/>
      <c r="J525" s="22"/>
      <c r="M525" s="89"/>
      <c r="N525" s="60"/>
      <c r="O525" s="90"/>
      <c r="P525" s="91"/>
      <c r="Q525" s="92"/>
      <c r="R525" s="68" t="str">
        <f t="shared" si="11"/>
        <v/>
      </c>
      <c r="S525" s="22"/>
    </row>
    <row r="526" spans="1:19" ht="18" customHeight="1">
      <c r="A526" s="85"/>
      <c r="B526" s="86"/>
      <c r="C526" s="22"/>
      <c r="D526" s="85"/>
      <c r="E526" s="87"/>
      <c r="F526" s="85"/>
      <c r="G526" s="22"/>
      <c r="H526" s="88"/>
      <c r="J526" s="22"/>
      <c r="M526" s="89"/>
      <c r="N526" s="60"/>
      <c r="O526" s="90"/>
      <c r="P526" s="91"/>
      <c r="Q526" s="92"/>
      <c r="R526" s="68" t="str">
        <f t="shared" si="11"/>
        <v/>
      </c>
      <c r="S526" s="22"/>
    </row>
    <row r="527" spans="1:19" ht="18" customHeight="1">
      <c r="A527" s="85"/>
      <c r="B527" s="86"/>
      <c r="C527" s="22"/>
      <c r="D527" s="85"/>
      <c r="E527" s="87"/>
      <c r="F527" s="85"/>
      <c r="G527" s="22"/>
      <c r="H527" s="88"/>
      <c r="J527" s="22"/>
      <c r="M527" s="89"/>
      <c r="N527" s="60"/>
      <c r="O527" s="90"/>
      <c r="P527" s="91"/>
      <c r="Q527" s="92"/>
      <c r="R527" s="68" t="str">
        <f t="shared" si="11"/>
        <v/>
      </c>
      <c r="S527" s="22"/>
    </row>
    <row r="528" spans="1:19" ht="18" customHeight="1">
      <c r="A528" s="85"/>
      <c r="B528" s="86"/>
      <c r="C528" s="22"/>
      <c r="D528" s="85"/>
      <c r="E528" s="87"/>
      <c r="F528" s="85"/>
      <c r="G528" s="22"/>
      <c r="H528" s="88"/>
      <c r="J528" s="22"/>
      <c r="M528" s="89"/>
      <c r="N528" s="60"/>
      <c r="O528" s="90"/>
      <c r="P528" s="91"/>
      <c r="Q528" s="92"/>
      <c r="R528" s="68" t="str">
        <f t="shared" si="11"/>
        <v/>
      </c>
      <c r="S528" s="22"/>
    </row>
    <row r="529" spans="1:19" ht="18" customHeight="1">
      <c r="A529" s="85"/>
      <c r="B529" s="86"/>
      <c r="C529" s="22"/>
      <c r="D529" s="85"/>
      <c r="E529" s="87"/>
      <c r="F529" s="85"/>
      <c r="G529" s="22"/>
      <c r="H529" s="88"/>
      <c r="J529" s="22"/>
      <c r="M529" s="89"/>
      <c r="N529" s="60"/>
      <c r="O529" s="90"/>
      <c r="P529" s="91"/>
      <c r="Q529" s="92"/>
      <c r="R529" s="68" t="str">
        <f t="shared" si="11"/>
        <v/>
      </c>
      <c r="S529" s="22"/>
    </row>
    <row r="530" spans="1:19" ht="18" customHeight="1">
      <c r="A530" s="85"/>
      <c r="B530" s="86"/>
      <c r="C530" s="22"/>
      <c r="D530" s="85"/>
      <c r="E530" s="87"/>
      <c r="F530" s="85"/>
      <c r="G530" s="22"/>
      <c r="H530" s="88"/>
      <c r="J530" s="22"/>
      <c r="M530" s="89"/>
      <c r="N530" s="60"/>
      <c r="O530" s="90"/>
      <c r="P530" s="91"/>
      <c r="Q530" s="92"/>
      <c r="R530" s="68" t="str">
        <f t="shared" si="11"/>
        <v/>
      </c>
      <c r="S530" s="22"/>
    </row>
    <row r="531" spans="1:19" ht="18" customHeight="1">
      <c r="A531" s="85"/>
      <c r="B531" s="86"/>
      <c r="C531" s="22"/>
      <c r="D531" s="85"/>
      <c r="E531" s="87"/>
      <c r="F531" s="85"/>
      <c r="G531" s="22"/>
      <c r="H531" s="88"/>
      <c r="J531" s="22"/>
      <c r="M531" s="89"/>
      <c r="N531" s="60"/>
      <c r="O531" s="90"/>
      <c r="P531" s="91"/>
      <c r="Q531" s="92"/>
      <c r="R531" s="68" t="str">
        <f t="shared" si="11"/>
        <v/>
      </c>
      <c r="S531" s="22"/>
    </row>
    <row r="532" spans="1:19" ht="18" customHeight="1">
      <c r="A532" s="85"/>
      <c r="B532" s="86"/>
      <c r="C532" s="22"/>
      <c r="D532" s="85"/>
      <c r="E532" s="87"/>
      <c r="F532" s="85"/>
      <c r="G532" s="22"/>
      <c r="H532" s="88"/>
      <c r="J532" s="22"/>
      <c r="M532" s="89"/>
      <c r="N532" s="60"/>
      <c r="O532" s="90"/>
      <c r="P532" s="91"/>
      <c r="Q532" s="92"/>
      <c r="R532" s="68" t="str">
        <f t="shared" si="11"/>
        <v/>
      </c>
      <c r="S532" s="22"/>
    </row>
    <row r="533" spans="1:19" ht="18" customHeight="1">
      <c r="A533" s="85"/>
      <c r="B533" s="86"/>
      <c r="C533" s="22"/>
      <c r="D533" s="85"/>
      <c r="E533" s="87"/>
      <c r="F533" s="85"/>
      <c r="G533" s="22"/>
      <c r="H533" s="88"/>
      <c r="J533" s="22"/>
      <c r="M533" s="89"/>
      <c r="N533" s="60"/>
      <c r="O533" s="90"/>
      <c r="P533" s="91"/>
      <c r="Q533" s="92"/>
      <c r="R533" s="68" t="str">
        <f t="shared" si="11"/>
        <v/>
      </c>
      <c r="S533" s="22"/>
    </row>
    <row r="534" spans="1:19" ht="18" customHeight="1">
      <c r="A534" s="85"/>
      <c r="B534" s="86"/>
      <c r="C534" s="22"/>
      <c r="D534" s="85"/>
      <c r="E534" s="87"/>
      <c r="F534" s="85"/>
      <c r="G534" s="22"/>
      <c r="H534" s="88"/>
      <c r="J534" s="22"/>
      <c r="M534" s="89"/>
      <c r="N534" s="60"/>
      <c r="O534" s="90"/>
      <c r="P534" s="91"/>
      <c r="Q534" s="92"/>
      <c r="R534" s="68" t="str">
        <f t="shared" si="11"/>
        <v/>
      </c>
      <c r="S534" s="22"/>
    </row>
    <row r="535" spans="1:19" ht="18" customHeight="1">
      <c r="A535" s="85"/>
      <c r="B535" s="86"/>
      <c r="C535" s="22"/>
      <c r="D535" s="85"/>
      <c r="E535" s="87"/>
      <c r="F535" s="85"/>
      <c r="G535" s="22"/>
      <c r="H535" s="88"/>
      <c r="J535" s="22"/>
      <c r="M535" s="89"/>
      <c r="N535" s="60"/>
      <c r="O535" s="90"/>
      <c r="P535" s="91"/>
      <c r="Q535" s="92"/>
      <c r="R535" s="68" t="str">
        <f t="shared" si="11"/>
        <v/>
      </c>
      <c r="S535" s="22"/>
    </row>
    <row r="536" spans="1:19" ht="18" customHeight="1">
      <c r="A536" s="85"/>
      <c r="B536" s="86"/>
      <c r="C536" s="22"/>
      <c r="D536" s="85"/>
      <c r="E536" s="87"/>
      <c r="F536" s="85"/>
      <c r="G536" s="22"/>
      <c r="H536" s="88"/>
      <c r="J536" s="22"/>
      <c r="M536" s="89"/>
      <c r="N536" s="60"/>
      <c r="O536" s="90"/>
      <c r="P536" s="91"/>
      <c r="Q536" s="92"/>
      <c r="R536" s="68" t="str">
        <f t="shared" si="11"/>
        <v/>
      </c>
      <c r="S536" s="22"/>
    </row>
    <row r="537" spans="1:19" ht="18" customHeight="1">
      <c r="A537" s="85"/>
      <c r="B537" s="86"/>
      <c r="C537" s="22"/>
      <c r="D537" s="85"/>
      <c r="E537" s="87"/>
      <c r="F537" s="85"/>
      <c r="G537" s="22"/>
      <c r="H537" s="88"/>
      <c r="J537" s="22"/>
      <c r="M537" s="89"/>
      <c r="N537" s="60"/>
      <c r="O537" s="90"/>
      <c r="P537" s="91"/>
      <c r="Q537" s="92"/>
      <c r="R537" s="68" t="str">
        <f t="shared" si="11"/>
        <v/>
      </c>
      <c r="S537" s="22"/>
    </row>
    <row r="538" spans="1:19" ht="18" customHeight="1">
      <c r="A538" s="85"/>
      <c r="B538" s="86"/>
      <c r="C538" s="22"/>
      <c r="D538" s="85"/>
      <c r="E538" s="87"/>
      <c r="F538" s="85"/>
      <c r="G538" s="22"/>
      <c r="H538" s="88"/>
      <c r="J538" s="22"/>
      <c r="M538" s="89"/>
      <c r="N538" s="60"/>
      <c r="O538" s="90"/>
      <c r="P538" s="91"/>
      <c r="Q538" s="92"/>
      <c r="R538" s="68" t="str">
        <f t="shared" si="11"/>
        <v/>
      </c>
      <c r="S538" s="22"/>
    </row>
    <row r="539" spans="1:19" ht="18" customHeight="1">
      <c r="A539" s="85"/>
      <c r="B539" s="86"/>
      <c r="C539" s="22"/>
      <c r="D539" s="85"/>
      <c r="E539" s="87"/>
      <c r="F539" s="85"/>
      <c r="G539" s="22"/>
      <c r="H539" s="88"/>
      <c r="J539" s="22"/>
      <c r="M539" s="89"/>
      <c r="N539" s="60"/>
      <c r="O539" s="90"/>
      <c r="P539" s="91"/>
      <c r="Q539" s="92"/>
      <c r="R539" s="68" t="str">
        <f t="shared" si="11"/>
        <v/>
      </c>
      <c r="S539" s="22"/>
    </row>
    <row r="540" spans="1:19" ht="18" customHeight="1">
      <c r="A540" s="85"/>
      <c r="B540" s="86"/>
      <c r="C540" s="22"/>
      <c r="D540" s="85"/>
      <c r="E540" s="87"/>
      <c r="F540" s="85"/>
      <c r="G540" s="22"/>
      <c r="H540" s="88"/>
      <c r="J540" s="22"/>
      <c r="M540" s="89"/>
      <c r="N540" s="60"/>
      <c r="O540" s="90"/>
      <c r="P540" s="91"/>
      <c r="Q540" s="92"/>
      <c r="R540" s="68" t="str">
        <f t="shared" si="11"/>
        <v/>
      </c>
      <c r="S540" s="22"/>
    </row>
    <row r="541" spans="1:19" ht="18" customHeight="1">
      <c r="A541" s="85"/>
      <c r="B541" s="86"/>
      <c r="C541" s="22"/>
      <c r="D541" s="85"/>
      <c r="E541" s="87"/>
      <c r="F541" s="85"/>
      <c r="G541" s="22"/>
      <c r="H541" s="88"/>
      <c r="J541" s="22"/>
      <c r="M541" s="89"/>
      <c r="N541" s="60"/>
      <c r="O541" s="90"/>
      <c r="P541" s="91"/>
      <c r="Q541" s="92"/>
      <c r="R541" s="68" t="str">
        <f t="shared" si="11"/>
        <v/>
      </c>
      <c r="S541" s="22"/>
    </row>
    <row r="542" spans="1:19" ht="18" customHeight="1">
      <c r="A542" s="85"/>
      <c r="B542" s="86"/>
      <c r="C542" s="22"/>
      <c r="D542" s="85"/>
      <c r="E542" s="87"/>
      <c r="F542" s="85"/>
      <c r="G542" s="22"/>
      <c r="H542" s="88"/>
      <c r="J542" s="22"/>
      <c r="M542" s="89"/>
      <c r="N542" s="60"/>
      <c r="O542" s="90"/>
      <c r="P542" s="91"/>
      <c r="Q542" s="92"/>
      <c r="R542" s="68" t="str">
        <f t="shared" si="11"/>
        <v/>
      </c>
      <c r="S542" s="22"/>
    </row>
    <row r="543" spans="1:19" ht="18" customHeight="1">
      <c r="A543" s="85"/>
      <c r="B543" s="86"/>
      <c r="C543" s="22"/>
      <c r="D543" s="85"/>
      <c r="E543" s="87"/>
      <c r="F543" s="85"/>
      <c r="G543" s="22"/>
      <c r="H543" s="88"/>
      <c r="J543" s="22"/>
      <c r="M543" s="89"/>
      <c r="N543" s="60"/>
      <c r="O543" s="90"/>
      <c r="P543" s="91"/>
      <c r="Q543" s="92"/>
      <c r="R543" s="68" t="str">
        <f t="shared" si="11"/>
        <v/>
      </c>
      <c r="S543" s="22"/>
    </row>
    <row r="544" spans="1:19" ht="18" customHeight="1">
      <c r="A544" s="85"/>
      <c r="B544" s="86"/>
      <c r="C544" s="22"/>
      <c r="D544" s="85"/>
      <c r="E544" s="87"/>
      <c r="F544" s="85"/>
      <c r="G544" s="22"/>
      <c r="H544" s="88"/>
      <c r="J544" s="22"/>
      <c r="M544" s="89"/>
      <c r="N544" s="60"/>
      <c r="O544" s="90"/>
      <c r="P544" s="91"/>
      <c r="Q544" s="92"/>
      <c r="R544" s="68" t="str">
        <f t="shared" si="11"/>
        <v/>
      </c>
      <c r="S544" s="22"/>
    </row>
    <row r="545" spans="1:19" ht="18" customHeight="1">
      <c r="A545" s="85"/>
      <c r="B545" s="86"/>
      <c r="C545" s="22"/>
      <c r="D545" s="85"/>
      <c r="E545" s="87"/>
      <c r="F545" s="85"/>
      <c r="G545" s="22"/>
      <c r="H545" s="88"/>
      <c r="J545" s="22"/>
      <c r="M545" s="89"/>
      <c r="N545" s="60"/>
      <c r="O545" s="90"/>
      <c r="P545" s="91"/>
      <c r="Q545" s="92"/>
      <c r="R545" s="68" t="str">
        <f t="shared" si="11"/>
        <v/>
      </c>
      <c r="S545" s="22"/>
    </row>
    <row r="546" spans="1:19" ht="18" customHeight="1">
      <c r="A546" s="85"/>
      <c r="B546" s="86"/>
      <c r="C546" s="22"/>
      <c r="D546" s="85"/>
      <c r="E546" s="87"/>
      <c r="F546" s="85"/>
      <c r="G546" s="22"/>
      <c r="H546" s="88"/>
      <c r="J546" s="22"/>
      <c r="M546" s="89"/>
      <c r="N546" s="60"/>
      <c r="O546" s="90"/>
      <c r="P546" s="91"/>
      <c r="Q546" s="92"/>
      <c r="R546" s="68" t="str">
        <f t="shared" si="11"/>
        <v/>
      </c>
      <c r="S546" s="22"/>
    </row>
    <row r="547" spans="1:19" ht="18" customHeight="1">
      <c r="A547" s="85"/>
      <c r="B547" s="86"/>
      <c r="C547" s="22"/>
      <c r="D547" s="85"/>
      <c r="E547" s="87"/>
      <c r="F547" s="85"/>
      <c r="G547" s="22"/>
      <c r="H547" s="88"/>
      <c r="J547" s="22"/>
      <c r="M547" s="89"/>
      <c r="N547" s="60"/>
      <c r="O547" s="90"/>
      <c r="P547" s="91"/>
      <c r="Q547" s="92"/>
      <c r="R547" s="68" t="str">
        <f t="shared" si="11"/>
        <v/>
      </c>
      <c r="S547" s="22"/>
    </row>
    <row r="548" spans="1:19" ht="18" customHeight="1">
      <c r="A548" s="85"/>
      <c r="B548" s="86"/>
      <c r="C548" s="22"/>
      <c r="D548" s="85"/>
      <c r="E548" s="87"/>
      <c r="F548" s="85"/>
      <c r="G548" s="22"/>
      <c r="H548" s="88"/>
      <c r="J548" s="22"/>
      <c r="M548" s="89"/>
      <c r="N548" s="60"/>
      <c r="O548" s="90"/>
      <c r="P548" s="91"/>
      <c r="Q548" s="92"/>
      <c r="R548" s="68" t="str">
        <f t="shared" si="11"/>
        <v/>
      </c>
      <c r="S548" s="22"/>
    </row>
    <row r="549" spans="1:19" ht="18" customHeight="1">
      <c r="A549" s="85"/>
      <c r="B549" s="86"/>
      <c r="C549" s="22"/>
      <c r="D549" s="85"/>
      <c r="E549" s="87"/>
      <c r="F549" s="85"/>
      <c r="G549" s="22"/>
      <c r="H549" s="88"/>
      <c r="J549" s="22"/>
      <c r="M549" s="89"/>
      <c r="N549" s="60"/>
      <c r="O549" s="90"/>
      <c r="P549" s="91"/>
      <c r="Q549" s="92"/>
      <c r="R549" s="68" t="str">
        <f t="shared" si="11"/>
        <v/>
      </c>
      <c r="S549" s="22"/>
    </row>
    <row r="550" spans="1:19" ht="18" customHeight="1">
      <c r="A550" s="85"/>
      <c r="B550" s="86"/>
      <c r="C550" s="22"/>
      <c r="D550" s="85"/>
      <c r="E550" s="87"/>
      <c r="F550" s="85"/>
      <c r="G550" s="22"/>
      <c r="H550" s="88"/>
      <c r="J550" s="22"/>
      <c r="M550" s="89"/>
      <c r="N550" s="60"/>
      <c r="O550" s="90"/>
      <c r="P550" s="91"/>
      <c r="Q550" s="92"/>
      <c r="R550" s="68" t="str">
        <f t="shared" si="11"/>
        <v/>
      </c>
      <c r="S550" s="22"/>
    </row>
    <row r="551" spans="1:19" ht="18" customHeight="1">
      <c r="A551" s="85"/>
      <c r="B551" s="86"/>
      <c r="C551" s="22"/>
      <c r="D551" s="85"/>
      <c r="E551" s="87"/>
      <c r="F551" s="85"/>
      <c r="G551" s="22"/>
      <c r="H551" s="88"/>
      <c r="J551" s="22"/>
      <c r="M551" s="89"/>
      <c r="N551" s="60"/>
      <c r="O551" s="90"/>
      <c r="P551" s="91"/>
      <c r="Q551" s="92"/>
      <c r="R551" s="68" t="str">
        <f t="shared" si="11"/>
        <v/>
      </c>
      <c r="S551" s="22"/>
    </row>
    <row r="552" spans="1:19" ht="18" customHeight="1">
      <c r="A552" s="85"/>
      <c r="B552" s="86"/>
      <c r="C552" s="22"/>
      <c r="D552" s="85"/>
      <c r="E552" s="87"/>
      <c r="F552" s="85"/>
      <c r="G552" s="22"/>
      <c r="H552" s="88"/>
      <c r="J552" s="22"/>
      <c r="M552" s="89"/>
      <c r="N552" s="60"/>
      <c r="O552" s="90"/>
      <c r="P552" s="91"/>
      <c r="Q552" s="92"/>
      <c r="R552" s="68" t="str">
        <f t="shared" si="11"/>
        <v/>
      </c>
      <c r="S552" s="22"/>
    </row>
    <row r="553" spans="1:19" ht="18" customHeight="1">
      <c r="A553" s="85"/>
      <c r="B553" s="86"/>
      <c r="C553" s="22"/>
      <c r="D553" s="85"/>
      <c r="E553" s="87"/>
      <c r="F553" s="85"/>
      <c r="G553" s="22"/>
      <c r="H553" s="88"/>
      <c r="J553" s="22"/>
      <c r="M553" s="89"/>
      <c r="N553" s="60"/>
      <c r="O553" s="90"/>
      <c r="P553" s="91"/>
      <c r="Q553" s="92"/>
      <c r="R553" s="68" t="str">
        <f t="shared" si="11"/>
        <v/>
      </c>
      <c r="S553" s="22"/>
    </row>
    <row r="554" spans="1:19" ht="18" customHeight="1">
      <c r="A554" s="85"/>
      <c r="B554" s="86"/>
      <c r="C554" s="22"/>
      <c r="D554" s="85"/>
      <c r="E554" s="87"/>
      <c r="F554" s="85"/>
      <c r="G554" s="22"/>
      <c r="H554" s="88"/>
      <c r="J554" s="22"/>
      <c r="M554" s="89"/>
      <c r="N554" s="60"/>
      <c r="O554" s="90"/>
      <c r="P554" s="91"/>
      <c r="Q554" s="92"/>
      <c r="R554" s="68" t="str">
        <f t="shared" si="11"/>
        <v/>
      </c>
      <c r="S554" s="22"/>
    </row>
    <row r="555" spans="1:19" ht="18" customHeight="1">
      <c r="A555" s="85"/>
      <c r="B555" s="86"/>
      <c r="C555" s="22"/>
      <c r="D555" s="85"/>
      <c r="E555" s="87"/>
      <c r="F555" s="85"/>
      <c r="G555" s="22"/>
      <c r="H555" s="88"/>
      <c r="J555" s="22"/>
      <c r="M555" s="89"/>
      <c r="N555" s="60"/>
      <c r="O555" s="90"/>
      <c r="P555" s="91"/>
      <c r="Q555" s="92"/>
      <c r="R555" s="68" t="str">
        <f t="shared" si="11"/>
        <v/>
      </c>
      <c r="S555" s="22"/>
    </row>
    <row r="556" spans="1:19" ht="18" customHeight="1">
      <c r="A556" s="85"/>
      <c r="B556" s="86"/>
      <c r="C556" s="22"/>
      <c r="D556" s="85"/>
      <c r="E556" s="87"/>
      <c r="F556" s="85"/>
      <c r="G556" s="22"/>
      <c r="H556" s="88"/>
      <c r="J556" s="22"/>
      <c r="M556" s="89"/>
      <c r="N556" s="60"/>
      <c r="O556" s="90"/>
      <c r="P556" s="91"/>
      <c r="Q556" s="92"/>
      <c r="R556" s="68" t="str">
        <f t="shared" si="11"/>
        <v/>
      </c>
      <c r="S556" s="22"/>
    </row>
    <row r="557" spans="1:19" ht="18" customHeight="1">
      <c r="A557" s="85"/>
      <c r="B557" s="86"/>
      <c r="C557" s="22"/>
      <c r="D557" s="85"/>
      <c r="E557" s="87"/>
      <c r="F557" s="85"/>
      <c r="G557" s="22"/>
      <c r="H557" s="88"/>
      <c r="J557" s="22"/>
      <c r="M557" s="89"/>
      <c r="N557" s="60"/>
      <c r="O557" s="90"/>
      <c r="P557" s="91"/>
      <c r="Q557" s="92"/>
      <c r="R557" s="68" t="str">
        <f t="shared" si="11"/>
        <v/>
      </c>
      <c r="S557" s="22"/>
    </row>
    <row r="558" spans="1:19" ht="18" customHeight="1">
      <c r="A558" s="85"/>
      <c r="B558" s="86"/>
      <c r="C558" s="22"/>
      <c r="D558" s="85"/>
      <c r="E558" s="87"/>
      <c r="F558" s="85"/>
      <c r="G558" s="22"/>
      <c r="H558" s="88"/>
      <c r="J558" s="22"/>
      <c r="M558" s="89"/>
      <c r="N558" s="60"/>
      <c r="O558" s="90"/>
      <c r="P558" s="91"/>
      <c r="Q558" s="92"/>
      <c r="R558" s="68" t="str">
        <f t="shared" si="11"/>
        <v/>
      </c>
      <c r="S558" s="22"/>
    </row>
    <row r="559" spans="1:19" ht="18" customHeight="1">
      <c r="A559" s="85"/>
      <c r="B559" s="86"/>
      <c r="C559" s="22"/>
      <c r="D559" s="85"/>
      <c r="E559" s="87"/>
      <c r="F559" s="85"/>
      <c r="G559" s="22"/>
      <c r="H559" s="88"/>
      <c r="J559" s="22"/>
      <c r="M559" s="89"/>
      <c r="N559" s="60"/>
      <c r="O559" s="90"/>
      <c r="P559" s="91"/>
      <c r="Q559" s="92"/>
      <c r="R559" s="68" t="str">
        <f t="shared" si="11"/>
        <v/>
      </c>
      <c r="S559" s="22"/>
    </row>
    <row r="560" spans="1:19" ht="18" customHeight="1">
      <c r="A560" s="85"/>
      <c r="B560" s="86"/>
      <c r="C560" s="22"/>
      <c r="D560" s="85"/>
      <c r="E560" s="87"/>
      <c r="F560" s="85"/>
      <c r="G560" s="22"/>
      <c r="H560" s="88"/>
      <c r="J560" s="22"/>
      <c r="M560" s="89"/>
      <c r="N560" s="60"/>
      <c r="O560" s="90"/>
      <c r="P560" s="91"/>
      <c r="Q560" s="92"/>
      <c r="R560" s="68" t="str">
        <f t="shared" si="11"/>
        <v/>
      </c>
      <c r="S560" s="22"/>
    </row>
    <row r="561" spans="1:19" ht="18" customHeight="1">
      <c r="A561" s="85"/>
      <c r="B561" s="86"/>
      <c r="C561" s="22"/>
      <c r="D561" s="85"/>
      <c r="E561" s="87"/>
      <c r="F561" s="85"/>
      <c r="G561" s="22"/>
      <c r="H561" s="88"/>
      <c r="J561" s="22"/>
      <c r="M561" s="89"/>
      <c r="N561" s="60"/>
      <c r="O561" s="90"/>
      <c r="P561" s="91"/>
      <c r="Q561" s="92"/>
      <c r="R561" s="68" t="str">
        <f t="shared" si="11"/>
        <v/>
      </c>
      <c r="S561" s="22"/>
    </row>
    <row r="562" spans="1:19" ht="18" customHeight="1">
      <c r="A562" s="85"/>
      <c r="B562" s="86"/>
      <c r="C562" s="22"/>
      <c r="D562" s="85"/>
      <c r="E562" s="87"/>
      <c r="F562" s="85"/>
      <c r="G562" s="22"/>
      <c r="H562" s="88"/>
      <c r="J562" s="22"/>
      <c r="M562" s="89"/>
      <c r="N562" s="60"/>
      <c r="O562" s="90"/>
      <c r="P562" s="91"/>
      <c r="Q562" s="92"/>
      <c r="R562" s="68" t="str">
        <f t="shared" si="11"/>
        <v/>
      </c>
      <c r="S562" s="22"/>
    </row>
    <row r="563" spans="1:19" ht="18" customHeight="1">
      <c r="A563" s="85"/>
      <c r="B563" s="86"/>
      <c r="C563" s="22"/>
      <c r="D563" s="85"/>
      <c r="E563" s="87"/>
      <c r="F563" s="85"/>
      <c r="G563" s="22"/>
      <c r="H563" s="88"/>
      <c r="J563" s="22"/>
      <c r="M563" s="89"/>
      <c r="N563" s="60"/>
      <c r="O563" s="90"/>
      <c r="P563" s="91"/>
      <c r="Q563" s="92"/>
      <c r="R563" s="68" t="str">
        <f t="shared" si="11"/>
        <v/>
      </c>
      <c r="S563" s="22"/>
    </row>
    <row r="564" spans="1:19" ht="18" customHeight="1">
      <c r="A564" s="85"/>
      <c r="B564" s="86"/>
      <c r="C564" s="22"/>
      <c r="D564" s="85"/>
      <c r="E564" s="87"/>
      <c r="F564" s="85"/>
      <c r="G564" s="22"/>
      <c r="H564" s="88"/>
      <c r="J564" s="22"/>
      <c r="M564" s="89"/>
      <c r="N564" s="60"/>
      <c r="O564" s="90"/>
      <c r="P564" s="91"/>
      <c r="Q564" s="92"/>
      <c r="R564" s="68" t="str">
        <f t="shared" ref="R564:R627" si="12">IF(SUM(Q564)&gt;0,SUM(Q564-P564),"")</f>
        <v/>
      </c>
      <c r="S564" s="22"/>
    </row>
    <row r="565" spans="1:19" ht="18" customHeight="1">
      <c r="A565" s="85"/>
      <c r="B565" s="86"/>
      <c r="C565" s="22"/>
      <c r="D565" s="85"/>
      <c r="E565" s="87"/>
      <c r="F565" s="85"/>
      <c r="G565" s="22"/>
      <c r="H565" s="88"/>
      <c r="J565" s="22"/>
      <c r="M565" s="89"/>
      <c r="N565" s="60"/>
      <c r="O565" s="90"/>
      <c r="P565" s="91"/>
      <c r="Q565" s="92"/>
      <c r="R565" s="68" t="str">
        <f t="shared" si="12"/>
        <v/>
      </c>
      <c r="S565" s="22"/>
    </row>
    <row r="566" spans="1:19" ht="18" customHeight="1">
      <c r="A566" s="85"/>
      <c r="B566" s="86"/>
      <c r="C566" s="22"/>
      <c r="D566" s="85"/>
      <c r="E566" s="87"/>
      <c r="F566" s="85"/>
      <c r="G566" s="22"/>
      <c r="H566" s="88"/>
      <c r="J566" s="22"/>
      <c r="M566" s="89"/>
      <c r="N566" s="60"/>
      <c r="O566" s="90"/>
      <c r="P566" s="91"/>
      <c r="Q566" s="92"/>
      <c r="R566" s="68" t="str">
        <f t="shared" si="12"/>
        <v/>
      </c>
      <c r="S566" s="22"/>
    </row>
    <row r="567" spans="1:19" ht="18" customHeight="1">
      <c r="A567" s="85"/>
      <c r="B567" s="86"/>
      <c r="C567" s="22"/>
      <c r="D567" s="85"/>
      <c r="E567" s="87"/>
      <c r="F567" s="85"/>
      <c r="G567" s="22"/>
      <c r="H567" s="88"/>
      <c r="J567" s="22"/>
      <c r="M567" s="89"/>
      <c r="N567" s="60"/>
      <c r="O567" s="90"/>
      <c r="P567" s="91"/>
      <c r="Q567" s="92"/>
      <c r="R567" s="68" t="str">
        <f t="shared" si="12"/>
        <v/>
      </c>
      <c r="S567" s="22"/>
    </row>
    <row r="568" spans="1:19" ht="18" customHeight="1">
      <c r="A568" s="85"/>
      <c r="B568" s="86"/>
      <c r="C568" s="22"/>
      <c r="D568" s="85"/>
      <c r="E568" s="87"/>
      <c r="F568" s="85"/>
      <c r="G568" s="22"/>
      <c r="H568" s="88"/>
      <c r="J568" s="22"/>
      <c r="M568" s="89"/>
      <c r="N568" s="60"/>
      <c r="O568" s="90"/>
      <c r="P568" s="91"/>
      <c r="Q568" s="92"/>
      <c r="R568" s="68" t="str">
        <f t="shared" si="12"/>
        <v/>
      </c>
      <c r="S568" s="22"/>
    </row>
    <row r="569" spans="1:19" ht="18" customHeight="1">
      <c r="A569" s="85"/>
      <c r="B569" s="86"/>
      <c r="C569" s="22"/>
      <c r="D569" s="85"/>
      <c r="E569" s="87"/>
      <c r="F569" s="85"/>
      <c r="G569" s="22"/>
      <c r="H569" s="88"/>
      <c r="J569" s="22"/>
      <c r="M569" s="89"/>
      <c r="N569" s="60"/>
      <c r="O569" s="90"/>
      <c r="P569" s="91"/>
      <c r="Q569" s="92"/>
      <c r="R569" s="68" t="str">
        <f t="shared" si="12"/>
        <v/>
      </c>
      <c r="S569" s="22"/>
    </row>
    <row r="570" spans="1:19" ht="18" customHeight="1">
      <c r="A570" s="85"/>
      <c r="B570" s="86"/>
      <c r="C570" s="22"/>
      <c r="D570" s="85"/>
      <c r="E570" s="87"/>
      <c r="F570" s="85"/>
      <c r="G570" s="22"/>
      <c r="H570" s="88"/>
      <c r="J570" s="22"/>
      <c r="M570" s="89"/>
      <c r="N570" s="60"/>
      <c r="O570" s="90"/>
      <c r="P570" s="91"/>
      <c r="Q570" s="92"/>
      <c r="R570" s="68" t="str">
        <f t="shared" si="12"/>
        <v/>
      </c>
      <c r="S570" s="22"/>
    </row>
    <row r="571" spans="1:19" ht="18" customHeight="1">
      <c r="A571" s="85"/>
      <c r="B571" s="86"/>
      <c r="C571" s="22"/>
      <c r="D571" s="85"/>
      <c r="E571" s="87"/>
      <c r="F571" s="85"/>
      <c r="G571" s="22"/>
      <c r="H571" s="88"/>
      <c r="J571" s="22"/>
      <c r="M571" s="89"/>
      <c r="N571" s="60"/>
      <c r="O571" s="90"/>
      <c r="P571" s="91"/>
      <c r="Q571" s="92"/>
      <c r="R571" s="68" t="str">
        <f t="shared" si="12"/>
        <v/>
      </c>
      <c r="S571" s="22"/>
    </row>
    <row r="572" spans="1:19" ht="18" customHeight="1">
      <c r="A572" s="85"/>
      <c r="B572" s="86"/>
      <c r="C572" s="22"/>
      <c r="D572" s="85"/>
      <c r="E572" s="87"/>
      <c r="F572" s="85"/>
      <c r="G572" s="22"/>
      <c r="H572" s="88"/>
      <c r="J572" s="22"/>
      <c r="M572" s="89"/>
      <c r="N572" s="60"/>
      <c r="O572" s="90"/>
      <c r="P572" s="91"/>
      <c r="Q572" s="92"/>
      <c r="R572" s="68" t="str">
        <f t="shared" si="12"/>
        <v/>
      </c>
      <c r="S572" s="22"/>
    </row>
    <row r="573" spans="1:19" ht="18" customHeight="1">
      <c r="A573" s="85"/>
      <c r="B573" s="86"/>
      <c r="C573" s="22"/>
      <c r="D573" s="85"/>
      <c r="E573" s="87"/>
      <c r="F573" s="85"/>
      <c r="G573" s="22"/>
      <c r="H573" s="88"/>
      <c r="J573" s="22"/>
      <c r="M573" s="89"/>
      <c r="N573" s="60"/>
      <c r="O573" s="90"/>
      <c r="P573" s="91"/>
      <c r="Q573" s="92"/>
      <c r="R573" s="68" t="str">
        <f t="shared" si="12"/>
        <v/>
      </c>
      <c r="S573" s="22"/>
    </row>
    <row r="574" spans="1:19" ht="18" customHeight="1">
      <c r="A574" s="85"/>
      <c r="B574" s="86"/>
      <c r="C574" s="22"/>
      <c r="D574" s="85"/>
      <c r="E574" s="87"/>
      <c r="F574" s="85"/>
      <c r="G574" s="22"/>
      <c r="H574" s="88"/>
      <c r="J574" s="22"/>
      <c r="M574" s="89"/>
      <c r="N574" s="60"/>
      <c r="O574" s="90"/>
      <c r="P574" s="91"/>
      <c r="Q574" s="92"/>
      <c r="R574" s="68" t="str">
        <f t="shared" si="12"/>
        <v/>
      </c>
      <c r="S574" s="22"/>
    </row>
    <row r="575" spans="1:19" ht="18" customHeight="1">
      <c r="A575" s="85"/>
      <c r="B575" s="86"/>
      <c r="C575" s="22"/>
      <c r="D575" s="85"/>
      <c r="E575" s="87"/>
      <c r="F575" s="85"/>
      <c r="G575" s="22"/>
      <c r="H575" s="88"/>
      <c r="J575" s="22"/>
      <c r="M575" s="89"/>
      <c r="N575" s="60"/>
      <c r="O575" s="90"/>
      <c r="P575" s="91"/>
      <c r="Q575" s="92"/>
      <c r="R575" s="68" t="str">
        <f t="shared" si="12"/>
        <v/>
      </c>
      <c r="S575" s="22"/>
    </row>
    <row r="576" spans="1:19" ht="18" customHeight="1">
      <c r="A576" s="85"/>
      <c r="B576" s="86"/>
      <c r="C576" s="22"/>
      <c r="D576" s="85"/>
      <c r="E576" s="87"/>
      <c r="F576" s="85"/>
      <c r="G576" s="22"/>
      <c r="H576" s="88"/>
      <c r="J576" s="22"/>
      <c r="M576" s="89"/>
      <c r="N576" s="60"/>
      <c r="O576" s="90"/>
      <c r="P576" s="91"/>
      <c r="Q576" s="92"/>
      <c r="R576" s="68" t="str">
        <f t="shared" si="12"/>
        <v/>
      </c>
      <c r="S576" s="22"/>
    </row>
    <row r="577" spans="1:19" ht="18" customHeight="1">
      <c r="A577" s="85"/>
      <c r="B577" s="86"/>
      <c r="C577" s="22"/>
      <c r="D577" s="85"/>
      <c r="E577" s="87"/>
      <c r="F577" s="85"/>
      <c r="G577" s="22"/>
      <c r="H577" s="88"/>
      <c r="J577" s="22"/>
      <c r="M577" s="89"/>
      <c r="N577" s="60"/>
      <c r="O577" s="90"/>
      <c r="P577" s="91"/>
      <c r="Q577" s="92"/>
      <c r="R577" s="68" t="str">
        <f t="shared" si="12"/>
        <v/>
      </c>
      <c r="S577" s="22"/>
    </row>
    <row r="578" spans="1:19" ht="18" customHeight="1">
      <c r="A578" s="85"/>
      <c r="B578" s="86"/>
      <c r="C578" s="22"/>
      <c r="D578" s="85"/>
      <c r="E578" s="87"/>
      <c r="F578" s="85"/>
      <c r="G578" s="22"/>
      <c r="H578" s="88"/>
      <c r="J578" s="22"/>
      <c r="M578" s="89"/>
      <c r="N578" s="60"/>
      <c r="O578" s="90"/>
      <c r="P578" s="91"/>
      <c r="Q578" s="92"/>
      <c r="R578" s="68" t="str">
        <f t="shared" si="12"/>
        <v/>
      </c>
      <c r="S578" s="22"/>
    </row>
    <row r="579" spans="1:19" ht="18" customHeight="1">
      <c r="A579" s="85"/>
      <c r="B579" s="86"/>
      <c r="C579" s="22"/>
      <c r="D579" s="85"/>
      <c r="E579" s="87"/>
      <c r="F579" s="85"/>
      <c r="G579" s="22"/>
      <c r="H579" s="88"/>
      <c r="J579" s="22"/>
      <c r="M579" s="89"/>
      <c r="N579" s="60"/>
      <c r="O579" s="90"/>
      <c r="P579" s="91"/>
      <c r="Q579" s="92"/>
      <c r="R579" s="68" t="str">
        <f t="shared" si="12"/>
        <v/>
      </c>
      <c r="S579" s="22"/>
    </row>
    <row r="580" spans="1:19" ht="18" customHeight="1">
      <c r="A580" s="85"/>
      <c r="B580" s="86"/>
      <c r="C580" s="22"/>
      <c r="D580" s="85"/>
      <c r="E580" s="87"/>
      <c r="F580" s="85"/>
      <c r="G580" s="22"/>
      <c r="H580" s="88"/>
      <c r="J580" s="22"/>
      <c r="M580" s="89"/>
      <c r="N580" s="60"/>
      <c r="O580" s="90"/>
      <c r="P580" s="91"/>
      <c r="Q580" s="92"/>
      <c r="R580" s="68" t="str">
        <f t="shared" si="12"/>
        <v/>
      </c>
      <c r="S580" s="22"/>
    </row>
    <row r="581" spans="1:19" ht="18" customHeight="1">
      <c r="A581" s="85"/>
      <c r="B581" s="86"/>
      <c r="C581" s="22"/>
      <c r="D581" s="85"/>
      <c r="E581" s="87"/>
      <c r="F581" s="85"/>
      <c r="G581" s="22"/>
      <c r="H581" s="88"/>
      <c r="J581" s="22"/>
      <c r="M581" s="89"/>
      <c r="N581" s="60"/>
      <c r="O581" s="90"/>
      <c r="P581" s="91"/>
      <c r="Q581" s="92"/>
      <c r="R581" s="68" t="str">
        <f t="shared" si="12"/>
        <v/>
      </c>
      <c r="S581" s="22"/>
    </row>
    <row r="582" spans="1:19" ht="18" customHeight="1">
      <c r="A582" s="85"/>
      <c r="B582" s="86"/>
      <c r="C582" s="22"/>
      <c r="D582" s="85"/>
      <c r="E582" s="87"/>
      <c r="F582" s="85"/>
      <c r="G582" s="22"/>
      <c r="H582" s="88"/>
      <c r="J582" s="22"/>
      <c r="M582" s="89"/>
      <c r="N582" s="60"/>
      <c r="O582" s="90"/>
      <c r="P582" s="91"/>
      <c r="Q582" s="92"/>
      <c r="R582" s="68" t="str">
        <f t="shared" si="12"/>
        <v/>
      </c>
      <c r="S582" s="22"/>
    </row>
    <row r="583" spans="1:19" ht="18" customHeight="1">
      <c r="A583" s="85"/>
      <c r="B583" s="86"/>
      <c r="C583" s="22"/>
      <c r="D583" s="85"/>
      <c r="E583" s="87"/>
      <c r="F583" s="85"/>
      <c r="G583" s="22"/>
      <c r="H583" s="88"/>
      <c r="J583" s="22"/>
      <c r="M583" s="89"/>
      <c r="N583" s="60"/>
      <c r="O583" s="90"/>
      <c r="P583" s="91"/>
      <c r="Q583" s="92"/>
      <c r="R583" s="68" t="str">
        <f t="shared" si="12"/>
        <v/>
      </c>
      <c r="S583" s="22"/>
    </row>
    <row r="584" spans="1:19" ht="18" customHeight="1">
      <c r="A584" s="85"/>
      <c r="B584" s="86"/>
      <c r="C584" s="22"/>
      <c r="D584" s="85"/>
      <c r="E584" s="87"/>
      <c r="F584" s="85"/>
      <c r="G584" s="22"/>
      <c r="H584" s="88"/>
      <c r="J584" s="22"/>
      <c r="M584" s="89"/>
      <c r="N584" s="60"/>
      <c r="O584" s="90"/>
      <c r="P584" s="91"/>
      <c r="Q584" s="92"/>
      <c r="R584" s="68" t="str">
        <f t="shared" si="12"/>
        <v/>
      </c>
      <c r="S584" s="22"/>
    </row>
    <row r="585" spans="1:19" ht="18" customHeight="1">
      <c r="A585" s="85"/>
      <c r="B585" s="86"/>
      <c r="C585" s="22"/>
      <c r="D585" s="85"/>
      <c r="E585" s="87"/>
      <c r="F585" s="85"/>
      <c r="G585" s="22"/>
      <c r="H585" s="88"/>
      <c r="J585" s="22"/>
      <c r="M585" s="89"/>
      <c r="N585" s="60"/>
      <c r="O585" s="90"/>
      <c r="P585" s="91"/>
      <c r="Q585" s="92"/>
      <c r="R585" s="68" t="str">
        <f t="shared" si="12"/>
        <v/>
      </c>
      <c r="S585" s="22"/>
    </row>
    <row r="586" spans="1:19" ht="18" customHeight="1">
      <c r="A586" s="85"/>
      <c r="B586" s="86"/>
      <c r="C586" s="22"/>
      <c r="D586" s="85"/>
      <c r="E586" s="87"/>
      <c r="F586" s="85"/>
      <c r="G586" s="22"/>
      <c r="H586" s="88"/>
      <c r="J586" s="22"/>
      <c r="M586" s="89"/>
      <c r="N586" s="60"/>
      <c r="O586" s="90"/>
      <c r="P586" s="91"/>
      <c r="Q586" s="92"/>
      <c r="R586" s="68" t="str">
        <f t="shared" si="12"/>
        <v/>
      </c>
      <c r="S586" s="22"/>
    </row>
    <row r="587" spans="1:19" ht="18" customHeight="1">
      <c r="A587" s="85"/>
      <c r="B587" s="86"/>
      <c r="C587" s="22"/>
      <c r="D587" s="85"/>
      <c r="E587" s="87"/>
      <c r="F587" s="85"/>
      <c r="G587" s="22"/>
      <c r="H587" s="88"/>
      <c r="J587" s="22"/>
      <c r="M587" s="89"/>
      <c r="N587" s="60"/>
      <c r="O587" s="90"/>
      <c r="P587" s="91"/>
      <c r="Q587" s="92"/>
      <c r="R587" s="68" t="str">
        <f t="shared" si="12"/>
        <v/>
      </c>
      <c r="S587" s="22"/>
    </row>
    <row r="588" spans="1:19" ht="18" customHeight="1">
      <c r="A588" s="85"/>
      <c r="B588" s="86"/>
      <c r="C588" s="22"/>
      <c r="D588" s="85"/>
      <c r="E588" s="87"/>
      <c r="F588" s="85"/>
      <c r="G588" s="22"/>
      <c r="H588" s="88"/>
      <c r="J588" s="22"/>
      <c r="M588" s="89"/>
      <c r="N588" s="60"/>
      <c r="O588" s="90"/>
      <c r="P588" s="91"/>
      <c r="Q588" s="92"/>
      <c r="R588" s="68" t="str">
        <f t="shared" si="12"/>
        <v/>
      </c>
      <c r="S588" s="22"/>
    </row>
    <row r="589" spans="1:19" ht="18" customHeight="1">
      <c r="A589" s="85"/>
      <c r="B589" s="86"/>
      <c r="C589" s="22"/>
      <c r="D589" s="85"/>
      <c r="E589" s="87"/>
      <c r="F589" s="85"/>
      <c r="G589" s="22"/>
      <c r="H589" s="88"/>
      <c r="J589" s="22"/>
      <c r="M589" s="89"/>
      <c r="N589" s="60"/>
      <c r="O589" s="90"/>
      <c r="P589" s="91"/>
      <c r="Q589" s="92"/>
      <c r="R589" s="68" t="str">
        <f t="shared" si="12"/>
        <v/>
      </c>
      <c r="S589" s="22"/>
    </row>
    <row r="590" spans="1:19" ht="18" customHeight="1">
      <c r="A590" s="85"/>
      <c r="B590" s="86"/>
      <c r="C590" s="22"/>
      <c r="D590" s="85"/>
      <c r="E590" s="87"/>
      <c r="F590" s="85"/>
      <c r="G590" s="22"/>
      <c r="H590" s="88"/>
      <c r="J590" s="22"/>
      <c r="M590" s="89"/>
      <c r="N590" s="60"/>
      <c r="O590" s="90"/>
      <c r="P590" s="91"/>
      <c r="Q590" s="92"/>
      <c r="R590" s="68" t="str">
        <f t="shared" si="12"/>
        <v/>
      </c>
      <c r="S590" s="22"/>
    </row>
    <row r="591" spans="1:19" ht="18" customHeight="1">
      <c r="A591" s="85"/>
      <c r="B591" s="86"/>
      <c r="C591" s="22"/>
      <c r="D591" s="85"/>
      <c r="E591" s="87"/>
      <c r="F591" s="85"/>
      <c r="G591" s="22"/>
      <c r="H591" s="88"/>
      <c r="J591" s="22"/>
      <c r="M591" s="89"/>
      <c r="N591" s="60"/>
      <c r="O591" s="90"/>
      <c r="P591" s="91"/>
      <c r="Q591" s="92"/>
      <c r="R591" s="68" t="str">
        <f t="shared" si="12"/>
        <v/>
      </c>
      <c r="S591" s="22"/>
    </row>
    <row r="592" spans="1:19" ht="18" customHeight="1">
      <c r="A592" s="85"/>
      <c r="B592" s="86"/>
      <c r="C592" s="22"/>
      <c r="D592" s="85"/>
      <c r="E592" s="87"/>
      <c r="F592" s="85"/>
      <c r="G592" s="22"/>
      <c r="H592" s="88"/>
      <c r="J592" s="22"/>
      <c r="M592" s="89"/>
      <c r="N592" s="60"/>
      <c r="O592" s="90"/>
      <c r="P592" s="91"/>
      <c r="Q592" s="92"/>
      <c r="R592" s="68" t="str">
        <f t="shared" si="12"/>
        <v/>
      </c>
      <c r="S592" s="22"/>
    </row>
    <row r="593" spans="1:19" ht="18" customHeight="1">
      <c r="A593" s="85"/>
      <c r="B593" s="86"/>
      <c r="C593" s="22"/>
      <c r="D593" s="85"/>
      <c r="E593" s="87"/>
      <c r="F593" s="85"/>
      <c r="G593" s="22"/>
      <c r="H593" s="88"/>
      <c r="J593" s="22"/>
      <c r="M593" s="89"/>
      <c r="N593" s="60"/>
      <c r="O593" s="90"/>
      <c r="P593" s="91"/>
      <c r="Q593" s="92"/>
      <c r="R593" s="68" t="str">
        <f t="shared" si="12"/>
        <v/>
      </c>
      <c r="S593" s="22"/>
    </row>
    <row r="594" spans="1:19" ht="18" customHeight="1">
      <c r="A594" s="85"/>
      <c r="B594" s="86"/>
      <c r="C594" s="22"/>
      <c r="D594" s="85"/>
      <c r="E594" s="87"/>
      <c r="F594" s="85"/>
      <c r="G594" s="22"/>
      <c r="H594" s="88"/>
      <c r="J594" s="22"/>
      <c r="M594" s="89"/>
      <c r="N594" s="60"/>
      <c r="O594" s="90"/>
      <c r="P594" s="91"/>
      <c r="Q594" s="92"/>
      <c r="R594" s="68" t="str">
        <f t="shared" si="12"/>
        <v/>
      </c>
      <c r="S594" s="22"/>
    </row>
    <row r="595" spans="1:19" ht="18" customHeight="1">
      <c r="A595" s="85"/>
      <c r="B595" s="86"/>
      <c r="C595" s="22"/>
      <c r="D595" s="85"/>
      <c r="E595" s="87"/>
      <c r="F595" s="85"/>
      <c r="G595" s="22"/>
      <c r="H595" s="88"/>
      <c r="J595" s="22"/>
      <c r="M595" s="89"/>
      <c r="N595" s="60"/>
      <c r="O595" s="90"/>
      <c r="P595" s="91"/>
      <c r="Q595" s="92"/>
      <c r="R595" s="68" t="str">
        <f t="shared" si="12"/>
        <v/>
      </c>
      <c r="S595" s="22"/>
    </row>
    <row r="596" spans="1:19" ht="18" customHeight="1">
      <c r="A596" s="85"/>
      <c r="B596" s="86"/>
      <c r="C596" s="22"/>
      <c r="D596" s="85"/>
      <c r="E596" s="87"/>
      <c r="F596" s="85"/>
      <c r="G596" s="22"/>
      <c r="H596" s="88"/>
      <c r="J596" s="22"/>
      <c r="M596" s="89"/>
      <c r="N596" s="60"/>
      <c r="O596" s="90"/>
      <c r="P596" s="91"/>
      <c r="Q596" s="92"/>
      <c r="R596" s="68" t="str">
        <f t="shared" si="12"/>
        <v/>
      </c>
      <c r="S596" s="22"/>
    </row>
    <row r="597" spans="1:19" ht="18" customHeight="1">
      <c r="A597" s="85"/>
      <c r="B597" s="86"/>
      <c r="C597" s="22"/>
      <c r="D597" s="85"/>
      <c r="E597" s="87"/>
      <c r="F597" s="85"/>
      <c r="G597" s="22"/>
      <c r="H597" s="88"/>
      <c r="J597" s="22"/>
      <c r="M597" s="89"/>
      <c r="N597" s="60"/>
      <c r="O597" s="90"/>
      <c r="P597" s="91"/>
      <c r="Q597" s="92"/>
      <c r="R597" s="68" t="str">
        <f t="shared" si="12"/>
        <v/>
      </c>
      <c r="S597" s="22"/>
    </row>
    <row r="598" spans="1:19" ht="18" customHeight="1">
      <c r="A598" s="85"/>
      <c r="B598" s="86"/>
      <c r="C598" s="22"/>
      <c r="D598" s="85"/>
      <c r="E598" s="87"/>
      <c r="F598" s="85"/>
      <c r="G598" s="22"/>
      <c r="H598" s="88"/>
      <c r="J598" s="22"/>
      <c r="M598" s="89"/>
      <c r="N598" s="60"/>
      <c r="O598" s="90"/>
      <c r="P598" s="91"/>
      <c r="Q598" s="92"/>
      <c r="R598" s="68" t="str">
        <f t="shared" si="12"/>
        <v/>
      </c>
      <c r="S598" s="22"/>
    </row>
    <row r="599" spans="1:19" ht="18" customHeight="1">
      <c r="A599" s="85"/>
      <c r="B599" s="86"/>
      <c r="C599" s="22"/>
      <c r="D599" s="85"/>
      <c r="E599" s="87"/>
      <c r="F599" s="85"/>
      <c r="G599" s="22"/>
      <c r="H599" s="88"/>
      <c r="J599" s="22"/>
      <c r="M599" s="89"/>
      <c r="N599" s="60"/>
      <c r="O599" s="90"/>
      <c r="P599" s="91"/>
      <c r="Q599" s="92"/>
      <c r="R599" s="68" t="str">
        <f t="shared" si="12"/>
        <v/>
      </c>
      <c r="S599" s="22"/>
    </row>
    <row r="600" spans="1:19" ht="18" customHeight="1">
      <c r="A600" s="85"/>
      <c r="B600" s="86"/>
      <c r="C600" s="22"/>
      <c r="D600" s="85"/>
      <c r="E600" s="87"/>
      <c r="F600" s="85"/>
      <c r="G600" s="22"/>
      <c r="H600" s="88"/>
      <c r="J600" s="22"/>
      <c r="M600" s="89"/>
      <c r="N600" s="60"/>
      <c r="O600" s="90"/>
      <c r="P600" s="91"/>
      <c r="Q600" s="92"/>
      <c r="R600" s="68" t="str">
        <f t="shared" si="12"/>
        <v/>
      </c>
      <c r="S600" s="22"/>
    </row>
    <row r="601" spans="1:19" ht="18" customHeight="1">
      <c r="A601" s="85"/>
      <c r="B601" s="86"/>
      <c r="C601" s="22"/>
      <c r="D601" s="85"/>
      <c r="E601" s="87"/>
      <c r="F601" s="85"/>
      <c r="G601" s="22"/>
      <c r="H601" s="88"/>
      <c r="J601" s="22"/>
      <c r="M601" s="89"/>
      <c r="N601" s="60"/>
      <c r="O601" s="90"/>
      <c r="P601" s="91"/>
      <c r="Q601" s="92"/>
      <c r="R601" s="68" t="str">
        <f t="shared" si="12"/>
        <v/>
      </c>
      <c r="S601" s="22"/>
    </row>
    <row r="602" spans="1:19" ht="18" customHeight="1">
      <c r="A602" s="85"/>
      <c r="B602" s="86"/>
      <c r="C602" s="22"/>
      <c r="D602" s="85"/>
      <c r="E602" s="87"/>
      <c r="F602" s="85"/>
      <c r="G602" s="22"/>
      <c r="H602" s="88"/>
      <c r="J602" s="22"/>
      <c r="M602" s="89"/>
      <c r="N602" s="60"/>
      <c r="O602" s="90"/>
      <c r="P602" s="91"/>
      <c r="Q602" s="92"/>
      <c r="R602" s="68" t="str">
        <f t="shared" si="12"/>
        <v/>
      </c>
      <c r="S602" s="22"/>
    </row>
    <row r="603" spans="1:19" ht="18" customHeight="1">
      <c r="A603" s="85"/>
      <c r="B603" s="86"/>
      <c r="C603" s="22"/>
      <c r="D603" s="85"/>
      <c r="E603" s="87"/>
      <c r="F603" s="85"/>
      <c r="G603" s="22"/>
      <c r="H603" s="88"/>
      <c r="J603" s="22"/>
      <c r="M603" s="89"/>
      <c r="N603" s="60"/>
      <c r="O603" s="90"/>
      <c r="P603" s="91"/>
      <c r="Q603" s="92"/>
      <c r="R603" s="68" t="str">
        <f t="shared" si="12"/>
        <v/>
      </c>
      <c r="S603" s="22"/>
    </row>
    <row r="604" spans="1:19" ht="18" customHeight="1">
      <c r="A604" s="85"/>
      <c r="B604" s="86"/>
      <c r="C604" s="22"/>
      <c r="D604" s="85"/>
      <c r="E604" s="87"/>
      <c r="F604" s="85"/>
      <c r="G604" s="22"/>
      <c r="H604" s="88"/>
      <c r="J604" s="22"/>
      <c r="M604" s="89"/>
      <c r="N604" s="60"/>
      <c r="O604" s="90"/>
      <c r="P604" s="91"/>
      <c r="Q604" s="92"/>
      <c r="R604" s="68" t="str">
        <f t="shared" si="12"/>
        <v/>
      </c>
      <c r="S604" s="22"/>
    </row>
    <row r="605" spans="1:19" ht="18" customHeight="1">
      <c r="A605" s="85"/>
      <c r="B605" s="86"/>
      <c r="C605" s="22"/>
      <c r="D605" s="85"/>
      <c r="E605" s="87"/>
      <c r="F605" s="85"/>
      <c r="G605" s="22"/>
      <c r="H605" s="88"/>
      <c r="J605" s="22"/>
      <c r="M605" s="89"/>
      <c r="N605" s="60"/>
      <c r="O605" s="90"/>
      <c r="P605" s="91"/>
      <c r="Q605" s="92"/>
      <c r="R605" s="68" t="str">
        <f t="shared" si="12"/>
        <v/>
      </c>
      <c r="S605" s="22"/>
    </row>
    <row r="606" spans="1:19" ht="18" customHeight="1">
      <c r="A606" s="85"/>
      <c r="B606" s="86"/>
      <c r="C606" s="22"/>
      <c r="D606" s="85"/>
      <c r="E606" s="87"/>
      <c r="F606" s="85"/>
      <c r="G606" s="22"/>
      <c r="H606" s="88"/>
      <c r="J606" s="22"/>
      <c r="M606" s="89"/>
      <c r="N606" s="60"/>
      <c r="O606" s="90"/>
      <c r="P606" s="91"/>
      <c r="Q606" s="92"/>
      <c r="R606" s="68" t="str">
        <f t="shared" si="12"/>
        <v/>
      </c>
      <c r="S606" s="22"/>
    </row>
    <row r="607" spans="1:19" ht="18" customHeight="1">
      <c r="A607" s="85"/>
      <c r="B607" s="86"/>
      <c r="C607" s="22"/>
      <c r="D607" s="85"/>
      <c r="E607" s="87"/>
      <c r="F607" s="85"/>
      <c r="G607" s="22"/>
      <c r="H607" s="88"/>
      <c r="J607" s="22"/>
      <c r="M607" s="89"/>
      <c r="N607" s="60"/>
      <c r="O607" s="90"/>
      <c r="P607" s="91"/>
      <c r="Q607" s="92"/>
      <c r="R607" s="68" t="str">
        <f t="shared" si="12"/>
        <v/>
      </c>
      <c r="S607" s="22"/>
    </row>
    <row r="608" spans="1:19" ht="18" customHeight="1">
      <c r="A608" s="85"/>
      <c r="B608" s="86"/>
      <c r="C608" s="22"/>
      <c r="D608" s="85"/>
      <c r="E608" s="87"/>
      <c r="F608" s="85"/>
      <c r="G608" s="22"/>
      <c r="H608" s="88"/>
      <c r="J608" s="22"/>
      <c r="M608" s="89"/>
      <c r="N608" s="60"/>
      <c r="O608" s="90"/>
      <c r="P608" s="91"/>
      <c r="Q608" s="92"/>
      <c r="R608" s="68" t="str">
        <f t="shared" si="12"/>
        <v/>
      </c>
      <c r="S608" s="22"/>
    </row>
    <row r="609" spans="1:19" ht="18" customHeight="1">
      <c r="A609" s="85"/>
      <c r="B609" s="86"/>
      <c r="C609" s="22"/>
      <c r="D609" s="85"/>
      <c r="E609" s="87"/>
      <c r="F609" s="85"/>
      <c r="G609" s="22"/>
      <c r="H609" s="88"/>
      <c r="J609" s="22"/>
      <c r="M609" s="89"/>
      <c r="N609" s="60"/>
      <c r="O609" s="90"/>
      <c r="P609" s="91"/>
      <c r="Q609" s="92"/>
      <c r="R609" s="68" t="str">
        <f t="shared" si="12"/>
        <v/>
      </c>
      <c r="S609" s="22"/>
    </row>
    <row r="610" spans="1:19" ht="18" customHeight="1">
      <c r="A610" s="85"/>
      <c r="B610" s="86"/>
      <c r="C610" s="22"/>
      <c r="D610" s="85"/>
      <c r="E610" s="87"/>
      <c r="F610" s="85"/>
      <c r="G610" s="22"/>
      <c r="H610" s="88"/>
      <c r="J610" s="22"/>
      <c r="M610" s="89"/>
      <c r="N610" s="60"/>
      <c r="O610" s="90"/>
      <c r="P610" s="91"/>
      <c r="Q610" s="92"/>
      <c r="R610" s="68" t="str">
        <f t="shared" si="12"/>
        <v/>
      </c>
      <c r="S610" s="22"/>
    </row>
    <row r="611" spans="1:19" ht="18" customHeight="1">
      <c r="A611" s="85"/>
      <c r="B611" s="86"/>
      <c r="C611" s="22"/>
      <c r="D611" s="85"/>
      <c r="E611" s="87"/>
      <c r="F611" s="85"/>
      <c r="G611" s="22"/>
      <c r="H611" s="88"/>
      <c r="J611" s="22"/>
      <c r="M611" s="89"/>
      <c r="N611" s="60"/>
      <c r="O611" s="90"/>
      <c r="P611" s="91"/>
      <c r="Q611" s="92"/>
      <c r="R611" s="68" t="str">
        <f t="shared" si="12"/>
        <v/>
      </c>
      <c r="S611" s="22"/>
    </row>
    <row r="612" spans="1:19" ht="18" customHeight="1">
      <c r="A612" s="85"/>
      <c r="B612" s="86"/>
      <c r="C612" s="22"/>
      <c r="D612" s="85"/>
      <c r="E612" s="87"/>
      <c r="F612" s="85"/>
      <c r="G612" s="22"/>
      <c r="H612" s="88"/>
      <c r="J612" s="22"/>
      <c r="M612" s="89"/>
      <c r="N612" s="60"/>
      <c r="O612" s="90"/>
      <c r="P612" s="91"/>
      <c r="Q612" s="92"/>
      <c r="R612" s="68" t="str">
        <f t="shared" si="12"/>
        <v/>
      </c>
      <c r="S612" s="22"/>
    </row>
    <row r="613" spans="1:19" ht="18" customHeight="1">
      <c r="A613" s="85"/>
      <c r="B613" s="86"/>
      <c r="C613" s="22"/>
      <c r="D613" s="85"/>
      <c r="E613" s="87"/>
      <c r="F613" s="85"/>
      <c r="G613" s="22"/>
      <c r="H613" s="88"/>
      <c r="J613" s="22"/>
      <c r="M613" s="89"/>
      <c r="N613" s="60"/>
      <c r="O613" s="90"/>
      <c r="P613" s="91"/>
      <c r="Q613" s="92"/>
      <c r="R613" s="68" t="str">
        <f t="shared" si="12"/>
        <v/>
      </c>
      <c r="S613" s="22"/>
    </row>
    <row r="614" spans="1:19" ht="18" customHeight="1">
      <c r="A614" s="85"/>
      <c r="B614" s="86"/>
      <c r="C614" s="22"/>
      <c r="D614" s="85"/>
      <c r="E614" s="87"/>
      <c r="F614" s="85"/>
      <c r="G614" s="22"/>
      <c r="H614" s="88"/>
      <c r="J614" s="22"/>
      <c r="M614" s="89"/>
      <c r="N614" s="60"/>
      <c r="O614" s="90"/>
      <c r="P614" s="91"/>
      <c r="Q614" s="92"/>
      <c r="R614" s="68" t="str">
        <f t="shared" si="12"/>
        <v/>
      </c>
      <c r="S614" s="22"/>
    </row>
    <row r="615" spans="1:19" ht="18" customHeight="1">
      <c r="A615" s="85"/>
      <c r="B615" s="86"/>
      <c r="C615" s="22"/>
      <c r="D615" s="85"/>
      <c r="E615" s="87"/>
      <c r="F615" s="85"/>
      <c r="G615" s="22"/>
      <c r="H615" s="88"/>
      <c r="J615" s="22"/>
      <c r="M615" s="89"/>
      <c r="N615" s="60"/>
      <c r="O615" s="90"/>
      <c r="P615" s="91"/>
      <c r="Q615" s="92"/>
      <c r="R615" s="68" t="str">
        <f t="shared" si="12"/>
        <v/>
      </c>
      <c r="S615" s="22"/>
    </row>
    <row r="616" spans="1:19" ht="18" customHeight="1">
      <c r="A616" s="85"/>
      <c r="B616" s="86"/>
      <c r="C616" s="22"/>
      <c r="D616" s="85"/>
      <c r="E616" s="87"/>
      <c r="F616" s="85"/>
      <c r="G616" s="22"/>
      <c r="H616" s="88"/>
      <c r="J616" s="22"/>
      <c r="M616" s="89"/>
      <c r="N616" s="60"/>
      <c r="O616" s="90"/>
      <c r="P616" s="91"/>
      <c r="Q616" s="92"/>
      <c r="R616" s="68" t="str">
        <f t="shared" si="12"/>
        <v/>
      </c>
      <c r="S616" s="22"/>
    </row>
    <row r="617" spans="1:19" ht="18" customHeight="1">
      <c r="A617" s="85"/>
      <c r="B617" s="86"/>
      <c r="C617" s="22"/>
      <c r="D617" s="85"/>
      <c r="E617" s="87"/>
      <c r="F617" s="85"/>
      <c r="G617" s="22"/>
      <c r="H617" s="88"/>
      <c r="J617" s="22"/>
      <c r="M617" s="89"/>
      <c r="N617" s="60"/>
      <c r="O617" s="90"/>
      <c r="P617" s="91"/>
      <c r="Q617" s="92"/>
      <c r="R617" s="68" t="str">
        <f t="shared" si="12"/>
        <v/>
      </c>
      <c r="S617" s="22"/>
    </row>
    <row r="618" spans="1:19" ht="18" customHeight="1">
      <c r="A618" s="85"/>
      <c r="B618" s="86"/>
      <c r="C618" s="22"/>
      <c r="D618" s="85"/>
      <c r="E618" s="87"/>
      <c r="F618" s="85"/>
      <c r="G618" s="22"/>
      <c r="H618" s="88"/>
      <c r="J618" s="22"/>
      <c r="M618" s="89"/>
      <c r="N618" s="60"/>
      <c r="O618" s="90"/>
      <c r="P618" s="91"/>
      <c r="Q618" s="92"/>
      <c r="R618" s="68" t="str">
        <f t="shared" si="12"/>
        <v/>
      </c>
      <c r="S618" s="22"/>
    </row>
    <row r="619" spans="1:19" ht="18" customHeight="1">
      <c r="A619" s="85"/>
      <c r="B619" s="86"/>
      <c r="C619" s="22"/>
      <c r="D619" s="85"/>
      <c r="E619" s="87"/>
      <c r="F619" s="85"/>
      <c r="G619" s="22"/>
      <c r="H619" s="88"/>
      <c r="J619" s="22"/>
      <c r="M619" s="89"/>
      <c r="N619" s="60"/>
      <c r="O619" s="90"/>
      <c r="P619" s="91"/>
      <c r="Q619" s="92"/>
      <c r="R619" s="68" t="str">
        <f t="shared" si="12"/>
        <v/>
      </c>
      <c r="S619" s="22"/>
    </row>
    <row r="620" spans="1:19" ht="18" customHeight="1">
      <c r="A620" s="85"/>
      <c r="B620" s="86"/>
      <c r="C620" s="22"/>
      <c r="D620" s="85"/>
      <c r="E620" s="87"/>
      <c r="F620" s="85"/>
      <c r="G620" s="22"/>
      <c r="H620" s="88"/>
      <c r="J620" s="22"/>
      <c r="M620" s="89"/>
      <c r="N620" s="60"/>
      <c r="O620" s="90"/>
      <c r="P620" s="91"/>
      <c r="Q620" s="92"/>
      <c r="R620" s="68" t="str">
        <f t="shared" si="12"/>
        <v/>
      </c>
      <c r="S620" s="22"/>
    </row>
    <row r="621" spans="1:19" ht="18" customHeight="1">
      <c r="A621" s="85"/>
      <c r="B621" s="86"/>
      <c r="C621" s="22"/>
      <c r="D621" s="85"/>
      <c r="E621" s="87"/>
      <c r="F621" s="85"/>
      <c r="G621" s="22"/>
      <c r="H621" s="88"/>
      <c r="J621" s="22"/>
      <c r="M621" s="89"/>
      <c r="N621" s="60"/>
      <c r="O621" s="90"/>
      <c r="P621" s="91"/>
      <c r="Q621" s="92"/>
      <c r="R621" s="68" t="str">
        <f t="shared" si="12"/>
        <v/>
      </c>
      <c r="S621" s="22"/>
    </row>
    <row r="622" spans="1:19" ht="18" customHeight="1">
      <c r="A622" s="85"/>
      <c r="B622" s="86"/>
      <c r="C622" s="22"/>
      <c r="D622" s="85"/>
      <c r="E622" s="87"/>
      <c r="F622" s="85"/>
      <c r="G622" s="22"/>
      <c r="H622" s="88"/>
      <c r="J622" s="22"/>
      <c r="M622" s="89"/>
      <c r="N622" s="60"/>
      <c r="O622" s="90"/>
      <c r="P622" s="91"/>
      <c r="Q622" s="92"/>
      <c r="R622" s="68" t="str">
        <f t="shared" si="12"/>
        <v/>
      </c>
      <c r="S622" s="22"/>
    </row>
    <row r="623" spans="1:19" ht="18" customHeight="1">
      <c r="A623" s="85"/>
      <c r="B623" s="86"/>
      <c r="C623" s="22"/>
      <c r="D623" s="85"/>
      <c r="E623" s="87"/>
      <c r="F623" s="85"/>
      <c r="G623" s="22"/>
      <c r="H623" s="88"/>
      <c r="J623" s="22"/>
      <c r="M623" s="89"/>
      <c r="N623" s="60"/>
      <c r="O623" s="90"/>
      <c r="P623" s="91"/>
      <c r="Q623" s="92"/>
      <c r="R623" s="68" t="str">
        <f t="shared" si="12"/>
        <v/>
      </c>
      <c r="S623" s="22"/>
    </row>
    <row r="624" spans="1:19" ht="18" customHeight="1">
      <c r="A624" s="85"/>
      <c r="B624" s="86"/>
      <c r="C624" s="22"/>
      <c r="D624" s="85"/>
      <c r="E624" s="87"/>
      <c r="F624" s="85"/>
      <c r="G624" s="22"/>
      <c r="H624" s="88"/>
      <c r="J624" s="22"/>
      <c r="M624" s="89"/>
      <c r="N624" s="60"/>
      <c r="O624" s="90"/>
      <c r="P624" s="91"/>
      <c r="Q624" s="92"/>
      <c r="R624" s="68" t="str">
        <f t="shared" si="12"/>
        <v/>
      </c>
      <c r="S624" s="22"/>
    </row>
    <row r="625" spans="1:19" ht="18" customHeight="1">
      <c r="A625" s="85"/>
      <c r="B625" s="86"/>
      <c r="C625" s="22"/>
      <c r="D625" s="85"/>
      <c r="E625" s="87"/>
      <c r="F625" s="85"/>
      <c r="G625" s="22"/>
      <c r="H625" s="88"/>
      <c r="J625" s="22"/>
      <c r="M625" s="89"/>
      <c r="N625" s="60"/>
      <c r="O625" s="90"/>
      <c r="P625" s="91"/>
      <c r="Q625" s="92"/>
      <c r="R625" s="68" t="str">
        <f t="shared" si="12"/>
        <v/>
      </c>
      <c r="S625" s="22"/>
    </row>
    <row r="626" spans="1:19" ht="18" customHeight="1">
      <c r="A626" s="85"/>
      <c r="B626" s="86"/>
      <c r="C626" s="22"/>
      <c r="D626" s="85"/>
      <c r="E626" s="87"/>
      <c r="F626" s="85"/>
      <c r="G626" s="22"/>
      <c r="H626" s="88"/>
      <c r="J626" s="22"/>
      <c r="M626" s="89"/>
      <c r="N626" s="60"/>
      <c r="O626" s="90"/>
      <c r="P626" s="91"/>
      <c r="Q626" s="92"/>
      <c r="R626" s="68" t="str">
        <f t="shared" si="12"/>
        <v/>
      </c>
      <c r="S626" s="22"/>
    </row>
    <row r="627" spans="1:19" ht="18" customHeight="1">
      <c r="A627" s="85"/>
      <c r="B627" s="86"/>
      <c r="C627" s="22"/>
      <c r="D627" s="85"/>
      <c r="E627" s="87"/>
      <c r="F627" s="85"/>
      <c r="G627" s="22"/>
      <c r="H627" s="88"/>
      <c r="J627" s="22"/>
      <c r="M627" s="89"/>
      <c r="N627" s="60"/>
      <c r="O627" s="90"/>
      <c r="P627" s="91"/>
      <c r="Q627" s="92"/>
      <c r="R627" s="68" t="str">
        <f t="shared" si="12"/>
        <v/>
      </c>
      <c r="S627" s="22"/>
    </row>
    <row r="628" spans="1:19" ht="18" customHeight="1">
      <c r="A628" s="85"/>
      <c r="B628" s="86"/>
      <c r="C628" s="22"/>
      <c r="D628" s="85"/>
      <c r="E628" s="87"/>
      <c r="F628" s="85"/>
      <c r="G628" s="22"/>
      <c r="H628" s="88"/>
      <c r="J628" s="22"/>
      <c r="M628" s="89"/>
      <c r="N628" s="60"/>
      <c r="O628" s="90"/>
      <c r="P628" s="91"/>
      <c r="Q628" s="92"/>
      <c r="R628" s="68" t="str">
        <f t="shared" ref="R628:R691" si="13">IF(SUM(Q628)&gt;0,SUM(Q628-P628),"")</f>
        <v/>
      </c>
      <c r="S628" s="22"/>
    </row>
    <row r="629" spans="1:19" ht="18" customHeight="1">
      <c r="A629" s="85"/>
      <c r="B629" s="86"/>
      <c r="C629" s="22"/>
      <c r="D629" s="85"/>
      <c r="E629" s="87"/>
      <c r="F629" s="85"/>
      <c r="G629" s="22"/>
      <c r="H629" s="88"/>
      <c r="J629" s="22"/>
      <c r="M629" s="89"/>
      <c r="N629" s="60"/>
      <c r="O629" s="90"/>
      <c r="P629" s="91"/>
      <c r="Q629" s="92"/>
      <c r="R629" s="68" t="str">
        <f t="shared" si="13"/>
        <v/>
      </c>
      <c r="S629" s="22"/>
    </row>
    <row r="630" spans="1:19" ht="18" customHeight="1">
      <c r="A630" s="85"/>
      <c r="B630" s="86"/>
      <c r="C630" s="22"/>
      <c r="D630" s="85"/>
      <c r="E630" s="87"/>
      <c r="F630" s="85"/>
      <c r="G630" s="22"/>
      <c r="H630" s="88"/>
      <c r="J630" s="22"/>
      <c r="M630" s="89"/>
      <c r="N630" s="60"/>
      <c r="O630" s="90"/>
      <c r="P630" s="91"/>
      <c r="Q630" s="92"/>
      <c r="R630" s="68" t="str">
        <f t="shared" si="13"/>
        <v/>
      </c>
      <c r="S630" s="22"/>
    </row>
    <row r="631" spans="1:19" ht="18" customHeight="1">
      <c r="A631" s="85"/>
      <c r="B631" s="86"/>
      <c r="C631" s="22"/>
      <c r="D631" s="85"/>
      <c r="E631" s="87"/>
      <c r="F631" s="85"/>
      <c r="G631" s="22"/>
      <c r="H631" s="88"/>
      <c r="J631" s="22"/>
      <c r="M631" s="89"/>
      <c r="N631" s="60"/>
      <c r="O631" s="90"/>
      <c r="P631" s="91"/>
      <c r="Q631" s="92"/>
      <c r="R631" s="68" t="str">
        <f t="shared" si="13"/>
        <v/>
      </c>
      <c r="S631" s="22"/>
    </row>
    <row r="632" spans="1:19" ht="18" customHeight="1">
      <c r="A632" s="85"/>
      <c r="B632" s="86"/>
      <c r="C632" s="22"/>
      <c r="D632" s="85"/>
      <c r="E632" s="87"/>
      <c r="F632" s="85"/>
      <c r="G632" s="22"/>
      <c r="H632" s="88"/>
      <c r="J632" s="22"/>
      <c r="M632" s="89"/>
      <c r="N632" s="60"/>
      <c r="O632" s="90"/>
      <c r="P632" s="91"/>
      <c r="Q632" s="92"/>
      <c r="R632" s="68" t="str">
        <f t="shared" si="13"/>
        <v/>
      </c>
      <c r="S632" s="22"/>
    </row>
    <row r="633" spans="1:19" ht="18" customHeight="1">
      <c r="A633" s="85"/>
      <c r="B633" s="86"/>
      <c r="C633" s="22"/>
      <c r="D633" s="85"/>
      <c r="E633" s="87"/>
      <c r="F633" s="85"/>
      <c r="G633" s="22"/>
      <c r="H633" s="88"/>
      <c r="J633" s="22"/>
      <c r="M633" s="89"/>
      <c r="N633" s="60"/>
      <c r="O633" s="90"/>
      <c r="P633" s="91"/>
      <c r="Q633" s="92"/>
      <c r="R633" s="68" t="str">
        <f t="shared" si="13"/>
        <v/>
      </c>
      <c r="S633" s="22"/>
    </row>
    <row r="634" spans="1:19" ht="18" customHeight="1">
      <c r="A634" s="85"/>
      <c r="B634" s="86"/>
      <c r="C634" s="22"/>
      <c r="D634" s="85"/>
      <c r="E634" s="87"/>
      <c r="F634" s="85"/>
      <c r="G634" s="22"/>
      <c r="H634" s="88"/>
      <c r="J634" s="22"/>
      <c r="M634" s="89"/>
      <c r="N634" s="60"/>
      <c r="O634" s="90"/>
      <c r="P634" s="91"/>
      <c r="Q634" s="92"/>
      <c r="R634" s="68" t="str">
        <f t="shared" si="13"/>
        <v/>
      </c>
      <c r="S634" s="22"/>
    </row>
    <row r="635" spans="1:19" ht="18" customHeight="1">
      <c r="A635" s="85"/>
      <c r="B635" s="86"/>
      <c r="C635" s="22"/>
      <c r="D635" s="85"/>
      <c r="E635" s="87"/>
      <c r="F635" s="85"/>
      <c r="G635" s="22"/>
      <c r="H635" s="88"/>
      <c r="J635" s="22"/>
      <c r="M635" s="89"/>
      <c r="N635" s="60"/>
      <c r="O635" s="90"/>
      <c r="P635" s="91"/>
      <c r="Q635" s="92"/>
      <c r="R635" s="68" t="str">
        <f t="shared" si="13"/>
        <v/>
      </c>
      <c r="S635" s="22"/>
    </row>
    <row r="636" spans="1:19" ht="18" customHeight="1">
      <c r="A636" s="85"/>
      <c r="B636" s="86"/>
      <c r="C636" s="22"/>
      <c r="D636" s="85"/>
      <c r="E636" s="87"/>
      <c r="F636" s="85"/>
      <c r="G636" s="22"/>
      <c r="H636" s="88"/>
      <c r="J636" s="22"/>
      <c r="M636" s="89"/>
      <c r="N636" s="60"/>
      <c r="O636" s="90"/>
      <c r="P636" s="91"/>
      <c r="Q636" s="92"/>
      <c r="R636" s="68" t="str">
        <f t="shared" si="13"/>
        <v/>
      </c>
      <c r="S636" s="22"/>
    </row>
    <row r="637" spans="1:19" ht="18" customHeight="1">
      <c r="A637" s="85"/>
      <c r="B637" s="86"/>
      <c r="C637" s="22"/>
      <c r="D637" s="85"/>
      <c r="E637" s="87"/>
      <c r="F637" s="85"/>
      <c r="G637" s="22"/>
      <c r="H637" s="88"/>
      <c r="J637" s="22"/>
      <c r="M637" s="89"/>
      <c r="N637" s="60"/>
      <c r="O637" s="90"/>
      <c r="P637" s="91"/>
      <c r="Q637" s="92"/>
      <c r="R637" s="68" t="str">
        <f t="shared" si="13"/>
        <v/>
      </c>
      <c r="S637" s="22"/>
    </row>
    <row r="638" spans="1:19" ht="18" customHeight="1">
      <c r="A638" s="85"/>
      <c r="B638" s="86"/>
      <c r="C638" s="22"/>
      <c r="D638" s="85"/>
      <c r="E638" s="87"/>
      <c r="F638" s="85"/>
      <c r="G638" s="22"/>
      <c r="H638" s="88"/>
      <c r="J638" s="22"/>
      <c r="M638" s="89"/>
      <c r="N638" s="60"/>
      <c r="O638" s="90"/>
      <c r="P638" s="91"/>
      <c r="Q638" s="92"/>
      <c r="R638" s="68" t="str">
        <f t="shared" si="13"/>
        <v/>
      </c>
      <c r="S638" s="22"/>
    </row>
    <row r="639" spans="1:19" ht="18" customHeight="1">
      <c r="A639" s="85"/>
      <c r="B639" s="86"/>
      <c r="C639" s="22"/>
      <c r="D639" s="85"/>
      <c r="E639" s="87"/>
      <c r="F639" s="85"/>
      <c r="G639" s="22"/>
      <c r="H639" s="88"/>
      <c r="J639" s="22"/>
      <c r="M639" s="89"/>
      <c r="N639" s="60"/>
      <c r="O639" s="90"/>
      <c r="P639" s="91"/>
      <c r="Q639" s="92"/>
      <c r="R639" s="68" t="str">
        <f t="shared" si="13"/>
        <v/>
      </c>
      <c r="S639" s="22"/>
    </row>
    <row r="640" spans="1:19" ht="18" customHeight="1">
      <c r="A640" s="85"/>
      <c r="B640" s="86"/>
      <c r="C640" s="22"/>
      <c r="D640" s="85"/>
      <c r="E640" s="87"/>
      <c r="F640" s="85"/>
      <c r="G640" s="22"/>
      <c r="H640" s="88"/>
      <c r="J640" s="22"/>
      <c r="M640" s="89"/>
      <c r="N640" s="60"/>
      <c r="O640" s="90"/>
      <c r="P640" s="91"/>
      <c r="Q640" s="92"/>
      <c r="R640" s="68" t="str">
        <f t="shared" si="13"/>
        <v/>
      </c>
      <c r="S640" s="22"/>
    </row>
    <row r="641" spans="1:19" ht="18" customHeight="1">
      <c r="A641" s="85"/>
      <c r="B641" s="86"/>
      <c r="C641" s="22"/>
      <c r="D641" s="85"/>
      <c r="E641" s="87"/>
      <c r="F641" s="85"/>
      <c r="G641" s="22"/>
      <c r="H641" s="88"/>
      <c r="J641" s="22"/>
      <c r="M641" s="89"/>
      <c r="N641" s="60"/>
      <c r="O641" s="90"/>
      <c r="P641" s="91"/>
      <c r="Q641" s="92"/>
      <c r="R641" s="68" t="str">
        <f t="shared" si="13"/>
        <v/>
      </c>
      <c r="S641" s="22"/>
    </row>
    <row r="642" spans="1:19" ht="18" customHeight="1">
      <c r="A642" s="85"/>
      <c r="B642" s="86"/>
      <c r="C642" s="22"/>
      <c r="D642" s="85"/>
      <c r="E642" s="87"/>
      <c r="F642" s="85"/>
      <c r="G642" s="22"/>
      <c r="H642" s="88"/>
      <c r="J642" s="22"/>
      <c r="M642" s="89"/>
      <c r="N642" s="60"/>
      <c r="O642" s="90"/>
      <c r="P642" s="91"/>
      <c r="Q642" s="92"/>
      <c r="R642" s="68" t="str">
        <f t="shared" si="13"/>
        <v/>
      </c>
      <c r="S642" s="22"/>
    </row>
    <row r="643" spans="1:19" ht="18" customHeight="1">
      <c r="A643" s="85"/>
      <c r="B643" s="86"/>
      <c r="C643" s="22"/>
      <c r="D643" s="85"/>
      <c r="E643" s="87"/>
      <c r="F643" s="85"/>
      <c r="G643" s="22"/>
      <c r="H643" s="88"/>
      <c r="J643" s="22"/>
      <c r="M643" s="89"/>
      <c r="N643" s="60"/>
      <c r="O643" s="90"/>
      <c r="P643" s="91"/>
      <c r="Q643" s="92"/>
      <c r="R643" s="68" t="str">
        <f t="shared" si="13"/>
        <v/>
      </c>
      <c r="S643" s="22"/>
    </row>
    <row r="644" spans="1:19" ht="18" customHeight="1">
      <c r="A644" s="85"/>
      <c r="B644" s="86"/>
      <c r="C644" s="22"/>
      <c r="D644" s="85"/>
      <c r="E644" s="87"/>
      <c r="F644" s="85"/>
      <c r="G644" s="22"/>
      <c r="H644" s="88"/>
      <c r="J644" s="22"/>
      <c r="M644" s="89"/>
      <c r="N644" s="60"/>
      <c r="O644" s="90"/>
      <c r="P644" s="91"/>
      <c r="Q644" s="92"/>
      <c r="R644" s="68" t="str">
        <f t="shared" si="13"/>
        <v/>
      </c>
      <c r="S644" s="22"/>
    </row>
    <row r="645" spans="1:19" ht="18" customHeight="1">
      <c r="A645" s="85"/>
      <c r="B645" s="86"/>
      <c r="C645" s="22"/>
      <c r="D645" s="85"/>
      <c r="E645" s="87"/>
      <c r="F645" s="85"/>
      <c r="G645" s="22"/>
      <c r="H645" s="88"/>
      <c r="J645" s="22"/>
      <c r="M645" s="89"/>
      <c r="N645" s="60"/>
      <c r="O645" s="90"/>
      <c r="P645" s="91"/>
      <c r="Q645" s="92"/>
      <c r="R645" s="68" t="str">
        <f t="shared" si="13"/>
        <v/>
      </c>
      <c r="S645" s="22"/>
    </row>
    <row r="646" spans="1:19" ht="18" customHeight="1">
      <c r="A646" s="85"/>
      <c r="B646" s="86"/>
      <c r="C646" s="22"/>
      <c r="D646" s="85"/>
      <c r="E646" s="87"/>
      <c r="F646" s="85"/>
      <c r="G646" s="22"/>
      <c r="H646" s="88"/>
      <c r="J646" s="22"/>
      <c r="M646" s="89"/>
      <c r="N646" s="60"/>
      <c r="O646" s="90"/>
      <c r="P646" s="91"/>
      <c r="Q646" s="92"/>
      <c r="R646" s="68" t="str">
        <f t="shared" si="13"/>
        <v/>
      </c>
      <c r="S646" s="22"/>
    </row>
    <row r="647" spans="1:19" ht="18" customHeight="1">
      <c r="A647" s="85"/>
      <c r="B647" s="86"/>
      <c r="C647" s="22"/>
      <c r="D647" s="85"/>
      <c r="E647" s="87"/>
      <c r="F647" s="85"/>
      <c r="G647" s="22"/>
      <c r="H647" s="88"/>
      <c r="J647" s="22"/>
      <c r="M647" s="89"/>
      <c r="N647" s="60"/>
      <c r="O647" s="90"/>
      <c r="P647" s="91"/>
      <c r="Q647" s="92"/>
      <c r="R647" s="68" t="str">
        <f t="shared" si="13"/>
        <v/>
      </c>
      <c r="S647" s="22"/>
    </row>
    <row r="648" spans="1:19" ht="18" customHeight="1">
      <c r="A648" s="85"/>
      <c r="B648" s="86"/>
      <c r="C648" s="22"/>
      <c r="D648" s="85"/>
      <c r="E648" s="87"/>
      <c r="F648" s="85"/>
      <c r="G648" s="22"/>
      <c r="H648" s="88"/>
      <c r="J648" s="22"/>
      <c r="M648" s="89"/>
      <c r="N648" s="60"/>
      <c r="O648" s="90"/>
      <c r="P648" s="91"/>
      <c r="Q648" s="92"/>
      <c r="R648" s="68" t="str">
        <f t="shared" si="13"/>
        <v/>
      </c>
      <c r="S648" s="22"/>
    </row>
    <row r="649" spans="1:19" ht="18" customHeight="1">
      <c r="A649" s="85"/>
      <c r="B649" s="86"/>
      <c r="C649" s="22"/>
      <c r="D649" s="85"/>
      <c r="E649" s="87"/>
      <c r="F649" s="85"/>
      <c r="G649" s="22"/>
      <c r="H649" s="88"/>
      <c r="J649" s="22"/>
      <c r="M649" s="89"/>
      <c r="N649" s="60"/>
      <c r="O649" s="90"/>
      <c r="P649" s="91"/>
      <c r="Q649" s="92"/>
      <c r="R649" s="68" t="str">
        <f t="shared" si="13"/>
        <v/>
      </c>
      <c r="S649" s="22"/>
    </row>
    <row r="650" spans="1:19" ht="18" customHeight="1">
      <c r="A650" s="85"/>
      <c r="B650" s="86"/>
      <c r="C650" s="22"/>
      <c r="D650" s="85"/>
      <c r="E650" s="87"/>
      <c r="F650" s="85"/>
      <c r="G650" s="22"/>
      <c r="H650" s="88"/>
      <c r="J650" s="22"/>
      <c r="M650" s="89"/>
      <c r="N650" s="60"/>
      <c r="O650" s="90"/>
      <c r="P650" s="91"/>
      <c r="Q650" s="92"/>
      <c r="R650" s="68" t="str">
        <f t="shared" si="13"/>
        <v/>
      </c>
      <c r="S650" s="22"/>
    </row>
    <row r="651" spans="1:19" ht="18" customHeight="1">
      <c r="A651" s="85"/>
      <c r="B651" s="86"/>
      <c r="C651" s="22"/>
      <c r="D651" s="85"/>
      <c r="E651" s="87"/>
      <c r="F651" s="85"/>
      <c r="G651" s="22"/>
      <c r="H651" s="88"/>
      <c r="J651" s="22"/>
      <c r="M651" s="89"/>
      <c r="N651" s="60"/>
      <c r="O651" s="90"/>
      <c r="P651" s="91"/>
      <c r="Q651" s="92"/>
      <c r="R651" s="68" t="str">
        <f t="shared" si="13"/>
        <v/>
      </c>
      <c r="S651" s="22"/>
    </row>
    <row r="652" spans="1:19" ht="18" customHeight="1">
      <c r="A652" s="85"/>
      <c r="B652" s="86"/>
      <c r="C652" s="22"/>
      <c r="D652" s="85"/>
      <c r="E652" s="87"/>
      <c r="F652" s="85"/>
      <c r="G652" s="22"/>
      <c r="H652" s="88"/>
      <c r="J652" s="22"/>
      <c r="M652" s="89"/>
      <c r="N652" s="60"/>
      <c r="O652" s="90"/>
      <c r="P652" s="91"/>
      <c r="Q652" s="92"/>
      <c r="R652" s="68" t="str">
        <f t="shared" si="13"/>
        <v/>
      </c>
      <c r="S652" s="22"/>
    </row>
    <row r="653" spans="1:19" ht="18" customHeight="1">
      <c r="A653" s="85"/>
      <c r="B653" s="86"/>
      <c r="C653" s="22"/>
      <c r="D653" s="85"/>
      <c r="E653" s="87"/>
      <c r="F653" s="85"/>
      <c r="G653" s="22"/>
      <c r="H653" s="88"/>
      <c r="J653" s="22"/>
      <c r="M653" s="89"/>
      <c r="N653" s="60"/>
      <c r="O653" s="90"/>
      <c r="P653" s="91"/>
      <c r="Q653" s="92"/>
      <c r="R653" s="68" t="str">
        <f t="shared" si="13"/>
        <v/>
      </c>
      <c r="S653" s="22"/>
    </row>
    <row r="654" spans="1:19" ht="18" customHeight="1">
      <c r="A654" s="85"/>
      <c r="B654" s="86"/>
      <c r="C654" s="22"/>
      <c r="D654" s="85"/>
      <c r="E654" s="87"/>
      <c r="F654" s="85"/>
      <c r="G654" s="22"/>
      <c r="H654" s="88"/>
      <c r="J654" s="22"/>
      <c r="M654" s="89"/>
      <c r="N654" s="60"/>
      <c r="O654" s="90"/>
      <c r="P654" s="91"/>
      <c r="Q654" s="92"/>
      <c r="R654" s="68" t="str">
        <f t="shared" si="13"/>
        <v/>
      </c>
      <c r="S654" s="22"/>
    </row>
    <row r="655" spans="1:19" ht="18" customHeight="1">
      <c r="A655" s="85"/>
      <c r="B655" s="86"/>
      <c r="C655" s="22"/>
      <c r="D655" s="85"/>
      <c r="E655" s="87"/>
      <c r="F655" s="85"/>
      <c r="G655" s="22"/>
      <c r="H655" s="88"/>
      <c r="J655" s="22"/>
      <c r="M655" s="89"/>
      <c r="N655" s="60"/>
      <c r="O655" s="90"/>
      <c r="P655" s="91"/>
      <c r="Q655" s="92"/>
      <c r="R655" s="68" t="str">
        <f t="shared" si="13"/>
        <v/>
      </c>
      <c r="S655" s="22"/>
    </row>
    <row r="656" spans="1:19" ht="18" customHeight="1">
      <c r="A656" s="85"/>
      <c r="B656" s="86"/>
      <c r="C656" s="22"/>
      <c r="D656" s="85"/>
      <c r="E656" s="87"/>
      <c r="F656" s="85"/>
      <c r="G656" s="22"/>
      <c r="H656" s="88"/>
      <c r="J656" s="22"/>
      <c r="M656" s="89"/>
      <c r="N656" s="60"/>
      <c r="O656" s="90"/>
      <c r="P656" s="91"/>
      <c r="Q656" s="92"/>
      <c r="R656" s="68" t="str">
        <f t="shared" si="13"/>
        <v/>
      </c>
      <c r="S656" s="22"/>
    </row>
    <row r="657" spans="1:19" ht="18" customHeight="1">
      <c r="A657" s="85"/>
      <c r="B657" s="86"/>
      <c r="C657" s="22"/>
      <c r="D657" s="85"/>
      <c r="E657" s="87"/>
      <c r="F657" s="85"/>
      <c r="G657" s="22"/>
      <c r="H657" s="88"/>
      <c r="J657" s="22"/>
      <c r="M657" s="89"/>
      <c r="N657" s="60"/>
      <c r="O657" s="90"/>
      <c r="P657" s="91"/>
      <c r="Q657" s="92"/>
      <c r="R657" s="68" t="str">
        <f t="shared" si="13"/>
        <v/>
      </c>
      <c r="S657" s="22"/>
    </row>
    <row r="658" spans="1:19" ht="18" customHeight="1">
      <c r="A658" s="85"/>
      <c r="B658" s="86"/>
      <c r="C658" s="22"/>
      <c r="D658" s="85"/>
      <c r="E658" s="87"/>
      <c r="F658" s="85"/>
      <c r="G658" s="22"/>
      <c r="H658" s="88"/>
      <c r="J658" s="22"/>
      <c r="M658" s="89"/>
      <c r="N658" s="60"/>
      <c r="O658" s="90"/>
      <c r="P658" s="91"/>
      <c r="Q658" s="92"/>
      <c r="R658" s="68" t="str">
        <f t="shared" si="13"/>
        <v/>
      </c>
      <c r="S658" s="22"/>
    </row>
    <row r="659" spans="1:19" ht="18" customHeight="1">
      <c r="A659" s="85"/>
      <c r="B659" s="86"/>
      <c r="C659" s="22"/>
      <c r="D659" s="85"/>
      <c r="E659" s="87"/>
      <c r="F659" s="85"/>
      <c r="G659" s="22"/>
      <c r="H659" s="88"/>
      <c r="J659" s="22"/>
      <c r="M659" s="89"/>
      <c r="N659" s="60"/>
      <c r="O659" s="90"/>
      <c r="P659" s="91"/>
      <c r="Q659" s="92"/>
      <c r="R659" s="68" t="str">
        <f t="shared" si="13"/>
        <v/>
      </c>
      <c r="S659" s="22"/>
    </row>
    <row r="660" spans="1:19" ht="18" customHeight="1">
      <c r="A660" s="85"/>
      <c r="B660" s="86"/>
      <c r="C660" s="22"/>
      <c r="D660" s="85"/>
      <c r="E660" s="87"/>
      <c r="F660" s="85"/>
      <c r="G660" s="22"/>
      <c r="H660" s="88"/>
      <c r="J660" s="22"/>
      <c r="M660" s="89"/>
      <c r="N660" s="60"/>
      <c r="O660" s="90"/>
      <c r="P660" s="91"/>
      <c r="Q660" s="92"/>
      <c r="R660" s="68" t="str">
        <f t="shared" si="13"/>
        <v/>
      </c>
      <c r="S660" s="22"/>
    </row>
    <row r="661" spans="1:19" ht="18" customHeight="1">
      <c r="A661" s="85"/>
      <c r="B661" s="86"/>
      <c r="C661" s="22"/>
      <c r="D661" s="85"/>
      <c r="E661" s="87"/>
      <c r="F661" s="85"/>
      <c r="G661" s="22"/>
      <c r="H661" s="88"/>
      <c r="J661" s="22"/>
      <c r="M661" s="89"/>
      <c r="N661" s="60"/>
      <c r="O661" s="90"/>
      <c r="P661" s="91"/>
      <c r="Q661" s="92"/>
      <c r="R661" s="68" t="str">
        <f t="shared" si="13"/>
        <v/>
      </c>
      <c r="S661" s="22"/>
    </row>
    <row r="662" spans="1:19" ht="18" customHeight="1">
      <c r="A662" s="85"/>
      <c r="B662" s="86"/>
      <c r="C662" s="22"/>
      <c r="D662" s="85"/>
      <c r="E662" s="87"/>
      <c r="F662" s="85"/>
      <c r="G662" s="22"/>
      <c r="H662" s="88"/>
      <c r="J662" s="22"/>
      <c r="M662" s="89"/>
      <c r="N662" s="60"/>
      <c r="O662" s="90"/>
      <c r="P662" s="91"/>
      <c r="Q662" s="92"/>
      <c r="R662" s="68" t="str">
        <f t="shared" si="13"/>
        <v/>
      </c>
      <c r="S662" s="22"/>
    </row>
    <row r="663" spans="1:19" ht="18" customHeight="1">
      <c r="A663" s="85"/>
      <c r="B663" s="86"/>
      <c r="C663" s="22"/>
      <c r="D663" s="85"/>
      <c r="E663" s="87"/>
      <c r="F663" s="85"/>
      <c r="G663" s="22"/>
      <c r="H663" s="88"/>
      <c r="J663" s="22"/>
      <c r="M663" s="89"/>
      <c r="N663" s="60"/>
      <c r="O663" s="90"/>
      <c r="P663" s="91"/>
      <c r="Q663" s="92"/>
      <c r="R663" s="68" t="str">
        <f t="shared" si="13"/>
        <v/>
      </c>
      <c r="S663" s="22"/>
    </row>
    <row r="664" spans="1:19" ht="18" customHeight="1">
      <c r="A664" s="85"/>
      <c r="B664" s="86"/>
      <c r="C664" s="22"/>
      <c r="D664" s="85"/>
      <c r="E664" s="87"/>
      <c r="F664" s="85"/>
      <c r="G664" s="22"/>
      <c r="H664" s="88"/>
      <c r="J664" s="22"/>
      <c r="M664" s="89"/>
      <c r="N664" s="60"/>
      <c r="O664" s="90"/>
      <c r="P664" s="91"/>
      <c r="Q664" s="92"/>
      <c r="R664" s="68" t="str">
        <f t="shared" si="13"/>
        <v/>
      </c>
      <c r="S664" s="22"/>
    </row>
    <row r="665" spans="1:19" ht="18" customHeight="1">
      <c r="A665" s="85"/>
      <c r="B665" s="86"/>
      <c r="C665" s="22"/>
      <c r="D665" s="85"/>
      <c r="E665" s="87"/>
      <c r="F665" s="85"/>
      <c r="G665" s="22"/>
      <c r="H665" s="88"/>
      <c r="J665" s="22"/>
      <c r="M665" s="89"/>
      <c r="N665" s="60"/>
      <c r="O665" s="90"/>
      <c r="P665" s="91"/>
      <c r="Q665" s="92"/>
      <c r="R665" s="68" t="str">
        <f t="shared" si="13"/>
        <v/>
      </c>
      <c r="S665" s="22"/>
    </row>
    <row r="666" spans="1:19" ht="18" customHeight="1">
      <c r="A666" s="85"/>
      <c r="B666" s="86"/>
      <c r="C666" s="22"/>
      <c r="D666" s="85"/>
      <c r="E666" s="87"/>
      <c r="F666" s="85"/>
      <c r="G666" s="22"/>
      <c r="H666" s="88"/>
      <c r="J666" s="22"/>
      <c r="M666" s="89"/>
      <c r="N666" s="60"/>
      <c r="O666" s="90"/>
      <c r="P666" s="91"/>
      <c r="Q666" s="92"/>
      <c r="R666" s="68" t="str">
        <f t="shared" si="13"/>
        <v/>
      </c>
      <c r="S666" s="22"/>
    </row>
    <row r="667" spans="1:19" ht="18" customHeight="1">
      <c r="A667" s="85"/>
      <c r="B667" s="86"/>
      <c r="C667" s="22"/>
      <c r="D667" s="85"/>
      <c r="E667" s="87"/>
      <c r="F667" s="85"/>
      <c r="G667" s="22"/>
      <c r="H667" s="88"/>
      <c r="J667" s="22"/>
      <c r="M667" s="89"/>
      <c r="N667" s="60"/>
      <c r="O667" s="90"/>
      <c r="P667" s="91"/>
      <c r="Q667" s="92"/>
      <c r="R667" s="68" t="str">
        <f t="shared" si="13"/>
        <v/>
      </c>
      <c r="S667" s="22"/>
    </row>
    <row r="668" spans="1:19" ht="18" customHeight="1">
      <c r="A668" s="85"/>
      <c r="B668" s="86"/>
      <c r="C668" s="22"/>
      <c r="D668" s="85"/>
      <c r="E668" s="87"/>
      <c r="F668" s="85"/>
      <c r="G668" s="22"/>
      <c r="H668" s="88"/>
      <c r="J668" s="22"/>
      <c r="M668" s="89"/>
      <c r="N668" s="60"/>
      <c r="O668" s="90"/>
      <c r="P668" s="91"/>
      <c r="Q668" s="92"/>
      <c r="R668" s="68" t="str">
        <f t="shared" si="13"/>
        <v/>
      </c>
      <c r="S668" s="22"/>
    </row>
    <row r="669" spans="1:19" ht="18" customHeight="1">
      <c r="A669" s="85"/>
      <c r="B669" s="86"/>
      <c r="C669" s="22"/>
      <c r="D669" s="85"/>
      <c r="E669" s="87"/>
      <c r="F669" s="85"/>
      <c r="G669" s="22"/>
      <c r="H669" s="88"/>
      <c r="J669" s="22"/>
      <c r="M669" s="89"/>
      <c r="N669" s="60"/>
      <c r="O669" s="90"/>
      <c r="P669" s="91"/>
      <c r="Q669" s="92"/>
      <c r="R669" s="68" t="str">
        <f t="shared" si="13"/>
        <v/>
      </c>
      <c r="S669" s="22"/>
    </row>
    <row r="670" spans="1:19" ht="18" customHeight="1">
      <c r="A670" s="85"/>
      <c r="B670" s="86"/>
      <c r="C670" s="22"/>
      <c r="D670" s="85"/>
      <c r="E670" s="87"/>
      <c r="F670" s="85"/>
      <c r="G670" s="22"/>
      <c r="H670" s="88"/>
      <c r="J670" s="22"/>
      <c r="M670" s="89"/>
      <c r="N670" s="60"/>
      <c r="O670" s="90"/>
      <c r="P670" s="91"/>
      <c r="Q670" s="92"/>
      <c r="R670" s="68" t="str">
        <f t="shared" si="13"/>
        <v/>
      </c>
      <c r="S670" s="22"/>
    </row>
    <row r="671" spans="1:19" ht="18" customHeight="1">
      <c r="A671" s="85"/>
      <c r="B671" s="86"/>
      <c r="C671" s="22"/>
      <c r="D671" s="85"/>
      <c r="E671" s="87"/>
      <c r="F671" s="85"/>
      <c r="G671" s="22"/>
      <c r="H671" s="88"/>
      <c r="J671" s="22"/>
      <c r="M671" s="89"/>
      <c r="N671" s="60"/>
      <c r="O671" s="90"/>
      <c r="P671" s="91"/>
      <c r="Q671" s="92"/>
      <c r="R671" s="68" t="str">
        <f t="shared" si="13"/>
        <v/>
      </c>
      <c r="S671" s="22"/>
    </row>
    <row r="672" spans="1:19" ht="18" customHeight="1">
      <c r="A672" s="85"/>
      <c r="B672" s="86"/>
      <c r="C672" s="22"/>
      <c r="D672" s="85"/>
      <c r="E672" s="87"/>
      <c r="F672" s="85"/>
      <c r="G672" s="22"/>
      <c r="H672" s="88"/>
      <c r="J672" s="22"/>
      <c r="M672" s="89"/>
      <c r="N672" s="60"/>
      <c r="O672" s="90"/>
      <c r="P672" s="91"/>
      <c r="Q672" s="92"/>
      <c r="R672" s="68" t="str">
        <f t="shared" si="13"/>
        <v/>
      </c>
      <c r="S672" s="22"/>
    </row>
    <row r="673" spans="1:19" ht="18" customHeight="1">
      <c r="A673" s="85"/>
      <c r="B673" s="86"/>
      <c r="C673" s="22"/>
      <c r="D673" s="85"/>
      <c r="E673" s="87"/>
      <c r="F673" s="85"/>
      <c r="G673" s="22"/>
      <c r="H673" s="88"/>
      <c r="J673" s="22"/>
      <c r="M673" s="89"/>
      <c r="N673" s="60"/>
      <c r="O673" s="90"/>
      <c r="P673" s="91"/>
      <c r="Q673" s="92"/>
      <c r="R673" s="68" t="str">
        <f t="shared" si="13"/>
        <v/>
      </c>
      <c r="S673" s="22"/>
    </row>
    <row r="674" spans="1:19" ht="18" customHeight="1">
      <c r="A674" s="85"/>
      <c r="B674" s="86"/>
      <c r="C674" s="22"/>
      <c r="D674" s="85"/>
      <c r="E674" s="87"/>
      <c r="F674" s="85"/>
      <c r="G674" s="22"/>
      <c r="H674" s="88"/>
      <c r="J674" s="22"/>
      <c r="M674" s="89"/>
      <c r="N674" s="60"/>
      <c r="O674" s="90"/>
      <c r="P674" s="91"/>
      <c r="Q674" s="92"/>
      <c r="R674" s="68" t="str">
        <f t="shared" si="13"/>
        <v/>
      </c>
      <c r="S674" s="22"/>
    </row>
    <row r="675" spans="1:19" ht="18" customHeight="1">
      <c r="A675" s="85"/>
      <c r="B675" s="86"/>
      <c r="C675" s="22"/>
      <c r="D675" s="85"/>
      <c r="E675" s="87"/>
      <c r="F675" s="85"/>
      <c r="G675" s="22"/>
      <c r="H675" s="88"/>
      <c r="J675" s="22"/>
      <c r="M675" s="89"/>
      <c r="N675" s="60"/>
      <c r="O675" s="90"/>
      <c r="P675" s="91"/>
      <c r="Q675" s="92"/>
      <c r="R675" s="68" t="str">
        <f t="shared" si="13"/>
        <v/>
      </c>
      <c r="S675" s="22"/>
    </row>
    <row r="676" spans="1:19" ht="18" customHeight="1">
      <c r="A676" s="85"/>
      <c r="B676" s="86"/>
      <c r="C676" s="22"/>
      <c r="D676" s="85"/>
      <c r="E676" s="87"/>
      <c r="F676" s="85"/>
      <c r="G676" s="22"/>
      <c r="H676" s="88"/>
      <c r="J676" s="22"/>
      <c r="M676" s="89"/>
      <c r="N676" s="60"/>
      <c r="O676" s="90"/>
      <c r="P676" s="91"/>
      <c r="Q676" s="92"/>
      <c r="R676" s="68" t="str">
        <f t="shared" si="13"/>
        <v/>
      </c>
      <c r="S676" s="22"/>
    </row>
    <row r="677" spans="1:19" ht="18" customHeight="1">
      <c r="A677" s="85"/>
      <c r="B677" s="86"/>
      <c r="C677" s="22"/>
      <c r="D677" s="85"/>
      <c r="E677" s="87"/>
      <c r="F677" s="85"/>
      <c r="G677" s="22"/>
      <c r="H677" s="88"/>
      <c r="J677" s="22"/>
      <c r="M677" s="89"/>
      <c r="N677" s="60"/>
      <c r="O677" s="90"/>
      <c r="P677" s="91"/>
      <c r="Q677" s="92"/>
      <c r="R677" s="68" t="str">
        <f t="shared" si="13"/>
        <v/>
      </c>
      <c r="S677" s="22"/>
    </row>
    <row r="678" spans="1:19" ht="18" customHeight="1">
      <c r="A678" s="85"/>
      <c r="B678" s="86"/>
      <c r="C678" s="22"/>
      <c r="D678" s="85"/>
      <c r="E678" s="87"/>
      <c r="F678" s="85"/>
      <c r="G678" s="22"/>
      <c r="H678" s="88"/>
      <c r="J678" s="22"/>
      <c r="M678" s="89"/>
      <c r="N678" s="60"/>
      <c r="O678" s="90"/>
      <c r="P678" s="91"/>
      <c r="Q678" s="92"/>
      <c r="R678" s="68" t="str">
        <f t="shared" si="13"/>
        <v/>
      </c>
      <c r="S678" s="22"/>
    </row>
    <row r="679" spans="1:19" ht="18" customHeight="1">
      <c r="A679" s="85"/>
      <c r="B679" s="86"/>
      <c r="C679" s="22"/>
      <c r="D679" s="85"/>
      <c r="E679" s="87"/>
      <c r="F679" s="85"/>
      <c r="G679" s="22"/>
      <c r="H679" s="88"/>
      <c r="J679" s="22"/>
      <c r="M679" s="89"/>
      <c r="N679" s="60"/>
      <c r="O679" s="90"/>
      <c r="P679" s="91"/>
      <c r="Q679" s="92"/>
      <c r="R679" s="68" t="str">
        <f t="shared" si="13"/>
        <v/>
      </c>
      <c r="S679" s="22"/>
    </row>
    <row r="680" spans="1:19" ht="18" customHeight="1">
      <c r="A680" s="85"/>
      <c r="B680" s="86"/>
      <c r="C680" s="22"/>
      <c r="D680" s="85"/>
      <c r="E680" s="87"/>
      <c r="F680" s="85"/>
      <c r="G680" s="22"/>
      <c r="H680" s="88"/>
      <c r="J680" s="22"/>
      <c r="M680" s="89"/>
      <c r="N680" s="60"/>
      <c r="O680" s="90"/>
      <c r="P680" s="91"/>
      <c r="Q680" s="92"/>
      <c r="R680" s="68" t="str">
        <f t="shared" si="13"/>
        <v/>
      </c>
      <c r="S680" s="22"/>
    </row>
    <row r="681" spans="1:19" ht="18" customHeight="1">
      <c r="A681" s="85"/>
      <c r="B681" s="86"/>
      <c r="C681" s="22"/>
      <c r="D681" s="85"/>
      <c r="E681" s="87"/>
      <c r="F681" s="85"/>
      <c r="G681" s="22"/>
      <c r="H681" s="88"/>
      <c r="J681" s="22"/>
      <c r="M681" s="89"/>
      <c r="N681" s="60"/>
      <c r="O681" s="90"/>
      <c r="P681" s="91"/>
      <c r="Q681" s="92"/>
      <c r="R681" s="68" t="str">
        <f t="shared" si="13"/>
        <v/>
      </c>
      <c r="S681" s="22"/>
    </row>
    <row r="682" spans="1:19" ht="18" customHeight="1">
      <c r="A682" s="85"/>
      <c r="B682" s="86"/>
      <c r="C682" s="22"/>
      <c r="D682" s="85"/>
      <c r="E682" s="87"/>
      <c r="F682" s="85"/>
      <c r="G682" s="22"/>
      <c r="H682" s="88"/>
      <c r="J682" s="22"/>
      <c r="M682" s="89"/>
      <c r="N682" s="60"/>
      <c r="O682" s="90"/>
      <c r="P682" s="91"/>
      <c r="Q682" s="92"/>
      <c r="R682" s="68" t="str">
        <f t="shared" si="13"/>
        <v/>
      </c>
      <c r="S682" s="22"/>
    </row>
    <row r="683" spans="1:19" ht="18" customHeight="1">
      <c r="A683" s="85"/>
      <c r="B683" s="86"/>
      <c r="C683" s="22"/>
      <c r="D683" s="85"/>
      <c r="E683" s="87"/>
      <c r="F683" s="85"/>
      <c r="G683" s="22"/>
      <c r="H683" s="88"/>
      <c r="J683" s="22"/>
      <c r="M683" s="89"/>
      <c r="N683" s="60"/>
      <c r="O683" s="90"/>
      <c r="P683" s="91"/>
      <c r="Q683" s="92"/>
      <c r="R683" s="68" t="str">
        <f t="shared" si="13"/>
        <v/>
      </c>
      <c r="S683" s="22"/>
    </row>
    <row r="684" spans="1:19" ht="18" customHeight="1">
      <c r="A684" s="85"/>
      <c r="B684" s="86"/>
      <c r="C684" s="22"/>
      <c r="D684" s="85"/>
      <c r="E684" s="87"/>
      <c r="F684" s="85"/>
      <c r="G684" s="22"/>
      <c r="H684" s="88"/>
      <c r="J684" s="22"/>
      <c r="M684" s="89"/>
      <c r="N684" s="60"/>
      <c r="O684" s="90"/>
      <c r="P684" s="91"/>
      <c r="Q684" s="92"/>
      <c r="R684" s="68" t="str">
        <f t="shared" si="13"/>
        <v/>
      </c>
      <c r="S684" s="22"/>
    </row>
    <row r="685" spans="1:19" ht="18" customHeight="1">
      <c r="A685" s="85"/>
      <c r="B685" s="86"/>
      <c r="C685" s="22"/>
      <c r="D685" s="85"/>
      <c r="E685" s="87"/>
      <c r="F685" s="85"/>
      <c r="G685" s="22"/>
      <c r="H685" s="88"/>
      <c r="J685" s="22"/>
      <c r="M685" s="89"/>
      <c r="N685" s="60"/>
      <c r="O685" s="90"/>
      <c r="P685" s="91"/>
      <c r="Q685" s="92"/>
      <c r="R685" s="68" t="str">
        <f t="shared" si="13"/>
        <v/>
      </c>
      <c r="S685" s="22"/>
    </row>
    <row r="686" spans="1:19" ht="18" customHeight="1">
      <c r="A686" s="85"/>
      <c r="B686" s="86"/>
      <c r="C686" s="22"/>
      <c r="D686" s="85"/>
      <c r="E686" s="87"/>
      <c r="F686" s="85"/>
      <c r="G686" s="22"/>
      <c r="H686" s="88"/>
      <c r="J686" s="22"/>
      <c r="M686" s="89"/>
      <c r="N686" s="60"/>
      <c r="O686" s="90"/>
      <c r="P686" s="91"/>
      <c r="Q686" s="92"/>
      <c r="R686" s="68" t="str">
        <f t="shared" si="13"/>
        <v/>
      </c>
      <c r="S686" s="22"/>
    </row>
    <row r="687" spans="1:19" ht="18" customHeight="1">
      <c r="A687" s="85"/>
      <c r="B687" s="86"/>
      <c r="C687" s="22"/>
      <c r="D687" s="85"/>
      <c r="E687" s="87"/>
      <c r="F687" s="85"/>
      <c r="G687" s="22"/>
      <c r="H687" s="88"/>
      <c r="J687" s="22"/>
      <c r="M687" s="89"/>
      <c r="N687" s="60"/>
      <c r="O687" s="90"/>
      <c r="P687" s="91"/>
      <c r="Q687" s="92"/>
      <c r="R687" s="68" t="str">
        <f t="shared" si="13"/>
        <v/>
      </c>
      <c r="S687" s="22"/>
    </row>
    <row r="688" spans="1:19" ht="18" customHeight="1">
      <c r="A688" s="85"/>
      <c r="B688" s="86"/>
      <c r="C688" s="22"/>
      <c r="D688" s="85"/>
      <c r="E688" s="87"/>
      <c r="F688" s="85"/>
      <c r="G688" s="22"/>
      <c r="H688" s="88"/>
      <c r="J688" s="22"/>
      <c r="M688" s="89"/>
      <c r="N688" s="60"/>
      <c r="O688" s="90"/>
      <c r="P688" s="91"/>
      <c r="Q688" s="92"/>
      <c r="R688" s="68" t="str">
        <f t="shared" si="13"/>
        <v/>
      </c>
      <c r="S688" s="22"/>
    </row>
    <row r="689" spans="1:19" ht="18" customHeight="1">
      <c r="A689" s="85"/>
      <c r="B689" s="86"/>
      <c r="C689" s="22"/>
      <c r="D689" s="85"/>
      <c r="E689" s="87"/>
      <c r="F689" s="85"/>
      <c r="G689" s="22"/>
      <c r="H689" s="88"/>
      <c r="J689" s="22"/>
      <c r="M689" s="89"/>
      <c r="N689" s="60"/>
      <c r="O689" s="90"/>
      <c r="P689" s="91"/>
      <c r="Q689" s="92"/>
      <c r="R689" s="68" t="str">
        <f t="shared" si="13"/>
        <v/>
      </c>
      <c r="S689" s="22"/>
    </row>
    <row r="690" spans="1:19" ht="18" customHeight="1">
      <c r="A690" s="85"/>
      <c r="B690" s="86"/>
      <c r="C690" s="22"/>
      <c r="D690" s="85"/>
      <c r="E690" s="87"/>
      <c r="F690" s="85"/>
      <c r="G690" s="22"/>
      <c r="H690" s="88"/>
      <c r="J690" s="22"/>
      <c r="M690" s="89"/>
      <c r="N690" s="60"/>
      <c r="O690" s="90"/>
      <c r="P690" s="91"/>
      <c r="Q690" s="92"/>
      <c r="R690" s="68" t="str">
        <f t="shared" si="13"/>
        <v/>
      </c>
      <c r="S690" s="22"/>
    </row>
    <row r="691" spans="1:19" ht="18" customHeight="1">
      <c r="A691" s="85"/>
      <c r="B691" s="86"/>
      <c r="C691" s="22"/>
      <c r="D691" s="85"/>
      <c r="E691" s="87"/>
      <c r="F691" s="85"/>
      <c r="G691" s="22"/>
      <c r="H691" s="88"/>
      <c r="J691" s="22"/>
      <c r="M691" s="89"/>
      <c r="N691" s="60"/>
      <c r="O691" s="90"/>
      <c r="P691" s="91"/>
      <c r="Q691" s="92"/>
      <c r="R691" s="68" t="str">
        <f t="shared" si="13"/>
        <v/>
      </c>
      <c r="S691" s="22"/>
    </row>
    <row r="692" spans="1:19" ht="18" customHeight="1">
      <c r="A692" s="85"/>
      <c r="B692" s="86"/>
      <c r="C692" s="22"/>
      <c r="D692" s="85"/>
      <c r="E692" s="87"/>
      <c r="F692" s="85"/>
      <c r="G692" s="22"/>
      <c r="H692" s="88"/>
      <c r="J692" s="22"/>
      <c r="M692" s="89"/>
      <c r="N692" s="60"/>
      <c r="O692" s="90"/>
      <c r="P692" s="91"/>
      <c r="Q692" s="92"/>
      <c r="R692" s="68" t="str">
        <f t="shared" ref="R692:R755" si="14">IF(SUM(Q692)&gt;0,SUM(Q692-P692),"")</f>
        <v/>
      </c>
      <c r="S692" s="22"/>
    </row>
    <row r="693" spans="1:19" ht="18" customHeight="1">
      <c r="A693" s="85"/>
      <c r="B693" s="86"/>
      <c r="C693" s="22"/>
      <c r="D693" s="85"/>
      <c r="E693" s="87"/>
      <c r="F693" s="85"/>
      <c r="G693" s="22"/>
      <c r="H693" s="88"/>
      <c r="J693" s="22"/>
      <c r="M693" s="89"/>
      <c r="N693" s="60"/>
      <c r="O693" s="90"/>
      <c r="P693" s="91"/>
      <c r="Q693" s="92"/>
      <c r="R693" s="68" t="str">
        <f t="shared" si="14"/>
        <v/>
      </c>
      <c r="S693" s="22"/>
    </row>
    <row r="694" spans="1:19" ht="18" customHeight="1">
      <c r="A694" s="85"/>
      <c r="B694" s="86"/>
      <c r="C694" s="22"/>
      <c r="D694" s="85"/>
      <c r="E694" s="87"/>
      <c r="F694" s="85"/>
      <c r="G694" s="22"/>
      <c r="H694" s="88"/>
      <c r="J694" s="22"/>
      <c r="M694" s="89"/>
      <c r="N694" s="60"/>
      <c r="O694" s="90"/>
      <c r="P694" s="91"/>
      <c r="Q694" s="92"/>
      <c r="R694" s="68" t="str">
        <f t="shared" si="14"/>
        <v/>
      </c>
      <c r="S694" s="22"/>
    </row>
    <row r="695" spans="1:19" ht="18" customHeight="1">
      <c r="A695" s="85"/>
      <c r="B695" s="86"/>
      <c r="C695" s="22"/>
      <c r="D695" s="85"/>
      <c r="E695" s="87"/>
      <c r="F695" s="85"/>
      <c r="G695" s="22"/>
      <c r="H695" s="88"/>
      <c r="J695" s="22"/>
      <c r="M695" s="89"/>
      <c r="N695" s="60"/>
      <c r="O695" s="90"/>
      <c r="P695" s="91"/>
      <c r="Q695" s="92"/>
      <c r="R695" s="68" t="str">
        <f t="shared" si="14"/>
        <v/>
      </c>
      <c r="S695" s="22"/>
    </row>
    <row r="696" spans="1:19" ht="18" customHeight="1">
      <c r="A696" s="85"/>
      <c r="B696" s="86"/>
      <c r="C696" s="22"/>
      <c r="D696" s="85"/>
      <c r="E696" s="87"/>
      <c r="F696" s="85"/>
      <c r="G696" s="22"/>
      <c r="H696" s="88"/>
      <c r="J696" s="22"/>
      <c r="M696" s="89"/>
      <c r="N696" s="60"/>
      <c r="O696" s="90"/>
      <c r="P696" s="91"/>
      <c r="Q696" s="92"/>
      <c r="R696" s="68" t="str">
        <f t="shared" si="14"/>
        <v/>
      </c>
      <c r="S696" s="22"/>
    </row>
    <row r="697" spans="1:19" ht="18" customHeight="1">
      <c r="A697" s="85"/>
      <c r="B697" s="86"/>
      <c r="C697" s="22"/>
      <c r="D697" s="85"/>
      <c r="E697" s="87"/>
      <c r="F697" s="85"/>
      <c r="G697" s="22"/>
      <c r="H697" s="88"/>
      <c r="J697" s="22"/>
      <c r="M697" s="89"/>
      <c r="N697" s="60"/>
      <c r="O697" s="90"/>
      <c r="P697" s="91"/>
      <c r="Q697" s="92"/>
      <c r="R697" s="68" t="str">
        <f t="shared" si="14"/>
        <v/>
      </c>
      <c r="S697" s="22"/>
    </row>
    <row r="698" spans="1:19" ht="18" customHeight="1">
      <c r="A698" s="85"/>
      <c r="B698" s="86"/>
      <c r="C698" s="22"/>
      <c r="D698" s="85"/>
      <c r="E698" s="87"/>
      <c r="F698" s="85"/>
      <c r="G698" s="22"/>
      <c r="H698" s="88"/>
      <c r="J698" s="22"/>
      <c r="M698" s="89"/>
      <c r="N698" s="60"/>
      <c r="O698" s="90"/>
      <c r="P698" s="91"/>
      <c r="Q698" s="92"/>
      <c r="R698" s="68" t="str">
        <f t="shared" si="14"/>
        <v/>
      </c>
      <c r="S698" s="22"/>
    </row>
    <row r="699" spans="1:19" ht="18" customHeight="1">
      <c r="A699" s="85"/>
      <c r="B699" s="86"/>
      <c r="C699" s="22"/>
      <c r="D699" s="85"/>
      <c r="E699" s="87"/>
      <c r="F699" s="85"/>
      <c r="G699" s="22"/>
      <c r="H699" s="88"/>
      <c r="J699" s="22"/>
      <c r="M699" s="89"/>
      <c r="N699" s="60"/>
      <c r="O699" s="90"/>
      <c r="P699" s="91"/>
      <c r="Q699" s="92"/>
      <c r="R699" s="68" t="str">
        <f t="shared" si="14"/>
        <v/>
      </c>
      <c r="S699" s="22"/>
    </row>
    <row r="700" spans="1:19" ht="18" customHeight="1">
      <c r="A700" s="85"/>
      <c r="B700" s="86"/>
      <c r="C700" s="22"/>
      <c r="D700" s="85"/>
      <c r="E700" s="87"/>
      <c r="F700" s="85"/>
      <c r="G700" s="22"/>
      <c r="H700" s="88"/>
      <c r="J700" s="22"/>
      <c r="M700" s="89"/>
      <c r="N700" s="60"/>
      <c r="O700" s="90"/>
      <c r="P700" s="91"/>
      <c r="Q700" s="92"/>
      <c r="R700" s="68" t="str">
        <f t="shared" si="14"/>
        <v/>
      </c>
      <c r="S700" s="22"/>
    </row>
    <row r="701" spans="1:19" ht="18" customHeight="1">
      <c r="A701" s="85"/>
      <c r="B701" s="86"/>
      <c r="C701" s="22"/>
      <c r="D701" s="85"/>
      <c r="E701" s="87"/>
      <c r="F701" s="85"/>
      <c r="G701" s="22"/>
      <c r="H701" s="88"/>
      <c r="J701" s="22"/>
      <c r="M701" s="89"/>
      <c r="N701" s="60"/>
      <c r="O701" s="90"/>
      <c r="P701" s="91"/>
      <c r="Q701" s="92"/>
      <c r="R701" s="68" t="str">
        <f t="shared" si="14"/>
        <v/>
      </c>
      <c r="S701" s="22"/>
    </row>
    <row r="702" spans="1:19" ht="18" customHeight="1">
      <c r="A702" s="85"/>
      <c r="B702" s="86"/>
      <c r="C702" s="22"/>
      <c r="D702" s="85"/>
      <c r="E702" s="87"/>
      <c r="F702" s="85"/>
      <c r="G702" s="22"/>
      <c r="H702" s="88"/>
      <c r="J702" s="22"/>
      <c r="M702" s="89"/>
      <c r="N702" s="60"/>
      <c r="O702" s="90"/>
      <c r="P702" s="91"/>
      <c r="Q702" s="92"/>
      <c r="R702" s="68" t="str">
        <f t="shared" si="14"/>
        <v/>
      </c>
      <c r="S702" s="22"/>
    </row>
    <row r="703" spans="1:19" ht="18" customHeight="1">
      <c r="A703" s="85"/>
      <c r="B703" s="86"/>
      <c r="C703" s="22"/>
      <c r="D703" s="85"/>
      <c r="E703" s="87"/>
      <c r="F703" s="85"/>
      <c r="G703" s="22"/>
      <c r="H703" s="88"/>
      <c r="J703" s="22"/>
      <c r="M703" s="89"/>
      <c r="N703" s="60"/>
      <c r="O703" s="90"/>
      <c r="P703" s="91"/>
      <c r="Q703" s="92"/>
      <c r="R703" s="68" t="str">
        <f t="shared" si="14"/>
        <v/>
      </c>
      <c r="S703" s="22"/>
    </row>
    <row r="704" spans="1:19" ht="18" customHeight="1">
      <c r="A704" s="85"/>
      <c r="B704" s="86"/>
      <c r="C704" s="22"/>
      <c r="D704" s="85"/>
      <c r="E704" s="87"/>
      <c r="F704" s="85"/>
      <c r="G704" s="22"/>
      <c r="H704" s="88"/>
      <c r="J704" s="22"/>
      <c r="M704" s="89"/>
      <c r="N704" s="60"/>
      <c r="O704" s="90"/>
      <c r="P704" s="91"/>
      <c r="Q704" s="92"/>
      <c r="R704" s="68" t="str">
        <f t="shared" si="14"/>
        <v/>
      </c>
      <c r="S704" s="22"/>
    </row>
    <row r="705" spans="1:19" ht="18" customHeight="1">
      <c r="A705" s="85"/>
      <c r="B705" s="86"/>
      <c r="C705" s="22"/>
      <c r="D705" s="85"/>
      <c r="E705" s="87"/>
      <c r="F705" s="85"/>
      <c r="G705" s="22"/>
      <c r="H705" s="88"/>
      <c r="J705" s="22"/>
      <c r="M705" s="89"/>
      <c r="N705" s="60"/>
      <c r="O705" s="90"/>
      <c r="P705" s="91"/>
      <c r="Q705" s="92"/>
      <c r="R705" s="68" t="str">
        <f t="shared" si="14"/>
        <v/>
      </c>
      <c r="S705" s="22"/>
    </row>
    <row r="706" spans="1:19" ht="18" customHeight="1">
      <c r="A706" s="85"/>
      <c r="B706" s="86"/>
      <c r="C706" s="22"/>
      <c r="D706" s="85"/>
      <c r="E706" s="87"/>
      <c r="F706" s="85"/>
      <c r="G706" s="22"/>
      <c r="H706" s="88"/>
      <c r="J706" s="22"/>
      <c r="M706" s="89"/>
      <c r="N706" s="60"/>
      <c r="O706" s="90"/>
      <c r="P706" s="91"/>
      <c r="Q706" s="92"/>
      <c r="R706" s="68" t="str">
        <f t="shared" si="14"/>
        <v/>
      </c>
      <c r="S706" s="22"/>
    </row>
    <row r="707" spans="1:19" ht="18" customHeight="1">
      <c r="A707" s="85"/>
      <c r="B707" s="86"/>
      <c r="C707" s="22"/>
      <c r="D707" s="85"/>
      <c r="E707" s="87"/>
      <c r="F707" s="85"/>
      <c r="G707" s="22"/>
      <c r="H707" s="88"/>
      <c r="J707" s="22"/>
      <c r="M707" s="89"/>
      <c r="N707" s="60"/>
      <c r="O707" s="90"/>
      <c r="P707" s="91"/>
      <c r="Q707" s="92"/>
      <c r="R707" s="68" t="str">
        <f t="shared" si="14"/>
        <v/>
      </c>
      <c r="S707" s="22"/>
    </row>
    <row r="708" spans="1:19" ht="18" customHeight="1">
      <c r="A708" s="85"/>
      <c r="B708" s="86"/>
      <c r="C708" s="22"/>
      <c r="D708" s="85"/>
      <c r="E708" s="87"/>
      <c r="F708" s="85"/>
      <c r="G708" s="22"/>
      <c r="H708" s="88"/>
      <c r="J708" s="22"/>
      <c r="M708" s="89"/>
      <c r="N708" s="60"/>
      <c r="O708" s="90"/>
      <c r="P708" s="91"/>
      <c r="Q708" s="92"/>
      <c r="R708" s="68" t="str">
        <f t="shared" si="14"/>
        <v/>
      </c>
      <c r="S708" s="22"/>
    </row>
    <row r="709" spans="1:19" ht="18" customHeight="1">
      <c r="A709" s="85"/>
      <c r="B709" s="86"/>
      <c r="C709" s="22"/>
      <c r="D709" s="85"/>
      <c r="E709" s="87"/>
      <c r="F709" s="85"/>
      <c r="G709" s="22"/>
      <c r="H709" s="88"/>
      <c r="J709" s="22"/>
      <c r="M709" s="89"/>
      <c r="N709" s="60"/>
      <c r="O709" s="90"/>
      <c r="P709" s="91"/>
      <c r="Q709" s="92"/>
      <c r="R709" s="68" t="str">
        <f t="shared" si="14"/>
        <v/>
      </c>
      <c r="S709" s="22"/>
    </row>
    <row r="710" spans="1:19" ht="18" customHeight="1">
      <c r="A710" s="85"/>
      <c r="B710" s="86"/>
      <c r="C710" s="22"/>
      <c r="D710" s="85"/>
      <c r="E710" s="87"/>
      <c r="F710" s="85"/>
      <c r="G710" s="22"/>
      <c r="H710" s="88"/>
      <c r="J710" s="22"/>
      <c r="M710" s="89"/>
      <c r="N710" s="60"/>
      <c r="O710" s="90"/>
      <c r="P710" s="91"/>
      <c r="Q710" s="92"/>
      <c r="R710" s="68" t="str">
        <f t="shared" si="14"/>
        <v/>
      </c>
      <c r="S710" s="22"/>
    </row>
    <row r="711" spans="1:19" ht="18" customHeight="1">
      <c r="A711" s="85"/>
      <c r="B711" s="86"/>
      <c r="C711" s="22"/>
      <c r="D711" s="85"/>
      <c r="E711" s="87"/>
      <c r="F711" s="85"/>
      <c r="G711" s="22"/>
      <c r="H711" s="88"/>
      <c r="J711" s="22"/>
      <c r="M711" s="89"/>
      <c r="N711" s="60"/>
      <c r="O711" s="90"/>
      <c r="P711" s="91"/>
      <c r="Q711" s="92"/>
      <c r="R711" s="68" t="str">
        <f t="shared" si="14"/>
        <v/>
      </c>
      <c r="S711" s="22"/>
    </row>
    <row r="712" spans="1:19" ht="18" customHeight="1">
      <c r="A712" s="85"/>
      <c r="B712" s="86"/>
      <c r="C712" s="22"/>
      <c r="D712" s="85"/>
      <c r="E712" s="87"/>
      <c r="F712" s="85"/>
      <c r="G712" s="22"/>
      <c r="H712" s="88"/>
      <c r="J712" s="22"/>
      <c r="M712" s="89"/>
      <c r="N712" s="60"/>
      <c r="O712" s="90"/>
      <c r="P712" s="91"/>
      <c r="Q712" s="92"/>
      <c r="R712" s="68" t="str">
        <f t="shared" si="14"/>
        <v/>
      </c>
      <c r="S712" s="22"/>
    </row>
    <row r="713" spans="1:19" ht="18" customHeight="1">
      <c r="A713" s="85"/>
      <c r="B713" s="86"/>
      <c r="C713" s="22"/>
      <c r="D713" s="85"/>
      <c r="E713" s="87"/>
      <c r="F713" s="85"/>
      <c r="G713" s="22"/>
      <c r="H713" s="88"/>
      <c r="J713" s="22"/>
      <c r="M713" s="89"/>
      <c r="N713" s="60"/>
      <c r="O713" s="90"/>
      <c r="P713" s="91"/>
      <c r="Q713" s="92"/>
      <c r="R713" s="68" t="str">
        <f t="shared" si="14"/>
        <v/>
      </c>
      <c r="S713" s="22"/>
    </row>
    <row r="714" spans="1:19" ht="18" customHeight="1">
      <c r="A714" s="85"/>
      <c r="B714" s="86"/>
      <c r="C714" s="22"/>
      <c r="D714" s="85"/>
      <c r="E714" s="87"/>
      <c r="F714" s="85"/>
      <c r="G714" s="22"/>
      <c r="H714" s="88"/>
      <c r="J714" s="22"/>
      <c r="M714" s="89"/>
      <c r="N714" s="60"/>
      <c r="O714" s="90"/>
      <c r="P714" s="91"/>
      <c r="Q714" s="92"/>
      <c r="R714" s="68" t="str">
        <f t="shared" si="14"/>
        <v/>
      </c>
      <c r="S714" s="22"/>
    </row>
    <row r="715" spans="1:19" ht="18" customHeight="1">
      <c r="A715" s="85"/>
      <c r="B715" s="86"/>
      <c r="C715" s="22"/>
      <c r="D715" s="85"/>
      <c r="E715" s="87"/>
      <c r="F715" s="85"/>
      <c r="G715" s="22"/>
      <c r="H715" s="88"/>
      <c r="J715" s="22"/>
      <c r="M715" s="89"/>
      <c r="N715" s="60"/>
      <c r="O715" s="90"/>
      <c r="P715" s="91"/>
      <c r="Q715" s="92"/>
      <c r="R715" s="68" t="str">
        <f t="shared" si="14"/>
        <v/>
      </c>
      <c r="S715" s="22"/>
    </row>
    <row r="716" spans="1:19" ht="18" customHeight="1">
      <c r="A716" s="85"/>
      <c r="B716" s="86"/>
      <c r="C716" s="22"/>
      <c r="D716" s="85"/>
      <c r="E716" s="87"/>
      <c r="F716" s="85"/>
      <c r="G716" s="22"/>
      <c r="H716" s="88"/>
      <c r="J716" s="22"/>
      <c r="M716" s="89"/>
      <c r="N716" s="60"/>
      <c r="O716" s="90"/>
      <c r="P716" s="91"/>
      <c r="Q716" s="92"/>
      <c r="R716" s="68" t="str">
        <f t="shared" si="14"/>
        <v/>
      </c>
      <c r="S716" s="22"/>
    </row>
    <row r="717" spans="1:19" ht="18" customHeight="1">
      <c r="A717" s="85"/>
      <c r="B717" s="86"/>
      <c r="C717" s="22"/>
      <c r="D717" s="85"/>
      <c r="E717" s="87"/>
      <c r="F717" s="85"/>
      <c r="G717" s="22"/>
      <c r="H717" s="88"/>
      <c r="J717" s="22"/>
      <c r="M717" s="89"/>
      <c r="N717" s="60"/>
      <c r="O717" s="90"/>
      <c r="P717" s="91"/>
      <c r="Q717" s="92"/>
      <c r="R717" s="68" t="str">
        <f t="shared" si="14"/>
        <v/>
      </c>
      <c r="S717" s="22"/>
    </row>
    <row r="718" spans="1:19" ht="18" customHeight="1">
      <c r="A718" s="85"/>
      <c r="B718" s="86"/>
      <c r="C718" s="22"/>
      <c r="D718" s="85"/>
      <c r="E718" s="87"/>
      <c r="F718" s="85"/>
      <c r="G718" s="22"/>
      <c r="H718" s="88"/>
      <c r="J718" s="22"/>
      <c r="M718" s="89"/>
      <c r="N718" s="60"/>
      <c r="O718" s="90"/>
      <c r="P718" s="91"/>
      <c r="Q718" s="92"/>
      <c r="R718" s="68" t="str">
        <f t="shared" si="14"/>
        <v/>
      </c>
      <c r="S718" s="22"/>
    </row>
    <row r="719" spans="1:19" ht="18" customHeight="1">
      <c r="A719" s="85"/>
      <c r="B719" s="86"/>
      <c r="C719" s="22"/>
      <c r="D719" s="85"/>
      <c r="E719" s="87"/>
      <c r="F719" s="85"/>
      <c r="G719" s="22"/>
      <c r="H719" s="88"/>
      <c r="J719" s="22"/>
      <c r="M719" s="89"/>
      <c r="N719" s="60"/>
      <c r="O719" s="90"/>
      <c r="P719" s="91"/>
      <c r="Q719" s="92"/>
      <c r="R719" s="68" t="str">
        <f t="shared" si="14"/>
        <v/>
      </c>
      <c r="S719" s="22"/>
    </row>
    <row r="720" spans="1:19" ht="18" customHeight="1">
      <c r="A720" s="85"/>
      <c r="B720" s="86"/>
      <c r="C720" s="22"/>
      <c r="D720" s="85"/>
      <c r="E720" s="87"/>
      <c r="F720" s="85"/>
      <c r="G720" s="22"/>
      <c r="H720" s="88"/>
      <c r="J720" s="22"/>
      <c r="M720" s="89"/>
      <c r="N720" s="60"/>
      <c r="O720" s="90"/>
      <c r="P720" s="91"/>
      <c r="Q720" s="92"/>
      <c r="R720" s="68" t="str">
        <f t="shared" si="14"/>
        <v/>
      </c>
      <c r="S720" s="22"/>
    </row>
    <row r="721" spans="1:19" ht="18" customHeight="1">
      <c r="A721" s="85"/>
      <c r="B721" s="86"/>
      <c r="C721" s="22"/>
      <c r="D721" s="85"/>
      <c r="E721" s="87"/>
      <c r="F721" s="85"/>
      <c r="G721" s="22"/>
      <c r="H721" s="88"/>
      <c r="J721" s="22"/>
      <c r="M721" s="89"/>
      <c r="N721" s="60"/>
      <c r="O721" s="90"/>
      <c r="P721" s="91"/>
      <c r="Q721" s="92"/>
      <c r="R721" s="68" t="str">
        <f t="shared" si="14"/>
        <v/>
      </c>
      <c r="S721" s="22"/>
    </row>
    <row r="722" spans="1:19" ht="18" customHeight="1">
      <c r="A722" s="85"/>
      <c r="B722" s="86"/>
      <c r="C722" s="22"/>
      <c r="D722" s="85"/>
      <c r="E722" s="87"/>
      <c r="F722" s="85"/>
      <c r="G722" s="22"/>
      <c r="H722" s="88"/>
      <c r="J722" s="22"/>
      <c r="M722" s="89"/>
      <c r="N722" s="60"/>
      <c r="O722" s="90"/>
      <c r="P722" s="91"/>
      <c r="Q722" s="92"/>
      <c r="R722" s="68" t="str">
        <f t="shared" si="14"/>
        <v/>
      </c>
      <c r="S722" s="22"/>
    </row>
    <row r="723" spans="1:19" ht="18" customHeight="1">
      <c r="A723" s="85"/>
      <c r="B723" s="86"/>
      <c r="C723" s="22"/>
      <c r="D723" s="85"/>
      <c r="E723" s="87"/>
      <c r="F723" s="85"/>
      <c r="G723" s="22"/>
      <c r="H723" s="88"/>
      <c r="J723" s="22"/>
      <c r="M723" s="89"/>
      <c r="N723" s="60"/>
      <c r="O723" s="90"/>
      <c r="P723" s="91"/>
      <c r="Q723" s="92"/>
      <c r="R723" s="68" t="str">
        <f t="shared" si="14"/>
        <v/>
      </c>
      <c r="S723" s="22"/>
    </row>
    <row r="724" spans="1:19" ht="18" customHeight="1">
      <c r="A724" s="85"/>
      <c r="B724" s="86"/>
      <c r="C724" s="22"/>
      <c r="D724" s="85"/>
      <c r="E724" s="87"/>
      <c r="F724" s="85"/>
      <c r="G724" s="22"/>
      <c r="H724" s="88"/>
      <c r="J724" s="22"/>
      <c r="M724" s="89"/>
      <c r="N724" s="60"/>
      <c r="O724" s="90"/>
      <c r="P724" s="91"/>
      <c r="Q724" s="92"/>
      <c r="R724" s="68" t="str">
        <f t="shared" si="14"/>
        <v/>
      </c>
      <c r="S724" s="22"/>
    </row>
    <row r="725" spans="1:19" ht="18" customHeight="1">
      <c r="A725" s="85"/>
      <c r="B725" s="86"/>
      <c r="C725" s="22"/>
      <c r="D725" s="85"/>
      <c r="E725" s="87"/>
      <c r="F725" s="85"/>
      <c r="G725" s="22"/>
      <c r="H725" s="88"/>
      <c r="J725" s="22"/>
      <c r="M725" s="89"/>
      <c r="N725" s="60"/>
      <c r="O725" s="90"/>
      <c r="P725" s="91"/>
      <c r="Q725" s="92"/>
      <c r="R725" s="68" t="str">
        <f t="shared" si="14"/>
        <v/>
      </c>
      <c r="S725" s="22"/>
    </row>
    <row r="726" spans="1:19" ht="18" customHeight="1">
      <c r="A726" s="85"/>
      <c r="B726" s="86"/>
      <c r="C726" s="22"/>
      <c r="D726" s="85"/>
      <c r="E726" s="87"/>
      <c r="F726" s="85"/>
      <c r="G726" s="22"/>
      <c r="H726" s="88"/>
      <c r="J726" s="22"/>
      <c r="M726" s="89"/>
      <c r="N726" s="60"/>
      <c r="O726" s="90"/>
      <c r="P726" s="91"/>
      <c r="Q726" s="92"/>
      <c r="R726" s="68" t="str">
        <f t="shared" si="14"/>
        <v/>
      </c>
      <c r="S726" s="22"/>
    </row>
    <row r="727" spans="1:19" ht="18" customHeight="1">
      <c r="A727" s="85"/>
      <c r="B727" s="86"/>
      <c r="C727" s="22"/>
      <c r="D727" s="85"/>
      <c r="E727" s="87"/>
      <c r="F727" s="85"/>
      <c r="G727" s="22"/>
      <c r="H727" s="88"/>
      <c r="J727" s="22"/>
      <c r="M727" s="89"/>
      <c r="N727" s="60"/>
      <c r="O727" s="90"/>
      <c r="P727" s="91"/>
      <c r="Q727" s="92"/>
      <c r="R727" s="68" t="str">
        <f t="shared" si="14"/>
        <v/>
      </c>
      <c r="S727" s="22"/>
    </row>
    <row r="728" spans="1:19" ht="18" customHeight="1">
      <c r="A728" s="85"/>
      <c r="B728" s="86"/>
      <c r="C728" s="22"/>
      <c r="D728" s="85"/>
      <c r="E728" s="87"/>
      <c r="F728" s="85"/>
      <c r="G728" s="22"/>
      <c r="H728" s="88"/>
      <c r="J728" s="22"/>
      <c r="M728" s="89"/>
      <c r="N728" s="60"/>
      <c r="O728" s="90"/>
      <c r="P728" s="91"/>
      <c r="Q728" s="92"/>
      <c r="R728" s="68" t="str">
        <f t="shared" si="14"/>
        <v/>
      </c>
      <c r="S728" s="22"/>
    </row>
    <row r="729" spans="1:19" ht="18" customHeight="1">
      <c r="A729" s="85"/>
      <c r="B729" s="86"/>
      <c r="C729" s="22"/>
      <c r="D729" s="85"/>
      <c r="E729" s="87"/>
      <c r="F729" s="85"/>
      <c r="G729" s="22"/>
      <c r="H729" s="88"/>
      <c r="J729" s="22"/>
      <c r="M729" s="89"/>
      <c r="N729" s="60"/>
      <c r="O729" s="90"/>
      <c r="P729" s="91"/>
      <c r="Q729" s="92"/>
      <c r="R729" s="68" t="str">
        <f t="shared" si="14"/>
        <v/>
      </c>
      <c r="S729" s="22"/>
    </row>
    <row r="730" spans="1:19" ht="18" customHeight="1">
      <c r="A730" s="85"/>
      <c r="B730" s="86"/>
      <c r="C730" s="22"/>
      <c r="D730" s="85"/>
      <c r="E730" s="87"/>
      <c r="F730" s="85"/>
      <c r="G730" s="22"/>
      <c r="H730" s="88"/>
      <c r="J730" s="22"/>
      <c r="M730" s="89"/>
      <c r="N730" s="60"/>
      <c r="O730" s="90"/>
      <c r="P730" s="91"/>
      <c r="Q730" s="92"/>
      <c r="R730" s="68" t="str">
        <f t="shared" si="14"/>
        <v/>
      </c>
      <c r="S730" s="22"/>
    </row>
    <row r="731" spans="1:19" ht="18" customHeight="1">
      <c r="A731" s="85"/>
      <c r="B731" s="86"/>
      <c r="C731" s="22"/>
      <c r="D731" s="85"/>
      <c r="E731" s="87"/>
      <c r="F731" s="85"/>
      <c r="G731" s="22"/>
      <c r="H731" s="88"/>
      <c r="J731" s="22"/>
      <c r="M731" s="89"/>
      <c r="N731" s="60"/>
      <c r="O731" s="90"/>
      <c r="P731" s="91"/>
      <c r="Q731" s="92"/>
      <c r="R731" s="68" t="str">
        <f t="shared" si="14"/>
        <v/>
      </c>
      <c r="S731" s="22"/>
    </row>
    <row r="732" spans="1:19" ht="18" customHeight="1">
      <c r="A732" s="85"/>
      <c r="B732" s="86"/>
      <c r="C732" s="22"/>
      <c r="D732" s="85"/>
      <c r="E732" s="87"/>
      <c r="F732" s="85"/>
      <c r="G732" s="22"/>
      <c r="H732" s="88"/>
      <c r="J732" s="22"/>
      <c r="M732" s="89"/>
      <c r="N732" s="60"/>
      <c r="O732" s="90"/>
      <c r="P732" s="91"/>
      <c r="Q732" s="92"/>
      <c r="R732" s="68" t="str">
        <f t="shared" si="14"/>
        <v/>
      </c>
      <c r="S732" s="22"/>
    </row>
    <row r="733" spans="1:19" ht="18" customHeight="1">
      <c r="A733" s="85"/>
      <c r="B733" s="86"/>
      <c r="C733" s="22"/>
      <c r="D733" s="85"/>
      <c r="E733" s="87"/>
      <c r="F733" s="85"/>
      <c r="G733" s="22"/>
      <c r="H733" s="88"/>
      <c r="J733" s="22"/>
      <c r="M733" s="89"/>
      <c r="N733" s="60"/>
      <c r="O733" s="90"/>
      <c r="P733" s="91"/>
      <c r="Q733" s="92"/>
      <c r="R733" s="68" t="str">
        <f t="shared" si="14"/>
        <v/>
      </c>
      <c r="S733" s="22"/>
    </row>
    <row r="734" spans="1:19" ht="18" customHeight="1">
      <c r="A734" s="85"/>
      <c r="B734" s="86"/>
      <c r="C734" s="22"/>
      <c r="D734" s="85"/>
      <c r="E734" s="87"/>
      <c r="F734" s="85"/>
      <c r="G734" s="22"/>
      <c r="H734" s="88"/>
      <c r="J734" s="22"/>
      <c r="M734" s="89"/>
      <c r="N734" s="60"/>
      <c r="O734" s="90"/>
      <c r="P734" s="91"/>
      <c r="Q734" s="92"/>
      <c r="R734" s="68" t="str">
        <f t="shared" si="14"/>
        <v/>
      </c>
      <c r="S734" s="22"/>
    </row>
    <row r="735" spans="1:19" ht="18" customHeight="1">
      <c r="A735" s="85"/>
      <c r="B735" s="86"/>
      <c r="C735" s="22"/>
      <c r="D735" s="85"/>
      <c r="E735" s="87"/>
      <c r="F735" s="85"/>
      <c r="G735" s="22"/>
      <c r="H735" s="88"/>
      <c r="J735" s="22"/>
      <c r="M735" s="89"/>
      <c r="N735" s="60"/>
      <c r="O735" s="90"/>
      <c r="P735" s="91"/>
      <c r="Q735" s="92"/>
      <c r="R735" s="68" t="str">
        <f t="shared" si="14"/>
        <v/>
      </c>
      <c r="S735" s="22"/>
    </row>
    <row r="736" spans="1:19" ht="18" customHeight="1">
      <c r="A736" s="85"/>
      <c r="B736" s="86"/>
      <c r="C736" s="22"/>
      <c r="D736" s="85"/>
      <c r="E736" s="87"/>
      <c r="F736" s="85"/>
      <c r="G736" s="22"/>
      <c r="H736" s="88"/>
      <c r="J736" s="22"/>
      <c r="M736" s="89"/>
      <c r="N736" s="60"/>
      <c r="O736" s="90"/>
      <c r="P736" s="91"/>
      <c r="Q736" s="92"/>
      <c r="R736" s="68" t="str">
        <f t="shared" si="14"/>
        <v/>
      </c>
      <c r="S736" s="22"/>
    </row>
    <row r="737" spans="1:19" ht="18" customHeight="1">
      <c r="A737" s="85"/>
      <c r="B737" s="86"/>
      <c r="C737" s="22"/>
      <c r="D737" s="85"/>
      <c r="E737" s="87"/>
      <c r="F737" s="85"/>
      <c r="G737" s="22"/>
      <c r="H737" s="88"/>
      <c r="J737" s="22"/>
      <c r="M737" s="89"/>
      <c r="N737" s="60"/>
      <c r="O737" s="90"/>
      <c r="P737" s="91"/>
      <c r="Q737" s="92"/>
      <c r="R737" s="68" t="str">
        <f t="shared" si="14"/>
        <v/>
      </c>
      <c r="S737" s="22"/>
    </row>
    <row r="738" spans="1:19" ht="18" customHeight="1">
      <c r="A738" s="85"/>
      <c r="B738" s="86"/>
      <c r="C738" s="22"/>
      <c r="D738" s="85"/>
      <c r="E738" s="87"/>
      <c r="F738" s="85"/>
      <c r="G738" s="22"/>
      <c r="H738" s="88"/>
      <c r="J738" s="22"/>
      <c r="M738" s="89"/>
      <c r="N738" s="60"/>
      <c r="O738" s="90"/>
      <c r="P738" s="91"/>
      <c r="Q738" s="92"/>
      <c r="R738" s="68" t="str">
        <f t="shared" si="14"/>
        <v/>
      </c>
      <c r="S738" s="22"/>
    </row>
    <row r="739" spans="1:19" ht="18" customHeight="1">
      <c r="A739" s="85"/>
      <c r="B739" s="86"/>
      <c r="C739" s="22"/>
      <c r="D739" s="85"/>
      <c r="E739" s="87"/>
      <c r="F739" s="85"/>
      <c r="G739" s="22"/>
      <c r="H739" s="88"/>
      <c r="J739" s="22"/>
      <c r="M739" s="89"/>
      <c r="N739" s="60"/>
      <c r="O739" s="90"/>
      <c r="P739" s="91"/>
      <c r="Q739" s="92"/>
      <c r="R739" s="68" t="str">
        <f t="shared" si="14"/>
        <v/>
      </c>
      <c r="S739" s="22"/>
    </row>
    <row r="740" spans="1:19" ht="18" customHeight="1">
      <c r="A740" s="85"/>
      <c r="B740" s="86"/>
      <c r="C740" s="22"/>
      <c r="D740" s="85"/>
      <c r="E740" s="87"/>
      <c r="F740" s="85"/>
      <c r="G740" s="22"/>
      <c r="H740" s="88"/>
      <c r="J740" s="22"/>
      <c r="M740" s="89"/>
      <c r="N740" s="60"/>
      <c r="O740" s="90"/>
      <c r="P740" s="91"/>
      <c r="Q740" s="92"/>
      <c r="R740" s="68" t="str">
        <f t="shared" si="14"/>
        <v/>
      </c>
      <c r="S740" s="22"/>
    </row>
    <row r="741" spans="1:19" ht="18" customHeight="1">
      <c r="A741" s="85"/>
      <c r="B741" s="86"/>
      <c r="C741" s="22"/>
      <c r="D741" s="85"/>
      <c r="E741" s="87"/>
      <c r="F741" s="85"/>
      <c r="G741" s="22"/>
      <c r="H741" s="88"/>
      <c r="J741" s="22"/>
      <c r="M741" s="89"/>
      <c r="N741" s="60"/>
      <c r="O741" s="90"/>
      <c r="P741" s="91"/>
      <c r="Q741" s="92"/>
      <c r="R741" s="68" t="str">
        <f t="shared" si="14"/>
        <v/>
      </c>
      <c r="S741" s="22"/>
    </row>
    <row r="742" spans="1:19" ht="18" customHeight="1">
      <c r="A742" s="85"/>
      <c r="B742" s="86"/>
      <c r="C742" s="22"/>
      <c r="D742" s="85"/>
      <c r="E742" s="87"/>
      <c r="F742" s="85"/>
      <c r="G742" s="22"/>
      <c r="H742" s="88"/>
      <c r="J742" s="22"/>
      <c r="M742" s="89"/>
      <c r="N742" s="60"/>
      <c r="O742" s="90"/>
      <c r="P742" s="91"/>
      <c r="Q742" s="92"/>
      <c r="R742" s="68" t="str">
        <f t="shared" si="14"/>
        <v/>
      </c>
      <c r="S742" s="22"/>
    </row>
    <row r="743" spans="1:19" ht="18" customHeight="1">
      <c r="A743" s="85"/>
      <c r="B743" s="86"/>
      <c r="C743" s="22"/>
      <c r="D743" s="85"/>
      <c r="E743" s="87"/>
      <c r="F743" s="85"/>
      <c r="G743" s="22"/>
      <c r="H743" s="88"/>
      <c r="J743" s="22"/>
      <c r="M743" s="89"/>
      <c r="N743" s="60"/>
      <c r="O743" s="90"/>
      <c r="P743" s="91"/>
      <c r="Q743" s="92"/>
      <c r="R743" s="68" t="str">
        <f t="shared" si="14"/>
        <v/>
      </c>
      <c r="S743" s="22"/>
    </row>
    <row r="744" spans="1:19" ht="18" customHeight="1">
      <c r="A744" s="85"/>
      <c r="B744" s="86"/>
      <c r="C744" s="22"/>
      <c r="D744" s="85"/>
      <c r="E744" s="87"/>
      <c r="F744" s="85"/>
      <c r="G744" s="22"/>
      <c r="H744" s="88"/>
      <c r="J744" s="22"/>
      <c r="M744" s="89"/>
      <c r="N744" s="60"/>
      <c r="O744" s="90"/>
      <c r="P744" s="91"/>
      <c r="Q744" s="92"/>
      <c r="R744" s="68" t="str">
        <f t="shared" si="14"/>
        <v/>
      </c>
      <c r="S744" s="22"/>
    </row>
    <row r="745" spans="1:19" ht="18" customHeight="1">
      <c r="A745" s="85"/>
      <c r="B745" s="86"/>
      <c r="C745" s="22"/>
      <c r="D745" s="85"/>
      <c r="E745" s="87"/>
      <c r="F745" s="85"/>
      <c r="G745" s="22"/>
      <c r="H745" s="88"/>
      <c r="J745" s="22"/>
      <c r="M745" s="89"/>
      <c r="N745" s="60"/>
      <c r="O745" s="90"/>
      <c r="P745" s="91"/>
      <c r="Q745" s="92"/>
      <c r="R745" s="68" t="str">
        <f t="shared" si="14"/>
        <v/>
      </c>
      <c r="S745" s="22"/>
    </row>
    <row r="746" spans="1:19" ht="18" customHeight="1">
      <c r="A746" s="85"/>
      <c r="B746" s="86"/>
      <c r="C746" s="22"/>
      <c r="D746" s="85"/>
      <c r="E746" s="87"/>
      <c r="F746" s="85"/>
      <c r="G746" s="22"/>
      <c r="H746" s="88"/>
      <c r="J746" s="22"/>
      <c r="M746" s="89"/>
      <c r="N746" s="60"/>
      <c r="O746" s="90"/>
      <c r="P746" s="91"/>
      <c r="Q746" s="92"/>
      <c r="R746" s="68" t="str">
        <f t="shared" si="14"/>
        <v/>
      </c>
      <c r="S746" s="22"/>
    </row>
    <row r="747" spans="1:19" ht="18" customHeight="1">
      <c r="A747" s="85"/>
      <c r="B747" s="86"/>
      <c r="C747" s="22"/>
      <c r="D747" s="85"/>
      <c r="E747" s="87"/>
      <c r="F747" s="85"/>
      <c r="G747" s="22"/>
      <c r="H747" s="88"/>
      <c r="J747" s="22"/>
      <c r="M747" s="89"/>
      <c r="N747" s="60"/>
      <c r="O747" s="90"/>
      <c r="P747" s="91"/>
      <c r="Q747" s="92"/>
      <c r="R747" s="68" t="str">
        <f t="shared" si="14"/>
        <v/>
      </c>
      <c r="S747" s="22"/>
    </row>
    <row r="748" spans="1:19" ht="18" customHeight="1">
      <c r="A748" s="85"/>
      <c r="B748" s="86"/>
      <c r="C748" s="22"/>
      <c r="D748" s="85"/>
      <c r="E748" s="87"/>
      <c r="F748" s="85"/>
      <c r="G748" s="22"/>
      <c r="H748" s="88"/>
      <c r="J748" s="22"/>
      <c r="M748" s="89"/>
      <c r="N748" s="60"/>
      <c r="O748" s="90"/>
      <c r="P748" s="91"/>
      <c r="Q748" s="92"/>
      <c r="R748" s="68" t="str">
        <f t="shared" si="14"/>
        <v/>
      </c>
      <c r="S748" s="22"/>
    </row>
    <row r="749" spans="1:19" ht="18" customHeight="1">
      <c r="A749" s="85"/>
      <c r="B749" s="86"/>
      <c r="C749" s="22"/>
      <c r="D749" s="85"/>
      <c r="E749" s="87"/>
      <c r="F749" s="85"/>
      <c r="G749" s="22"/>
      <c r="H749" s="88"/>
      <c r="J749" s="22"/>
      <c r="M749" s="89"/>
      <c r="N749" s="60"/>
      <c r="O749" s="90"/>
      <c r="P749" s="91"/>
      <c r="Q749" s="92"/>
      <c r="R749" s="68" t="str">
        <f t="shared" si="14"/>
        <v/>
      </c>
      <c r="S749" s="22"/>
    </row>
    <row r="750" spans="1:19" ht="18" customHeight="1">
      <c r="A750" s="85"/>
      <c r="B750" s="86"/>
      <c r="C750" s="22"/>
      <c r="D750" s="85"/>
      <c r="E750" s="87"/>
      <c r="F750" s="85"/>
      <c r="G750" s="22"/>
      <c r="H750" s="88"/>
      <c r="J750" s="22"/>
      <c r="M750" s="89"/>
      <c r="N750" s="60"/>
      <c r="O750" s="90"/>
      <c r="P750" s="91"/>
      <c r="Q750" s="92"/>
      <c r="R750" s="68" t="str">
        <f t="shared" si="14"/>
        <v/>
      </c>
      <c r="S750" s="22"/>
    </row>
    <row r="751" spans="1:19" ht="18" customHeight="1">
      <c r="A751" s="85"/>
      <c r="B751" s="86"/>
      <c r="C751" s="22"/>
      <c r="D751" s="85"/>
      <c r="E751" s="87"/>
      <c r="F751" s="85"/>
      <c r="G751" s="22"/>
      <c r="H751" s="88"/>
      <c r="J751" s="22"/>
      <c r="M751" s="89"/>
      <c r="N751" s="60"/>
      <c r="O751" s="90"/>
      <c r="P751" s="91"/>
      <c r="Q751" s="92"/>
      <c r="R751" s="68" t="str">
        <f t="shared" si="14"/>
        <v/>
      </c>
      <c r="S751" s="22"/>
    </row>
    <row r="752" spans="1:19" ht="18" customHeight="1">
      <c r="A752" s="85"/>
      <c r="B752" s="86"/>
      <c r="C752" s="22"/>
      <c r="D752" s="85"/>
      <c r="E752" s="87"/>
      <c r="F752" s="85"/>
      <c r="G752" s="22"/>
      <c r="H752" s="88"/>
      <c r="J752" s="22"/>
      <c r="M752" s="89"/>
      <c r="N752" s="60"/>
      <c r="O752" s="90"/>
      <c r="P752" s="91"/>
      <c r="Q752" s="92"/>
      <c r="R752" s="68" t="str">
        <f t="shared" si="14"/>
        <v/>
      </c>
      <c r="S752" s="22"/>
    </row>
    <row r="753" spans="1:19" ht="18" customHeight="1">
      <c r="A753" s="85"/>
      <c r="B753" s="86"/>
      <c r="C753" s="22"/>
      <c r="D753" s="85"/>
      <c r="E753" s="87"/>
      <c r="F753" s="85"/>
      <c r="G753" s="22"/>
      <c r="H753" s="88"/>
      <c r="J753" s="22"/>
      <c r="M753" s="89"/>
      <c r="N753" s="60"/>
      <c r="O753" s="90"/>
      <c r="P753" s="91"/>
      <c r="Q753" s="92"/>
      <c r="R753" s="68" t="str">
        <f t="shared" si="14"/>
        <v/>
      </c>
      <c r="S753" s="22"/>
    </row>
    <row r="754" spans="1:19" ht="18" customHeight="1">
      <c r="A754" s="85"/>
      <c r="B754" s="86"/>
      <c r="C754" s="22"/>
      <c r="D754" s="85"/>
      <c r="E754" s="87"/>
      <c r="F754" s="85"/>
      <c r="G754" s="22"/>
      <c r="H754" s="88"/>
      <c r="J754" s="22"/>
      <c r="M754" s="89"/>
      <c r="N754" s="60"/>
      <c r="O754" s="90"/>
      <c r="P754" s="91"/>
      <c r="Q754" s="92"/>
      <c r="R754" s="68" t="str">
        <f t="shared" si="14"/>
        <v/>
      </c>
      <c r="S754" s="22"/>
    </row>
    <row r="755" spans="1:19" ht="18" customHeight="1">
      <c r="A755" s="85"/>
      <c r="B755" s="86"/>
      <c r="C755" s="22"/>
      <c r="D755" s="85"/>
      <c r="E755" s="87"/>
      <c r="F755" s="85"/>
      <c r="G755" s="22"/>
      <c r="H755" s="88"/>
      <c r="J755" s="22"/>
      <c r="M755" s="89"/>
      <c r="N755" s="60"/>
      <c r="O755" s="90"/>
      <c r="P755" s="91"/>
      <c r="Q755" s="92"/>
      <c r="R755" s="68" t="str">
        <f t="shared" si="14"/>
        <v/>
      </c>
      <c r="S755" s="22"/>
    </row>
    <row r="756" spans="1:19" ht="18" customHeight="1">
      <c r="A756" s="85"/>
      <c r="B756" s="86"/>
      <c r="C756" s="22"/>
      <c r="D756" s="85"/>
      <c r="E756" s="87"/>
      <c r="F756" s="85"/>
      <c r="G756" s="22"/>
      <c r="H756" s="88"/>
      <c r="J756" s="22"/>
      <c r="M756" s="89"/>
      <c r="N756" s="60"/>
      <c r="O756" s="90"/>
      <c r="P756" s="91"/>
      <c r="Q756" s="92"/>
      <c r="R756" s="68" t="str">
        <f t="shared" ref="R756:R819" si="15">IF(SUM(Q756)&gt;0,SUM(Q756-P756),"")</f>
        <v/>
      </c>
      <c r="S756" s="22"/>
    </row>
    <row r="757" spans="1:19" ht="18" customHeight="1">
      <c r="A757" s="85"/>
      <c r="B757" s="86"/>
      <c r="C757" s="22"/>
      <c r="D757" s="85"/>
      <c r="E757" s="87"/>
      <c r="F757" s="85"/>
      <c r="G757" s="22"/>
      <c r="H757" s="88"/>
      <c r="J757" s="22"/>
      <c r="M757" s="89"/>
      <c r="N757" s="60"/>
      <c r="O757" s="90"/>
      <c r="P757" s="91"/>
      <c r="Q757" s="92"/>
      <c r="R757" s="68" t="str">
        <f t="shared" si="15"/>
        <v/>
      </c>
      <c r="S757" s="22"/>
    </row>
    <row r="758" spans="1:19" ht="18" customHeight="1">
      <c r="A758" s="85"/>
      <c r="B758" s="86"/>
      <c r="C758" s="22"/>
      <c r="D758" s="85"/>
      <c r="E758" s="87"/>
      <c r="F758" s="85"/>
      <c r="G758" s="22"/>
      <c r="H758" s="88"/>
      <c r="J758" s="22"/>
      <c r="M758" s="89"/>
      <c r="N758" s="60"/>
      <c r="O758" s="90"/>
      <c r="P758" s="91"/>
      <c r="Q758" s="92"/>
      <c r="R758" s="68" t="str">
        <f t="shared" si="15"/>
        <v/>
      </c>
      <c r="S758" s="22"/>
    </row>
    <row r="759" spans="1:19" ht="18" customHeight="1">
      <c r="A759" s="85"/>
      <c r="B759" s="86"/>
      <c r="C759" s="22"/>
      <c r="D759" s="85"/>
      <c r="E759" s="87"/>
      <c r="F759" s="85"/>
      <c r="G759" s="22"/>
      <c r="H759" s="88"/>
      <c r="J759" s="22"/>
      <c r="M759" s="89"/>
      <c r="N759" s="60"/>
      <c r="O759" s="90"/>
      <c r="P759" s="91"/>
      <c r="Q759" s="92"/>
      <c r="R759" s="68" t="str">
        <f t="shared" si="15"/>
        <v/>
      </c>
      <c r="S759" s="22"/>
    </row>
    <row r="760" spans="1:19" ht="18" customHeight="1">
      <c r="A760" s="85"/>
      <c r="B760" s="86"/>
      <c r="C760" s="22"/>
      <c r="D760" s="85"/>
      <c r="E760" s="87"/>
      <c r="F760" s="85"/>
      <c r="G760" s="22"/>
      <c r="H760" s="88"/>
      <c r="J760" s="22"/>
      <c r="M760" s="89"/>
      <c r="N760" s="60"/>
      <c r="O760" s="90"/>
      <c r="P760" s="91"/>
      <c r="Q760" s="92"/>
      <c r="R760" s="68" t="str">
        <f t="shared" si="15"/>
        <v/>
      </c>
      <c r="S760" s="22"/>
    </row>
    <row r="761" spans="1:19" ht="18" customHeight="1">
      <c r="A761" s="85"/>
      <c r="B761" s="86"/>
      <c r="C761" s="22"/>
      <c r="D761" s="85"/>
      <c r="E761" s="87"/>
      <c r="F761" s="85"/>
      <c r="G761" s="22"/>
      <c r="H761" s="88"/>
      <c r="J761" s="22"/>
      <c r="M761" s="89"/>
      <c r="N761" s="60"/>
      <c r="O761" s="90"/>
      <c r="P761" s="91"/>
      <c r="Q761" s="92"/>
      <c r="R761" s="68" t="str">
        <f t="shared" si="15"/>
        <v/>
      </c>
      <c r="S761" s="22"/>
    </row>
    <row r="762" spans="1:19" ht="18" customHeight="1">
      <c r="A762" s="85"/>
      <c r="B762" s="86"/>
      <c r="C762" s="22"/>
      <c r="D762" s="85"/>
      <c r="E762" s="87"/>
      <c r="F762" s="85"/>
      <c r="G762" s="22"/>
      <c r="H762" s="88"/>
      <c r="J762" s="22"/>
      <c r="M762" s="89"/>
      <c r="N762" s="60"/>
      <c r="O762" s="90"/>
      <c r="P762" s="91"/>
      <c r="Q762" s="92"/>
      <c r="R762" s="68" t="str">
        <f t="shared" si="15"/>
        <v/>
      </c>
      <c r="S762" s="22"/>
    </row>
    <row r="763" spans="1:19" ht="18" customHeight="1">
      <c r="A763" s="85"/>
      <c r="B763" s="86"/>
      <c r="C763" s="22"/>
      <c r="D763" s="85"/>
      <c r="E763" s="87"/>
      <c r="F763" s="85"/>
      <c r="G763" s="22"/>
      <c r="H763" s="88"/>
      <c r="J763" s="22"/>
      <c r="M763" s="89"/>
      <c r="N763" s="60"/>
      <c r="O763" s="90"/>
      <c r="P763" s="91"/>
      <c r="Q763" s="92"/>
      <c r="R763" s="68" t="str">
        <f t="shared" si="15"/>
        <v/>
      </c>
      <c r="S763" s="22"/>
    </row>
    <row r="764" spans="1:19" ht="18" customHeight="1">
      <c r="A764" s="85"/>
      <c r="B764" s="86"/>
      <c r="C764" s="22"/>
      <c r="D764" s="85"/>
      <c r="E764" s="87"/>
      <c r="F764" s="85"/>
      <c r="G764" s="22"/>
      <c r="H764" s="88"/>
      <c r="J764" s="22"/>
      <c r="M764" s="89"/>
      <c r="N764" s="60"/>
      <c r="O764" s="90"/>
      <c r="P764" s="91"/>
      <c r="Q764" s="92"/>
      <c r="R764" s="68" t="str">
        <f t="shared" si="15"/>
        <v/>
      </c>
      <c r="S764" s="22"/>
    </row>
    <row r="765" spans="1:19" ht="18" customHeight="1">
      <c r="A765" s="85"/>
      <c r="B765" s="86"/>
      <c r="C765" s="22"/>
      <c r="D765" s="85"/>
      <c r="E765" s="87"/>
      <c r="F765" s="85"/>
      <c r="G765" s="22"/>
      <c r="H765" s="88"/>
      <c r="J765" s="22"/>
      <c r="M765" s="89"/>
      <c r="N765" s="60"/>
      <c r="O765" s="90"/>
      <c r="P765" s="91"/>
      <c r="Q765" s="92"/>
      <c r="R765" s="68" t="str">
        <f t="shared" si="15"/>
        <v/>
      </c>
      <c r="S765" s="22"/>
    </row>
    <row r="766" spans="1:19" ht="18" customHeight="1">
      <c r="A766" s="85"/>
      <c r="B766" s="86"/>
      <c r="C766" s="22"/>
      <c r="D766" s="85"/>
      <c r="E766" s="87"/>
      <c r="F766" s="85"/>
      <c r="G766" s="22"/>
      <c r="H766" s="88"/>
      <c r="J766" s="22"/>
      <c r="M766" s="89"/>
      <c r="N766" s="60"/>
      <c r="O766" s="90"/>
      <c r="P766" s="91"/>
      <c r="Q766" s="92"/>
      <c r="R766" s="68" t="str">
        <f t="shared" si="15"/>
        <v/>
      </c>
      <c r="S766" s="22"/>
    </row>
    <row r="767" spans="1:19" ht="18" customHeight="1">
      <c r="A767" s="85"/>
      <c r="B767" s="86"/>
      <c r="C767" s="22"/>
      <c r="D767" s="85"/>
      <c r="E767" s="87"/>
      <c r="F767" s="85"/>
      <c r="G767" s="22"/>
      <c r="H767" s="88"/>
      <c r="J767" s="22"/>
      <c r="M767" s="89"/>
      <c r="N767" s="60"/>
      <c r="O767" s="90"/>
      <c r="P767" s="91"/>
      <c r="Q767" s="92"/>
      <c r="R767" s="68" t="str">
        <f t="shared" si="15"/>
        <v/>
      </c>
      <c r="S767" s="22"/>
    </row>
    <row r="768" spans="1:19" ht="18" customHeight="1">
      <c r="A768" s="85"/>
      <c r="B768" s="86"/>
      <c r="C768" s="22"/>
      <c r="D768" s="85"/>
      <c r="E768" s="87"/>
      <c r="F768" s="85"/>
      <c r="G768" s="22"/>
      <c r="H768" s="88"/>
      <c r="J768" s="22"/>
      <c r="M768" s="89"/>
      <c r="N768" s="60"/>
      <c r="O768" s="90"/>
      <c r="P768" s="91"/>
      <c r="Q768" s="92"/>
      <c r="R768" s="68" t="str">
        <f t="shared" si="15"/>
        <v/>
      </c>
      <c r="S768" s="22"/>
    </row>
    <row r="769" spans="1:19" ht="18" customHeight="1">
      <c r="A769" s="85"/>
      <c r="B769" s="86"/>
      <c r="C769" s="22"/>
      <c r="D769" s="85"/>
      <c r="E769" s="87"/>
      <c r="F769" s="85"/>
      <c r="G769" s="22"/>
      <c r="H769" s="88"/>
      <c r="J769" s="22"/>
      <c r="M769" s="89"/>
      <c r="N769" s="60"/>
      <c r="O769" s="90"/>
      <c r="P769" s="91"/>
      <c r="Q769" s="92"/>
      <c r="R769" s="68" t="str">
        <f t="shared" si="15"/>
        <v/>
      </c>
      <c r="S769" s="22"/>
    </row>
    <row r="770" spans="1:19" ht="18" customHeight="1">
      <c r="A770" s="85"/>
      <c r="B770" s="86"/>
      <c r="C770" s="22"/>
      <c r="D770" s="85"/>
      <c r="E770" s="87"/>
      <c r="F770" s="85"/>
      <c r="G770" s="22"/>
      <c r="H770" s="88"/>
      <c r="J770" s="22"/>
      <c r="M770" s="89"/>
      <c r="N770" s="60"/>
      <c r="O770" s="90"/>
      <c r="P770" s="91"/>
      <c r="Q770" s="92"/>
      <c r="R770" s="68" t="str">
        <f t="shared" si="15"/>
        <v/>
      </c>
      <c r="S770" s="22"/>
    </row>
    <row r="771" spans="1:19" ht="18" customHeight="1">
      <c r="A771" s="85"/>
      <c r="B771" s="86"/>
      <c r="C771" s="22"/>
      <c r="D771" s="85"/>
      <c r="E771" s="87"/>
      <c r="F771" s="85"/>
      <c r="G771" s="22"/>
      <c r="H771" s="88"/>
      <c r="J771" s="22"/>
      <c r="M771" s="89"/>
      <c r="N771" s="60"/>
      <c r="O771" s="90"/>
      <c r="P771" s="91"/>
      <c r="Q771" s="92"/>
      <c r="R771" s="68" t="str">
        <f t="shared" si="15"/>
        <v/>
      </c>
      <c r="S771" s="22"/>
    </row>
    <row r="772" spans="1:19" ht="18" customHeight="1">
      <c r="A772" s="85"/>
      <c r="B772" s="86"/>
      <c r="C772" s="22"/>
      <c r="D772" s="85"/>
      <c r="E772" s="87"/>
      <c r="F772" s="85"/>
      <c r="G772" s="22"/>
      <c r="H772" s="88"/>
      <c r="J772" s="22"/>
      <c r="M772" s="89"/>
      <c r="N772" s="60"/>
      <c r="O772" s="90"/>
      <c r="P772" s="91"/>
      <c r="Q772" s="92"/>
      <c r="R772" s="68" t="str">
        <f t="shared" si="15"/>
        <v/>
      </c>
      <c r="S772" s="22"/>
    </row>
    <row r="773" spans="1:19" ht="18" customHeight="1">
      <c r="A773" s="85"/>
      <c r="B773" s="86"/>
      <c r="C773" s="22"/>
      <c r="D773" s="85"/>
      <c r="E773" s="87"/>
      <c r="F773" s="85"/>
      <c r="G773" s="22"/>
      <c r="H773" s="88"/>
      <c r="J773" s="22"/>
      <c r="M773" s="89"/>
      <c r="N773" s="60"/>
      <c r="O773" s="90"/>
      <c r="P773" s="91"/>
      <c r="Q773" s="92"/>
      <c r="R773" s="68" t="str">
        <f t="shared" si="15"/>
        <v/>
      </c>
      <c r="S773" s="22"/>
    </row>
    <row r="774" spans="1:19" ht="18" customHeight="1">
      <c r="A774" s="85"/>
      <c r="B774" s="86"/>
      <c r="C774" s="22"/>
      <c r="D774" s="85"/>
      <c r="E774" s="87"/>
      <c r="F774" s="85"/>
      <c r="G774" s="22"/>
      <c r="H774" s="88"/>
      <c r="J774" s="22"/>
      <c r="M774" s="89"/>
      <c r="N774" s="60"/>
      <c r="O774" s="90"/>
      <c r="P774" s="91"/>
      <c r="Q774" s="92"/>
      <c r="R774" s="68" t="str">
        <f t="shared" si="15"/>
        <v/>
      </c>
      <c r="S774" s="22"/>
    </row>
    <row r="775" spans="1:19" ht="18" customHeight="1">
      <c r="A775" s="85"/>
      <c r="B775" s="86"/>
      <c r="C775" s="22"/>
      <c r="D775" s="85"/>
      <c r="E775" s="87"/>
      <c r="F775" s="85"/>
      <c r="G775" s="22"/>
      <c r="H775" s="88"/>
      <c r="J775" s="22"/>
      <c r="M775" s="89"/>
      <c r="N775" s="60"/>
      <c r="O775" s="90"/>
      <c r="P775" s="91"/>
      <c r="Q775" s="92"/>
      <c r="R775" s="68" t="str">
        <f t="shared" si="15"/>
        <v/>
      </c>
      <c r="S775" s="22"/>
    </row>
    <row r="776" spans="1:19" ht="18" customHeight="1">
      <c r="A776" s="85"/>
      <c r="B776" s="86"/>
      <c r="C776" s="22"/>
      <c r="D776" s="85"/>
      <c r="E776" s="87"/>
      <c r="F776" s="85"/>
      <c r="G776" s="22"/>
      <c r="H776" s="88"/>
      <c r="J776" s="22"/>
      <c r="M776" s="89"/>
      <c r="N776" s="60"/>
      <c r="O776" s="90"/>
      <c r="P776" s="91"/>
      <c r="Q776" s="92"/>
      <c r="R776" s="68" t="str">
        <f t="shared" si="15"/>
        <v/>
      </c>
      <c r="S776" s="22"/>
    </row>
    <row r="777" spans="1:19" ht="18" customHeight="1">
      <c r="A777" s="85"/>
      <c r="B777" s="86"/>
      <c r="C777" s="22"/>
      <c r="D777" s="85"/>
      <c r="E777" s="87"/>
      <c r="F777" s="85"/>
      <c r="G777" s="22"/>
      <c r="H777" s="88"/>
      <c r="J777" s="22"/>
      <c r="M777" s="89"/>
      <c r="N777" s="60"/>
      <c r="O777" s="90"/>
      <c r="P777" s="91"/>
      <c r="Q777" s="92"/>
      <c r="R777" s="68" t="str">
        <f t="shared" si="15"/>
        <v/>
      </c>
      <c r="S777" s="22"/>
    </row>
    <row r="778" spans="1:19" ht="18" customHeight="1">
      <c r="A778" s="85"/>
      <c r="B778" s="86"/>
      <c r="C778" s="22"/>
      <c r="D778" s="85"/>
      <c r="E778" s="87"/>
      <c r="F778" s="85"/>
      <c r="G778" s="22"/>
      <c r="H778" s="88"/>
      <c r="J778" s="22"/>
      <c r="M778" s="89"/>
      <c r="N778" s="60"/>
      <c r="O778" s="90"/>
      <c r="P778" s="91"/>
      <c r="Q778" s="92"/>
      <c r="R778" s="68" t="str">
        <f t="shared" si="15"/>
        <v/>
      </c>
      <c r="S778" s="22"/>
    </row>
    <row r="779" spans="1:19" ht="18" customHeight="1">
      <c r="A779" s="85"/>
      <c r="B779" s="86"/>
      <c r="C779" s="22"/>
      <c r="D779" s="85"/>
      <c r="E779" s="87"/>
      <c r="F779" s="85"/>
      <c r="G779" s="22"/>
      <c r="H779" s="88"/>
      <c r="J779" s="22"/>
      <c r="M779" s="89"/>
      <c r="N779" s="60"/>
      <c r="O779" s="90"/>
      <c r="P779" s="91"/>
      <c r="Q779" s="92"/>
      <c r="R779" s="68" t="str">
        <f t="shared" si="15"/>
        <v/>
      </c>
      <c r="S779" s="22"/>
    </row>
    <row r="780" spans="1:19" ht="18" customHeight="1">
      <c r="A780" s="85"/>
      <c r="B780" s="86"/>
      <c r="C780" s="22"/>
      <c r="D780" s="85"/>
      <c r="E780" s="87"/>
      <c r="F780" s="85"/>
      <c r="G780" s="22"/>
      <c r="H780" s="88"/>
      <c r="J780" s="22"/>
      <c r="M780" s="89"/>
      <c r="N780" s="60"/>
      <c r="O780" s="90"/>
      <c r="P780" s="91"/>
      <c r="Q780" s="92"/>
      <c r="R780" s="68" t="str">
        <f t="shared" si="15"/>
        <v/>
      </c>
      <c r="S780" s="22"/>
    </row>
    <row r="781" spans="1:19" ht="18" customHeight="1">
      <c r="A781" s="85"/>
      <c r="B781" s="86"/>
      <c r="C781" s="22"/>
      <c r="D781" s="85"/>
      <c r="E781" s="87"/>
      <c r="F781" s="85"/>
      <c r="G781" s="22"/>
      <c r="H781" s="88"/>
      <c r="J781" s="22"/>
      <c r="M781" s="89"/>
      <c r="N781" s="60"/>
      <c r="O781" s="90"/>
      <c r="P781" s="91"/>
      <c r="Q781" s="92"/>
      <c r="R781" s="68" t="str">
        <f t="shared" si="15"/>
        <v/>
      </c>
      <c r="S781" s="22"/>
    </row>
    <row r="782" spans="1:19" ht="18" customHeight="1">
      <c r="A782" s="85"/>
      <c r="B782" s="86"/>
      <c r="C782" s="22"/>
      <c r="D782" s="85"/>
      <c r="E782" s="87"/>
      <c r="F782" s="85"/>
      <c r="G782" s="22"/>
      <c r="H782" s="88"/>
      <c r="J782" s="22"/>
      <c r="M782" s="89"/>
      <c r="N782" s="60"/>
      <c r="O782" s="90"/>
      <c r="P782" s="91"/>
      <c r="Q782" s="92"/>
      <c r="R782" s="68" t="str">
        <f t="shared" si="15"/>
        <v/>
      </c>
      <c r="S782" s="22"/>
    </row>
    <row r="783" spans="1:19" ht="18" customHeight="1">
      <c r="A783" s="85"/>
      <c r="B783" s="86"/>
      <c r="C783" s="22"/>
      <c r="D783" s="85"/>
      <c r="E783" s="87"/>
      <c r="F783" s="85"/>
      <c r="G783" s="22"/>
      <c r="H783" s="88"/>
      <c r="J783" s="22"/>
      <c r="M783" s="89"/>
      <c r="N783" s="60"/>
      <c r="O783" s="90"/>
      <c r="P783" s="91"/>
      <c r="Q783" s="92"/>
      <c r="R783" s="68" t="str">
        <f t="shared" si="15"/>
        <v/>
      </c>
      <c r="S783" s="22"/>
    </row>
    <row r="784" spans="1:19" ht="18" customHeight="1">
      <c r="A784" s="85"/>
      <c r="B784" s="86"/>
      <c r="C784" s="22"/>
      <c r="D784" s="85"/>
      <c r="E784" s="87"/>
      <c r="F784" s="85"/>
      <c r="G784" s="22"/>
      <c r="H784" s="88"/>
      <c r="J784" s="22"/>
      <c r="M784" s="89"/>
      <c r="N784" s="60"/>
      <c r="O784" s="90"/>
      <c r="P784" s="91"/>
      <c r="Q784" s="92"/>
      <c r="R784" s="68" t="str">
        <f t="shared" si="15"/>
        <v/>
      </c>
      <c r="S784" s="22"/>
    </row>
    <row r="785" spans="1:19" ht="18" customHeight="1">
      <c r="A785" s="85"/>
      <c r="B785" s="86"/>
      <c r="C785" s="22"/>
      <c r="D785" s="85"/>
      <c r="E785" s="87"/>
      <c r="F785" s="85"/>
      <c r="G785" s="22"/>
      <c r="H785" s="88"/>
      <c r="J785" s="22"/>
      <c r="M785" s="89"/>
      <c r="N785" s="60"/>
      <c r="O785" s="90"/>
      <c r="P785" s="91"/>
      <c r="Q785" s="92"/>
      <c r="R785" s="68" t="str">
        <f t="shared" si="15"/>
        <v/>
      </c>
      <c r="S785" s="22"/>
    </row>
    <row r="786" spans="1:19" ht="18" customHeight="1">
      <c r="A786" s="85"/>
      <c r="B786" s="86"/>
      <c r="C786" s="22"/>
      <c r="D786" s="85"/>
      <c r="E786" s="87"/>
      <c r="F786" s="85"/>
      <c r="G786" s="22"/>
      <c r="H786" s="88"/>
      <c r="J786" s="22"/>
      <c r="M786" s="89"/>
      <c r="N786" s="60"/>
      <c r="O786" s="90"/>
      <c r="P786" s="91"/>
      <c r="Q786" s="92"/>
      <c r="R786" s="68" t="str">
        <f t="shared" si="15"/>
        <v/>
      </c>
      <c r="S786" s="22"/>
    </row>
    <row r="787" spans="1:19" ht="18" customHeight="1">
      <c r="A787" s="85"/>
      <c r="B787" s="86"/>
      <c r="C787" s="22"/>
      <c r="D787" s="85"/>
      <c r="E787" s="87"/>
      <c r="F787" s="85"/>
      <c r="G787" s="22"/>
      <c r="H787" s="88"/>
      <c r="J787" s="22"/>
      <c r="M787" s="89"/>
      <c r="N787" s="60"/>
      <c r="O787" s="90"/>
      <c r="P787" s="91"/>
      <c r="Q787" s="92"/>
      <c r="R787" s="68" t="str">
        <f t="shared" si="15"/>
        <v/>
      </c>
      <c r="S787" s="22"/>
    </row>
    <row r="788" spans="1:19" ht="18" customHeight="1">
      <c r="A788" s="85"/>
      <c r="B788" s="86"/>
      <c r="C788" s="22"/>
      <c r="D788" s="85"/>
      <c r="E788" s="87"/>
      <c r="F788" s="85"/>
      <c r="G788" s="22"/>
      <c r="H788" s="88"/>
      <c r="J788" s="22"/>
      <c r="M788" s="89"/>
      <c r="N788" s="60"/>
      <c r="O788" s="90"/>
      <c r="P788" s="91"/>
      <c r="Q788" s="92"/>
      <c r="R788" s="68" t="str">
        <f t="shared" si="15"/>
        <v/>
      </c>
      <c r="S788" s="22"/>
    </row>
    <row r="789" spans="1:19" ht="18" customHeight="1">
      <c r="A789" s="85"/>
      <c r="B789" s="86"/>
      <c r="C789" s="22"/>
      <c r="D789" s="85"/>
      <c r="E789" s="87"/>
      <c r="F789" s="85"/>
      <c r="G789" s="22"/>
      <c r="H789" s="88"/>
      <c r="J789" s="22"/>
      <c r="M789" s="89"/>
      <c r="N789" s="60"/>
      <c r="O789" s="90"/>
      <c r="P789" s="91"/>
      <c r="Q789" s="92"/>
      <c r="R789" s="68" t="str">
        <f t="shared" si="15"/>
        <v/>
      </c>
      <c r="S789" s="22"/>
    </row>
    <row r="790" spans="1:19" ht="18" customHeight="1">
      <c r="A790" s="85"/>
      <c r="B790" s="86"/>
      <c r="C790" s="22"/>
      <c r="D790" s="85"/>
      <c r="E790" s="87"/>
      <c r="F790" s="85"/>
      <c r="G790" s="22"/>
      <c r="H790" s="88"/>
      <c r="J790" s="22"/>
      <c r="M790" s="89"/>
      <c r="N790" s="60"/>
      <c r="O790" s="90"/>
      <c r="P790" s="91"/>
      <c r="Q790" s="92"/>
      <c r="R790" s="68" t="str">
        <f t="shared" si="15"/>
        <v/>
      </c>
      <c r="S790" s="22"/>
    </row>
    <row r="791" spans="1:19" ht="18" customHeight="1">
      <c r="A791" s="85"/>
      <c r="B791" s="86"/>
      <c r="C791" s="22"/>
      <c r="D791" s="85"/>
      <c r="E791" s="87"/>
      <c r="F791" s="85"/>
      <c r="G791" s="22"/>
      <c r="H791" s="88"/>
      <c r="J791" s="22"/>
      <c r="M791" s="89"/>
      <c r="N791" s="60"/>
      <c r="O791" s="90"/>
      <c r="P791" s="91"/>
      <c r="Q791" s="92"/>
      <c r="R791" s="68" t="str">
        <f t="shared" si="15"/>
        <v/>
      </c>
      <c r="S791" s="22"/>
    </row>
    <row r="792" spans="1:19" ht="18" customHeight="1">
      <c r="A792" s="85"/>
      <c r="B792" s="86"/>
      <c r="C792" s="22"/>
      <c r="D792" s="85"/>
      <c r="E792" s="87"/>
      <c r="F792" s="85"/>
      <c r="G792" s="22"/>
      <c r="H792" s="88"/>
      <c r="J792" s="22"/>
      <c r="M792" s="89"/>
      <c r="N792" s="60"/>
      <c r="O792" s="90"/>
      <c r="P792" s="91"/>
      <c r="Q792" s="92"/>
      <c r="R792" s="68" t="str">
        <f t="shared" si="15"/>
        <v/>
      </c>
      <c r="S792" s="22"/>
    </row>
    <row r="793" spans="1:19" ht="18" customHeight="1">
      <c r="A793" s="85"/>
      <c r="B793" s="86"/>
      <c r="C793" s="22"/>
      <c r="D793" s="85"/>
      <c r="E793" s="87"/>
      <c r="F793" s="85"/>
      <c r="G793" s="22"/>
      <c r="H793" s="88"/>
      <c r="J793" s="22"/>
      <c r="M793" s="89"/>
      <c r="N793" s="60"/>
      <c r="O793" s="90"/>
      <c r="P793" s="91"/>
      <c r="Q793" s="92"/>
      <c r="R793" s="68" t="str">
        <f t="shared" si="15"/>
        <v/>
      </c>
      <c r="S793" s="22"/>
    </row>
    <row r="794" spans="1:19" ht="18" customHeight="1">
      <c r="A794" s="85"/>
      <c r="B794" s="86"/>
      <c r="C794" s="22"/>
      <c r="D794" s="85"/>
      <c r="E794" s="87"/>
      <c r="F794" s="85"/>
      <c r="G794" s="22"/>
      <c r="H794" s="88"/>
      <c r="J794" s="22"/>
      <c r="M794" s="89"/>
      <c r="N794" s="60"/>
      <c r="O794" s="90"/>
      <c r="P794" s="91"/>
      <c r="Q794" s="92"/>
      <c r="R794" s="68" t="str">
        <f t="shared" si="15"/>
        <v/>
      </c>
      <c r="S794" s="22"/>
    </row>
    <row r="795" spans="1:19" ht="18" customHeight="1">
      <c r="A795" s="85"/>
      <c r="B795" s="86"/>
      <c r="C795" s="22"/>
      <c r="D795" s="85"/>
      <c r="E795" s="87"/>
      <c r="F795" s="85"/>
      <c r="G795" s="22"/>
      <c r="H795" s="88"/>
      <c r="J795" s="22"/>
      <c r="M795" s="89"/>
      <c r="N795" s="60"/>
      <c r="O795" s="90"/>
      <c r="P795" s="91"/>
      <c r="Q795" s="92"/>
      <c r="R795" s="68" t="str">
        <f t="shared" si="15"/>
        <v/>
      </c>
      <c r="S795" s="22"/>
    </row>
    <row r="796" spans="1:19" ht="18" customHeight="1">
      <c r="A796" s="85"/>
      <c r="B796" s="86"/>
      <c r="C796" s="22"/>
      <c r="D796" s="85"/>
      <c r="E796" s="87"/>
      <c r="F796" s="85"/>
      <c r="G796" s="22"/>
      <c r="H796" s="88"/>
      <c r="J796" s="22"/>
      <c r="M796" s="89"/>
      <c r="N796" s="60"/>
      <c r="O796" s="90"/>
      <c r="P796" s="91"/>
      <c r="Q796" s="92"/>
      <c r="R796" s="68" t="str">
        <f t="shared" si="15"/>
        <v/>
      </c>
      <c r="S796" s="22"/>
    </row>
    <row r="797" spans="1:19" ht="18" customHeight="1">
      <c r="A797" s="85"/>
      <c r="B797" s="86"/>
      <c r="C797" s="22"/>
      <c r="D797" s="85"/>
      <c r="E797" s="87"/>
      <c r="F797" s="85"/>
      <c r="G797" s="22"/>
      <c r="H797" s="88"/>
      <c r="J797" s="22"/>
      <c r="M797" s="89"/>
      <c r="N797" s="60"/>
      <c r="O797" s="90"/>
      <c r="P797" s="91"/>
      <c r="Q797" s="92"/>
      <c r="R797" s="68" t="str">
        <f t="shared" si="15"/>
        <v/>
      </c>
      <c r="S797" s="22"/>
    </row>
    <row r="798" spans="1:19" ht="18" customHeight="1">
      <c r="A798" s="85"/>
      <c r="B798" s="86"/>
      <c r="C798" s="22"/>
      <c r="D798" s="85"/>
      <c r="E798" s="87"/>
      <c r="F798" s="85"/>
      <c r="G798" s="22"/>
      <c r="H798" s="88"/>
      <c r="J798" s="22"/>
      <c r="M798" s="89"/>
      <c r="N798" s="60"/>
      <c r="O798" s="90"/>
      <c r="P798" s="91"/>
      <c r="Q798" s="92"/>
      <c r="R798" s="68" t="str">
        <f t="shared" si="15"/>
        <v/>
      </c>
      <c r="S798" s="22"/>
    </row>
    <row r="799" spans="1:19" ht="18" customHeight="1">
      <c r="A799" s="85"/>
      <c r="B799" s="86"/>
      <c r="C799" s="22"/>
      <c r="D799" s="85"/>
      <c r="E799" s="87"/>
      <c r="F799" s="85"/>
      <c r="G799" s="22"/>
      <c r="H799" s="88"/>
      <c r="J799" s="22"/>
      <c r="M799" s="89"/>
      <c r="N799" s="60"/>
      <c r="O799" s="90"/>
      <c r="P799" s="91"/>
      <c r="Q799" s="92"/>
      <c r="R799" s="68" t="str">
        <f t="shared" si="15"/>
        <v/>
      </c>
      <c r="S799" s="22"/>
    </row>
    <row r="800" spans="1:19" ht="18" customHeight="1">
      <c r="A800" s="85"/>
      <c r="B800" s="86"/>
      <c r="C800" s="22"/>
      <c r="D800" s="85"/>
      <c r="E800" s="87"/>
      <c r="F800" s="85"/>
      <c r="G800" s="22"/>
      <c r="H800" s="88"/>
      <c r="J800" s="22"/>
      <c r="M800" s="89"/>
      <c r="N800" s="60"/>
      <c r="O800" s="90"/>
      <c r="P800" s="91"/>
      <c r="Q800" s="92"/>
      <c r="R800" s="68" t="str">
        <f t="shared" si="15"/>
        <v/>
      </c>
      <c r="S800" s="22"/>
    </row>
    <row r="801" spans="1:19" ht="18" customHeight="1">
      <c r="A801" s="85"/>
      <c r="B801" s="86"/>
      <c r="C801" s="22"/>
      <c r="D801" s="85"/>
      <c r="E801" s="87"/>
      <c r="F801" s="85"/>
      <c r="G801" s="22"/>
      <c r="H801" s="88"/>
      <c r="J801" s="22"/>
      <c r="M801" s="89"/>
      <c r="N801" s="60"/>
      <c r="O801" s="90"/>
      <c r="P801" s="91"/>
      <c r="Q801" s="92"/>
      <c r="R801" s="68" t="str">
        <f t="shared" si="15"/>
        <v/>
      </c>
      <c r="S801" s="22"/>
    </row>
    <row r="802" spans="1:19" ht="18" customHeight="1">
      <c r="A802" s="85"/>
      <c r="B802" s="86"/>
      <c r="C802" s="22"/>
      <c r="D802" s="85"/>
      <c r="E802" s="87"/>
      <c r="F802" s="85"/>
      <c r="G802" s="22"/>
      <c r="H802" s="88"/>
      <c r="J802" s="22"/>
      <c r="M802" s="89"/>
      <c r="N802" s="60"/>
      <c r="O802" s="90"/>
      <c r="P802" s="91"/>
      <c r="Q802" s="92"/>
      <c r="R802" s="68" t="str">
        <f t="shared" si="15"/>
        <v/>
      </c>
      <c r="S802" s="22"/>
    </row>
    <row r="803" spans="1:19" ht="18" customHeight="1">
      <c r="A803" s="85"/>
      <c r="B803" s="86"/>
      <c r="C803" s="22"/>
      <c r="D803" s="85"/>
      <c r="E803" s="87"/>
      <c r="F803" s="85"/>
      <c r="G803" s="22"/>
      <c r="H803" s="88"/>
      <c r="J803" s="22"/>
      <c r="M803" s="89"/>
      <c r="N803" s="60"/>
      <c r="O803" s="90"/>
      <c r="P803" s="91"/>
      <c r="Q803" s="92"/>
      <c r="R803" s="68" t="str">
        <f t="shared" si="15"/>
        <v/>
      </c>
      <c r="S803" s="22"/>
    </row>
    <row r="804" spans="1:19" ht="18" customHeight="1">
      <c r="A804" s="85"/>
      <c r="B804" s="86"/>
      <c r="C804" s="22"/>
      <c r="D804" s="85"/>
      <c r="E804" s="87"/>
      <c r="F804" s="85"/>
      <c r="G804" s="22"/>
      <c r="H804" s="88"/>
      <c r="J804" s="22"/>
      <c r="M804" s="89"/>
      <c r="N804" s="60"/>
      <c r="O804" s="90"/>
      <c r="P804" s="91"/>
      <c r="Q804" s="92"/>
      <c r="R804" s="68" t="str">
        <f t="shared" si="15"/>
        <v/>
      </c>
      <c r="S804" s="22"/>
    </row>
    <row r="805" spans="1:19" ht="18" customHeight="1">
      <c r="A805" s="85"/>
      <c r="B805" s="86"/>
      <c r="C805" s="22"/>
      <c r="D805" s="85"/>
      <c r="E805" s="87"/>
      <c r="F805" s="85"/>
      <c r="G805" s="22"/>
      <c r="H805" s="88"/>
      <c r="J805" s="22"/>
      <c r="M805" s="89"/>
      <c r="N805" s="60"/>
      <c r="O805" s="90"/>
      <c r="P805" s="91"/>
      <c r="Q805" s="92"/>
      <c r="R805" s="68" t="str">
        <f t="shared" si="15"/>
        <v/>
      </c>
      <c r="S805" s="22"/>
    </row>
    <row r="806" spans="1:19" ht="18" customHeight="1">
      <c r="A806" s="85"/>
      <c r="B806" s="86"/>
      <c r="C806" s="22"/>
      <c r="D806" s="85"/>
      <c r="E806" s="87"/>
      <c r="F806" s="85"/>
      <c r="G806" s="22"/>
      <c r="H806" s="88"/>
      <c r="J806" s="22"/>
      <c r="M806" s="89"/>
      <c r="N806" s="60"/>
      <c r="O806" s="90"/>
      <c r="P806" s="91"/>
      <c r="Q806" s="92"/>
      <c r="R806" s="68" t="str">
        <f t="shared" si="15"/>
        <v/>
      </c>
      <c r="S806" s="22"/>
    </row>
    <row r="807" spans="1:19" ht="18" customHeight="1">
      <c r="A807" s="85"/>
      <c r="B807" s="86"/>
      <c r="C807" s="22"/>
      <c r="D807" s="85"/>
      <c r="E807" s="87"/>
      <c r="F807" s="85"/>
      <c r="G807" s="22"/>
      <c r="H807" s="88"/>
      <c r="J807" s="22"/>
      <c r="M807" s="89"/>
      <c r="N807" s="60"/>
      <c r="O807" s="90"/>
      <c r="P807" s="91"/>
      <c r="Q807" s="92"/>
      <c r="R807" s="68" t="str">
        <f t="shared" si="15"/>
        <v/>
      </c>
      <c r="S807" s="22"/>
    </row>
    <row r="808" spans="1:19" ht="18" customHeight="1">
      <c r="A808" s="85"/>
      <c r="B808" s="86"/>
      <c r="C808" s="22"/>
      <c r="D808" s="85"/>
      <c r="E808" s="87"/>
      <c r="F808" s="85"/>
      <c r="G808" s="22"/>
      <c r="H808" s="88"/>
      <c r="J808" s="22"/>
      <c r="M808" s="89"/>
      <c r="N808" s="60"/>
      <c r="O808" s="90"/>
      <c r="P808" s="91"/>
      <c r="Q808" s="92"/>
      <c r="R808" s="68" t="str">
        <f t="shared" si="15"/>
        <v/>
      </c>
      <c r="S808" s="22"/>
    </row>
    <row r="809" spans="1:19" ht="18" customHeight="1">
      <c r="A809" s="85"/>
      <c r="B809" s="86"/>
      <c r="C809" s="22"/>
      <c r="D809" s="85"/>
      <c r="E809" s="87"/>
      <c r="F809" s="85"/>
      <c r="G809" s="22"/>
      <c r="H809" s="88"/>
      <c r="J809" s="22"/>
      <c r="M809" s="89"/>
      <c r="N809" s="60"/>
      <c r="O809" s="90"/>
      <c r="P809" s="91"/>
      <c r="Q809" s="92"/>
      <c r="R809" s="68" t="str">
        <f t="shared" si="15"/>
        <v/>
      </c>
      <c r="S809" s="22"/>
    </row>
    <row r="810" spans="1:19" ht="18" customHeight="1">
      <c r="A810" s="85"/>
      <c r="B810" s="86"/>
      <c r="C810" s="22"/>
      <c r="D810" s="85"/>
      <c r="E810" s="87"/>
      <c r="F810" s="85"/>
      <c r="G810" s="22"/>
      <c r="H810" s="88"/>
      <c r="J810" s="22"/>
      <c r="M810" s="89"/>
      <c r="N810" s="60"/>
      <c r="O810" s="90"/>
      <c r="P810" s="91"/>
      <c r="Q810" s="92"/>
      <c r="R810" s="68" t="str">
        <f t="shared" si="15"/>
        <v/>
      </c>
      <c r="S810" s="22"/>
    </row>
    <row r="811" spans="1:19" ht="18" customHeight="1">
      <c r="A811" s="85"/>
      <c r="B811" s="86"/>
      <c r="C811" s="22"/>
      <c r="D811" s="85"/>
      <c r="E811" s="87"/>
      <c r="F811" s="85"/>
      <c r="G811" s="22"/>
      <c r="H811" s="88"/>
      <c r="J811" s="22"/>
      <c r="M811" s="89"/>
      <c r="N811" s="60"/>
      <c r="O811" s="90"/>
      <c r="P811" s="91"/>
      <c r="Q811" s="92"/>
      <c r="R811" s="68" t="str">
        <f t="shared" si="15"/>
        <v/>
      </c>
      <c r="S811" s="22"/>
    </row>
    <row r="812" spans="1:19" ht="18" customHeight="1">
      <c r="A812" s="85"/>
      <c r="B812" s="86"/>
      <c r="C812" s="22"/>
      <c r="D812" s="85"/>
      <c r="E812" s="87"/>
      <c r="F812" s="85"/>
      <c r="G812" s="22"/>
      <c r="H812" s="88"/>
      <c r="J812" s="22"/>
      <c r="M812" s="89"/>
      <c r="N812" s="60"/>
      <c r="O812" s="90"/>
      <c r="P812" s="91"/>
      <c r="Q812" s="92"/>
      <c r="R812" s="68" t="str">
        <f t="shared" si="15"/>
        <v/>
      </c>
      <c r="S812" s="22"/>
    </row>
    <row r="813" spans="1:19" ht="18" customHeight="1">
      <c r="A813" s="85"/>
      <c r="B813" s="86"/>
      <c r="C813" s="22"/>
      <c r="D813" s="85"/>
      <c r="E813" s="87"/>
      <c r="F813" s="85"/>
      <c r="G813" s="22"/>
      <c r="H813" s="88"/>
      <c r="J813" s="22"/>
      <c r="M813" s="89"/>
      <c r="N813" s="60"/>
      <c r="O813" s="90"/>
      <c r="P813" s="91"/>
      <c r="Q813" s="92"/>
      <c r="R813" s="68" t="str">
        <f t="shared" si="15"/>
        <v/>
      </c>
      <c r="S813" s="22"/>
    </row>
    <row r="814" spans="1:19" ht="18" customHeight="1">
      <c r="A814" s="85"/>
      <c r="B814" s="86"/>
      <c r="C814" s="22"/>
      <c r="D814" s="85"/>
      <c r="E814" s="87"/>
      <c r="F814" s="85"/>
      <c r="G814" s="22"/>
      <c r="H814" s="88"/>
      <c r="J814" s="22"/>
      <c r="M814" s="89"/>
      <c r="N814" s="60"/>
      <c r="O814" s="90"/>
      <c r="P814" s="91"/>
      <c r="Q814" s="92"/>
      <c r="R814" s="68" t="str">
        <f t="shared" si="15"/>
        <v/>
      </c>
      <c r="S814" s="22"/>
    </row>
    <row r="815" spans="1:19" ht="18" customHeight="1">
      <c r="A815" s="85"/>
      <c r="B815" s="86"/>
      <c r="C815" s="22"/>
      <c r="D815" s="85"/>
      <c r="E815" s="87"/>
      <c r="F815" s="85"/>
      <c r="G815" s="22"/>
      <c r="H815" s="88"/>
      <c r="J815" s="22"/>
      <c r="M815" s="89"/>
      <c r="N815" s="60"/>
      <c r="O815" s="90"/>
      <c r="P815" s="91"/>
      <c r="Q815" s="92"/>
      <c r="R815" s="68" t="str">
        <f t="shared" si="15"/>
        <v/>
      </c>
      <c r="S815" s="22"/>
    </row>
    <row r="816" spans="1:19" ht="18" customHeight="1">
      <c r="A816" s="85"/>
      <c r="B816" s="86"/>
      <c r="C816" s="22"/>
      <c r="D816" s="85"/>
      <c r="E816" s="87"/>
      <c r="F816" s="85"/>
      <c r="G816" s="22"/>
      <c r="H816" s="88"/>
      <c r="J816" s="22"/>
      <c r="M816" s="89"/>
      <c r="N816" s="60"/>
      <c r="O816" s="90"/>
      <c r="P816" s="91"/>
      <c r="Q816" s="92"/>
      <c r="R816" s="68" t="str">
        <f t="shared" si="15"/>
        <v/>
      </c>
      <c r="S816" s="22"/>
    </row>
    <row r="817" spans="1:19" ht="18" customHeight="1">
      <c r="A817" s="85"/>
      <c r="B817" s="86"/>
      <c r="C817" s="22"/>
      <c r="D817" s="85"/>
      <c r="E817" s="87"/>
      <c r="F817" s="85"/>
      <c r="G817" s="22"/>
      <c r="H817" s="88"/>
      <c r="J817" s="22"/>
      <c r="M817" s="89"/>
      <c r="N817" s="60"/>
      <c r="O817" s="90"/>
      <c r="P817" s="91"/>
      <c r="Q817" s="92"/>
      <c r="R817" s="68" t="str">
        <f t="shared" si="15"/>
        <v/>
      </c>
      <c r="S817" s="22"/>
    </row>
    <row r="818" spans="1:19" ht="18" customHeight="1">
      <c r="A818" s="85"/>
      <c r="B818" s="86"/>
      <c r="C818" s="22"/>
      <c r="D818" s="85"/>
      <c r="E818" s="87"/>
      <c r="F818" s="85"/>
      <c r="G818" s="22"/>
      <c r="H818" s="88"/>
      <c r="J818" s="22"/>
      <c r="M818" s="89"/>
      <c r="N818" s="60"/>
      <c r="O818" s="90"/>
      <c r="P818" s="91"/>
      <c r="Q818" s="92"/>
      <c r="R818" s="68" t="str">
        <f t="shared" si="15"/>
        <v/>
      </c>
      <c r="S818" s="22"/>
    </row>
    <row r="819" spans="1:19" ht="18" customHeight="1">
      <c r="A819" s="85"/>
      <c r="B819" s="86"/>
      <c r="C819" s="22"/>
      <c r="D819" s="85"/>
      <c r="E819" s="87"/>
      <c r="F819" s="85"/>
      <c r="G819" s="22"/>
      <c r="H819" s="88"/>
      <c r="J819" s="22"/>
      <c r="M819" s="89"/>
      <c r="N819" s="60"/>
      <c r="O819" s="90"/>
      <c r="P819" s="91"/>
      <c r="Q819" s="92"/>
      <c r="R819" s="68" t="str">
        <f t="shared" si="15"/>
        <v/>
      </c>
      <c r="S819" s="22"/>
    </row>
    <row r="820" spans="1:19" ht="18" customHeight="1">
      <c r="A820" s="85"/>
      <c r="B820" s="86"/>
      <c r="C820" s="22"/>
      <c r="D820" s="85"/>
      <c r="E820" s="87"/>
      <c r="F820" s="85"/>
      <c r="G820" s="22"/>
      <c r="H820" s="88"/>
      <c r="J820" s="22"/>
      <c r="M820" s="89"/>
      <c r="N820" s="60"/>
      <c r="O820" s="90"/>
      <c r="P820" s="91"/>
      <c r="Q820" s="92"/>
      <c r="R820" s="68" t="str">
        <f t="shared" ref="R820:R883" si="16">IF(SUM(Q820)&gt;0,SUM(Q820-P820),"")</f>
        <v/>
      </c>
      <c r="S820" s="22"/>
    </row>
    <row r="821" spans="1:19" ht="18" customHeight="1">
      <c r="A821" s="85"/>
      <c r="B821" s="86"/>
      <c r="C821" s="22"/>
      <c r="D821" s="85"/>
      <c r="E821" s="87"/>
      <c r="F821" s="85"/>
      <c r="G821" s="22"/>
      <c r="H821" s="88"/>
      <c r="J821" s="22"/>
      <c r="M821" s="89"/>
      <c r="N821" s="60"/>
      <c r="O821" s="90"/>
      <c r="P821" s="91"/>
      <c r="Q821" s="92"/>
      <c r="R821" s="68" t="str">
        <f t="shared" si="16"/>
        <v/>
      </c>
      <c r="S821" s="22"/>
    </row>
    <row r="822" spans="1:19" ht="18" customHeight="1">
      <c r="A822" s="85"/>
      <c r="B822" s="86"/>
      <c r="C822" s="22"/>
      <c r="D822" s="85"/>
      <c r="E822" s="87"/>
      <c r="F822" s="85"/>
      <c r="G822" s="22"/>
      <c r="H822" s="88"/>
      <c r="J822" s="22"/>
      <c r="M822" s="89"/>
      <c r="N822" s="60"/>
      <c r="O822" s="90"/>
      <c r="P822" s="91"/>
      <c r="Q822" s="92"/>
      <c r="R822" s="68" t="str">
        <f t="shared" si="16"/>
        <v/>
      </c>
      <c r="S822" s="22"/>
    </row>
    <row r="823" spans="1:19" ht="18" customHeight="1">
      <c r="A823" s="85"/>
      <c r="B823" s="86"/>
      <c r="C823" s="22"/>
      <c r="D823" s="85"/>
      <c r="E823" s="87"/>
      <c r="F823" s="85"/>
      <c r="G823" s="22"/>
      <c r="H823" s="88"/>
      <c r="J823" s="22"/>
      <c r="M823" s="89"/>
      <c r="N823" s="60"/>
      <c r="O823" s="90"/>
      <c r="P823" s="91"/>
      <c r="Q823" s="92"/>
      <c r="R823" s="68" t="str">
        <f t="shared" si="16"/>
        <v/>
      </c>
      <c r="S823" s="22"/>
    </row>
    <row r="824" spans="1:19" ht="18" customHeight="1">
      <c r="A824" s="85"/>
      <c r="B824" s="86"/>
      <c r="C824" s="22"/>
      <c r="D824" s="85"/>
      <c r="E824" s="87"/>
      <c r="F824" s="85"/>
      <c r="G824" s="22"/>
      <c r="H824" s="88"/>
      <c r="J824" s="22"/>
      <c r="M824" s="89"/>
      <c r="N824" s="60"/>
      <c r="O824" s="90"/>
      <c r="P824" s="91"/>
      <c r="Q824" s="92"/>
      <c r="R824" s="68" t="str">
        <f t="shared" si="16"/>
        <v/>
      </c>
      <c r="S824" s="22"/>
    </row>
    <row r="825" spans="1:19" ht="18" customHeight="1">
      <c r="A825" s="85"/>
      <c r="B825" s="86"/>
      <c r="C825" s="22"/>
      <c r="D825" s="85"/>
      <c r="E825" s="87"/>
      <c r="F825" s="85"/>
      <c r="G825" s="22"/>
      <c r="H825" s="88"/>
      <c r="J825" s="22"/>
      <c r="M825" s="89"/>
      <c r="N825" s="60"/>
      <c r="O825" s="90"/>
      <c r="P825" s="91"/>
      <c r="Q825" s="92"/>
      <c r="R825" s="68" t="str">
        <f t="shared" si="16"/>
        <v/>
      </c>
      <c r="S825" s="22"/>
    </row>
    <row r="826" spans="1:19" ht="18" customHeight="1">
      <c r="A826" s="85"/>
      <c r="B826" s="86"/>
      <c r="C826" s="22"/>
      <c r="D826" s="85"/>
      <c r="E826" s="87"/>
      <c r="F826" s="85"/>
      <c r="G826" s="22"/>
      <c r="H826" s="88"/>
      <c r="J826" s="22"/>
      <c r="M826" s="89"/>
      <c r="N826" s="60"/>
      <c r="O826" s="90"/>
      <c r="P826" s="91"/>
      <c r="Q826" s="92"/>
      <c r="R826" s="68" t="str">
        <f t="shared" si="16"/>
        <v/>
      </c>
      <c r="S826" s="22"/>
    </row>
    <row r="827" spans="1:19" ht="18" customHeight="1">
      <c r="A827" s="85"/>
      <c r="B827" s="86"/>
      <c r="C827" s="22"/>
      <c r="D827" s="85"/>
      <c r="E827" s="87"/>
      <c r="F827" s="85"/>
      <c r="G827" s="22"/>
      <c r="H827" s="88"/>
      <c r="J827" s="22"/>
      <c r="M827" s="89"/>
      <c r="N827" s="60"/>
      <c r="O827" s="90"/>
      <c r="P827" s="91"/>
      <c r="Q827" s="92"/>
      <c r="R827" s="68" t="str">
        <f t="shared" si="16"/>
        <v/>
      </c>
      <c r="S827" s="22"/>
    </row>
    <row r="828" spans="1:19" ht="18" customHeight="1">
      <c r="A828" s="85"/>
      <c r="B828" s="86"/>
      <c r="C828" s="22"/>
      <c r="D828" s="85"/>
      <c r="E828" s="87"/>
      <c r="F828" s="85"/>
      <c r="G828" s="22"/>
      <c r="H828" s="88"/>
      <c r="J828" s="22"/>
      <c r="M828" s="89"/>
      <c r="N828" s="60"/>
      <c r="O828" s="90"/>
      <c r="P828" s="91"/>
      <c r="Q828" s="92"/>
      <c r="R828" s="68" t="str">
        <f t="shared" si="16"/>
        <v/>
      </c>
      <c r="S828" s="22"/>
    </row>
    <row r="829" spans="1:19" ht="18" customHeight="1">
      <c r="A829" s="85"/>
      <c r="B829" s="86"/>
      <c r="C829" s="22"/>
      <c r="D829" s="85"/>
      <c r="E829" s="87"/>
      <c r="F829" s="85"/>
      <c r="G829" s="22"/>
      <c r="H829" s="88"/>
      <c r="J829" s="22"/>
      <c r="M829" s="89"/>
      <c r="N829" s="60"/>
      <c r="O829" s="90"/>
      <c r="P829" s="91"/>
      <c r="Q829" s="92"/>
      <c r="R829" s="68" t="str">
        <f t="shared" si="16"/>
        <v/>
      </c>
      <c r="S829" s="22"/>
    </row>
    <row r="830" spans="1:19" ht="18" customHeight="1">
      <c r="A830" s="85"/>
      <c r="B830" s="86"/>
      <c r="C830" s="22"/>
      <c r="D830" s="85"/>
      <c r="E830" s="87"/>
      <c r="F830" s="85"/>
      <c r="G830" s="22"/>
      <c r="H830" s="88"/>
      <c r="J830" s="22"/>
      <c r="M830" s="89"/>
      <c r="N830" s="60"/>
      <c r="O830" s="90"/>
      <c r="P830" s="91"/>
      <c r="Q830" s="92"/>
      <c r="R830" s="68" t="str">
        <f t="shared" si="16"/>
        <v/>
      </c>
      <c r="S830" s="22"/>
    </row>
    <row r="831" spans="1:19" ht="18" customHeight="1">
      <c r="A831" s="85"/>
      <c r="B831" s="86"/>
      <c r="C831" s="22"/>
      <c r="D831" s="85"/>
      <c r="E831" s="87"/>
      <c r="F831" s="85"/>
      <c r="G831" s="22"/>
      <c r="H831" s="88"/>
      <c r="J831" s="22"/>
      <c r="M831" s="89"/>
      <c r="N831" s="60"/>
      <c r="O831" s="90"/>
      <c r="P831" s="91"/>
      <c r="Q831" s="92"/>
      <c r="R831" s="68" t="str">
        <f t="shared" si="16"/>
        <v/>
      </c>
      <c r="S831" s="22"/>
    </row>
    <row r="832" spans="1:19" ht="18" customHeight="1">
      <c r="A832" s="85"/>
      <c r="B832" s="86"/>
      <c r="C832" s="22"/>
      <c r="D832" s="85"/>
      <c r="E832" s="87"/>
      <c r="F832" s="85"/>
      <c r="G832" s="22"/>
      <c r="H832" s="88"/>
      <c r="J832" s="22"/>
      <c r="M832" s="89"/>
      <c r="N832" s="60"/>
      <c r="O832" s="90"/>
      <c r="P832" s="91"/>
      <c r="Q832" s="92"/>
      <c r="R832" s="68" t="str">
        <f t="shared" si="16"/>
        <v/>
      </c>
      <c r="S832" s="22"/>
    </row>
    <row r="833" spans="1:19" ht="18" customHeight="1">
      <c r="A833" s="85"/>
      <c r="B833" s="86"/>
      <c r="C833" s="22"/>
      <c r="D833" s="85"/>
      <c r="E833" s="87"/>
      <c r="F833" s="85"/>
      <c r="G833" s="22"/>
      <c r="H833" s="88"/>
      <c r="J833" s="22"/>
      <c r="M833" s="89"/>
      <c r="N833" s="60"/>
      <c r="O833" s="90"/>
      <c r="P833" s="91"/>
      <c r="Q833" s="92"/>
      <c r="R833" s="68" t="str">
        <f t="shared" si="16"/>
        <v/>
      </c>
      <c r="S833" s="22"/>
    </row>
    <row r="834" spans="1:19" ht="18" customHeight="1">
      <c r="A834" s="85"/>
      <c r="B834" s="86"/>
      <c r="C834" s="22"/>
      <c r="D834" s="85"/>
      <c r="E834" s="87"/>
      <c r="F834" s="85"/>
      <c r="G834" s="22"/>
      <c r="H834" s="88"/>
      <c r="J834" s="22"/>
      <c r="M834" s="89"/>
      <c r="N834" s="60"/>
      <c r="O834" s="90"/>
      <c r="P834" s="91"/>
      <c r="Q834" s="92"/>
      <c r="R834" s="68" t="str">
        <f t="shared" si="16"/>
        <v/>
      </c>
      <c r="S834" s="22"/>
    </row>
    <row r="835" spans="1:19" ht="18" customHeight="1">
      <c r="A835" s="85"/>
      <c r="B835" s="86"/>
      <c r="C835" s="22"/>
      <c r="D835" s="85"/>
      <c r="E835" s="87"/>
      <c r="F835" s="85"/>
      <c r="G835" s="22"/>
      <c r="H835" s="88"/>
      <c r="J835" s="22"/>
      <c r="M835" s="89"/>
      <c r="N835" s="60"/>
      <c r="O835" s="90"/>
      <c r="P835" s="91"/>
      <c r="Q835" s="92"/>
      <c r="R835" s="68" t="str">
        <f t="shared" si="16"/>
        <v/>
      </c>
      <c r="S835" s="22"/>
    </row>
    <row r="836" spans="1:19" ht="18" customHeight="1">
      <c r="A836" s="85"/>
      <c r="B836" s="86"/>
      <c r="C836" s="22"/>
      <c r="D836" s="85"/>
      <c r="E836" s="87"/>
      <c r="F836" s="85"/>
      <c r="G836" s="22"/>
      <c r="H836" s="88"/>
      <c r="J836" s="22"/>
      <c r="M836" s="89"/>
      <c r="N836" s="60"/>
      <c r="O836" s="90"/>
      <c r="P836" s="91"/>
      <c r="Q836" s="92"/>
      <c r="R836" s="68" t="str">
        <f t="shared" si="16"/>
        <v/>
      </c>
      <c r="S836" s="22"/>
    </row>
    <row r="837" spans="1:19" ht="18" customHeight="1">
      <c r="A837" s="85"/>
      <c r="B837" s="86"/>
      <c r="C837" s="22"/>
      <c r="D837" s="85"/>
      <c r="E837" s="87"/>
      <c r="F837" s="85"/>
      <c r="G837" s="22"/>
      <c r="H837" s="88"/>
      <c r="J837" s="22"/>
      <c r="M837" s="89"/>
      <c r="N837" s="60"/>
      <c r="O837" s="90"/>
      <c r="P837" s="91"/>
      <c r="Q837" s="92"/>
      <c r="R837" s="68" t="str">
        <f t="shared" si="16"/>
        <v/>
      </c>
      <c r="S837" s="22"/>
    </row>
    <row r="838" spans="1:19" ht="18" customHeight="1">
      <c r="A838" s="85"/>
      <c r="B838" s="86"/>
      <c r="C838" s="22"/>
      <c r="D838" s="85"/>
      <c r="E838" s="87"/>
      <c r="F838" s="85"/>
      <c r="G838" s="22"/>
      <c r="H838" s="88"/>
      <c r="J838" s="22"/>
      <c r="M838" s="89"/>
      <c r="N838" s="60"/>
      <c r="O838" s="90"/>
      <c r="P838" s="91"/>
      <c r="Q838" s="92"/>
      <c r="R838" s="68" t="str">
        <f t="shared" si="16"/>
        <v/>
      </c>
      <c r="S838" s="22"/>
    </row>
    <row r="839" spans="1:19" ht="18" customHeight="1">
      <c r="A839" s="85"/>
      <c r="B839" s="86"/>
      <c r="C839" s="22"/>
      <c r="D839" s="85"/>
      <c r="E839" s="87"/>
      <c r="F839" s="85"/>
      <c r="G839" s="22"/>
      <c r="H839" s="88"/>
      <c r="J839" s="22"/>
      <c r="M839" s="89"/>
      <c r="N839" s="60"/>
      <c r="O839" s="90"/>
      <c r="P839" s="91"/>
      <c r="Q839" s="92"/>
      <c r="R839" s="68" t="str">
        <f t="shared" si="16"/>
        <v/>
      </c>
      <c r="S839" s="22"/>
    </row>
    <row r="840" spans="1:19" ht="18" customHeight="1">
      <c r="A840" s="85"/>
      <c r="B840" s="86"/>
      <c r="C840" s="22"/>
      <c r="D840" s="85"/>
      <c r="E840" s="87"/>
      <c r="F840" s="85"/>
      <c r="G840" s="22"/>
      <c r="H840" s="88"/>
      <c r="J840" s="22"/>
      <c r="M840" s="89"/>
      <c r="N840" s="60"/>
      <c r="O840" s="90"/>
      <c r="P840" s="91"/>
      <c r="Q840" s="92"/>
      <c r="R840" s="68" t="str">
        <f t="shared" si="16"/>
        <v/>
      </c>
      <c r="S840" s="22"/>
    </row>
    <row r="841" spans="1:19" ht="18" customHeight="1">
      <c r="A841" s="85"/>
      <c r="B841" s="86"/>
      <c r="C841" s="22"/>
      <c r="D841" s="85"/>
      <c r="E841" s="87"/>
      <c r="F841" s="85"/>
      <c r="G841" s="22"/>
      <c r="H841" s="88"/>
      <c r="J841" s="22"/>
      <c r="M841" s="89"/>
      <c r="N841" s="60"/>
      <c r="O841" s="90"/>
      <c r="P841" s="91"/>
      <c r="Q841" s="92"/>
      <c r="R841" s="68" t="str">
        <f t="shared" si="16"/>
        <v/>
      </c>
      <c r="S841" s="22"/>
    </row>
    <row r="842" spans="1:19" ht="18" customHeight="1">
      <c r="A842" s="85"/>
      <c r="B842" s="86"/>
      <c r="C842" s="22"/>
      <c r="D842" s="85"/>
      <c r="E842" s="87"/>
      <c r="F842" s="85"/>
      <c r="G842" s="22"/>
      <c r="H842" s="88"/>
      <c r="J842" s="22"/>
      <c r="M842" s="89"/>
      <c r="N842" s="60"/>
      <c r="O842" s="90"/>
      <c r="P842" s="91"/>
      <c r="Q842" s="92"/>
      <c r="R842" s="68" t="str">
        <f t="shared" si="16"/>
        <v/>
      </c>
      <c r="S842" s="22"/>
    </row>
    <row r="843" spans="1:19" ht="18" customHeight="1">
      <c r="A843" s="85"/>
      <c r="B843" s="86"/>
      <c r="C843" s="22"/>
      <c r="D843" s="85"/>
      <c r="E843" s="87"/>
      <c r="F843" s="85"/>
      <c r="G843" s="22"/>
      <c r="H843" s="88"/>
      <c r="J843" s="22"/>
      <c r="M843" s="89"/>
      <c r="N843" s="60"/>
      <c r="O843" s="90"/>
      <c r="P843" s="91"/>
      <c r="Q843" s="92"/>
      <c r="R843" s="68" t="str">
        <f t="shared" si="16"/>
        <v/>
      </c>
      <c r="S843" s="22"/>
    </row>
    <row r="844" spans="1:19" ht="18" customHeight="1">
      <c r="A844" s="85"/>
      <c r="B844" s="86"/>
      <c r="C844" s="22"/>
      <c r="D844" s="85"/>
      <c r="E844" s="87"/>
      <c r="F844" s="85"/>
      <c r="G844" s="22"/>
      <c r="H844" s="88"/>
      <c r="J844" s="22"/>
      <c r="M844" s="89"/>
      <c r="N844" s="60"/>
      <c r="O844" s="90"/>
      <c r="P844" s="91"/>
      <c r="Q844" s="92"/>
      <c r="R844" s="68" t="str">
        <f t="shared" si="16"/>
        <v/>
      </c>
      <c r="S844" s="22"/>
    </row>
    <row r="845" spans="1:19" ht="18" customHeight="1">
      <c r="A845" s="85"/>
      <c r="B845" s="86"/>
      <c r="C845" s="22"/>
      <c r="D845" s="85"/>
      <c r="E845" s="87"/>
      <c r="F845" s="85"/>
      <c r="G845" s="22"/>
      <c r="H845" s="88"/>
      <c r="J845" s="22"/>
      <c r="M845" s="89"/>
      <c r="N845" s="60"/>
      <c r="O845" s="90"/>
      <c r="P845" s="91"/>
      <c r="Q845" s="92"/>
      <c r="R845" s="68" t="str">
        <f t="shared" si="16"/>
        <v/>
      </c>
      <c r="S845" s="22"/>
    </row>
    <row r="846" spans="1:19" ht="18" customHeight="1">
      <c r="A846" s="85"/>
      <c r="B846" s="86"/>
      <c r="C846" s="22"/>
      <c r="D846" s="85"/>
      <c r="E846" s="87"/>
      <c r="F846" s="85"/>
      <c r="G846" s="22"/>
      <c r="H846" s="88"/>
      <c r="J846" s="22"/>
      <c r="M846" s="89"/>
      <c r="N846" s="60"/>
      <c r="O846" s="90"/>
      <c r="P846" s="91"/>
      <c r="Q846" s="92"/>
      <c r="R846" s="68" t="str">
        <f t="shared" si="16"/>
        <v/>
      </c>
      <c r="S846" s="22"/>
    </row>
    <row r="847" spans="1:19" ht="18" customHeight="1">
      <c r="A847" s="85"/>
      <c r="B847" s="86"/>
      <c r="C847" s="22"/>
      <c r="D847" s="85"/>
      <c r="E847" s="87"/>
      <c r="F847" s="85"/>
      <c r="G847" s="22"/>
      <c r="H847" s="88"/>
      <c r="J847" s="22"/>
      <c r="M847" s="89"/>
      <c r="N847" s="60"/>
      <c r="O847" s="90"/>
      <c r="P847" s="91"/>
      <c r="Q847" s="92"/>
      <c r="R847" s="68" t="str">
        <f t="shared" si="16"/>
        <v/>
      </c>
      <c r="S847" s="22"/>
    </row>
    <row r="848" spans="1:19" ht="18" customHeight="1">
      <c r="A848" s="85"/>
      <c r="B848" s="86"/>
      <c r="C848" s="22"/>
      <c r="D848" s="85"/>
      <c r="E848" s="87"/>
      <c r="F848" s="85"/>
      <c r="G848" s="22"/>
      <c r="H848" s="88"/>
      <c r="J848" s="22"/>
      <c r="M848" s="89"/>
      <c r="N848" s="60"/>
      <c r="O848" s="90"/>
      <c r="P848" s="91"/>
      <c r="Q848" s="92"/>
      <c r="R848" s="68" t="str">
        <f t="shared" si="16"/>
        <v/>
      </c>
      <c r="S848" s="22"/>
    </row>
    <row r="849" spans="1:19" ht="18" customHeight="1">
      <c r="A849" s="85"/>
      <c r="B849" s="86"/>
      <c r="C849" s="22"/>
      <c r="D849" s="85"/>
      <c r="E849" s="87"/>
      <c r="F849" s="85"/>
      <c r="G849" s="22"/>
      <c r="H849" s="88"/>
      <c r="J849" s="22"/>
      <c r="M849" s="89"/>
      <c r="N849" s="60"/>
      <c r="O849" s="90"/>
      <c r="P849" s="91"/>
      <c r="Q849" s="92"/>
      <c r="R849" s="68" t="str">
        <f t="shared" si="16"/>
        <v/>
      </c>
      <c r="S849" s="22"/>
    </row>
    <row r="850" spans="1:19" ht="18" customHeight="1">
      <c r="A850" s="85"/>
      <c r="B850" s="86"/>
      <c r="C850" s="22"/>
      <c r="D850" s="85"/>
      <c r="E850" s="87"/>
      <c r="F850" s="85"/>
      <c r="G850" s="22"/>
      <c r="H850" s="88"/>
      <c r="J850" s="22"/>
      <c r="M850" s="89"/>
      <c r="N850" s="60"/>
      <c r="O850" s="90"/>
      <c r="P850" s="91"/>
      <c r="Q850" s="92"/>
      <c r="R850" s="68" t="str">
        <f t="shared" si="16"/>
        <v/>
      </c>
      <c r="S850" s="22"/>
    </row>
    <row r="851" spans="1:19" ht="18" customHeight="1">
      <c r="A851" s="85"/>
      <c r="B851" s="86"/>
      <c r="C851" s="22"/>
      <c r="D851" s="85"/>
      <c r="E851" s="87"/>
      <c r="F851" s="85"/>
      <c r="G851" s="22"/>
      <c r="H851" s="88"/>
      <c r="J851" s="22"/>
      <c r="M851" s="89"/>
      <c r="N851" s="60"/>
      <c r="O851" s="90"/>
      <c r="P851" s="91"/>
      <c r="Q851" s="92"/>
      <c r="R851" s="68" t="str">
        <f t="shared" si="16"/>
        <v/>
      </c>
      <c r="S851" s="22"/>
    </row>
    <row r="852" spans="1:19" ht="18" customHeight="1">
      <c r="A852" s="85"/>
      <c r="B852" s="86"/>
      <c r="C852" s="22"/>
      <c r="D852" s="85"/>
      <c r="E852" s="87"/>
      <c r="F852" s="85"/>
      <c r="G852" s="22"/>
      <c r="H852" s="88"/>
      <c r="J852" s="22"/>
      <c r="M852" s="89"/>
      <c r="N852" s="60"/>
      <c r="O852" s="90"/>
      <c r="P852" s="91"/>
      <c r="Q852" s="92"/>
      <c r="R852" s="68" t="str">
        <f t="shared" si="16"/>
        <v/>
      </c>
      <c r="S852" s="22"/>
    </row>
    <row r="853" spans="1:19" ht="18" customHeight="1">
      <c r="A853" s="85"/>
      <c r="B853" s="86"/>
      <c r="C853" s="22"/>
      <c r="D853" s="85"/>
      <c r="E853" s="87"/>
      <c r="F853" s="85"/>
      <c r="G853" s="22"/>
      <c r="H853" s="88"/>
      <c r="J853" s="22"/>
      <c r="M853" s="89"/>
      <c r="N853" s="60"/>
      <c r="O853" s="90"/>
      <c r="P853" s="91"/>
      <c r="Q853" s="92"/>
      <c r="R853" s="68" t="str">
        <f t="shared" si="16"/>
        <v/>
      </c>
      <c r="S853" s="22"/>
    </row>
    <row r="854" spans="1:19" ht="18" customHeight="1">
      <c r="A854" s="85"/>
      <c r="B854" s="86"/>
      <c r="C854" s="22"/>
      <c r="D854" s="85"/>
      <c r="E854" s="87"/>
      <c r="F854" s="85"/>
      <c r="G854" s="22"/>
      <c r="H854" s="88"/>
      <c r="J854" s="22"/>
      <c r="M854" s="89"/>
      <c r="N854" s="60"/>
      <c r="O854" s="90"/>
      <c r="P854" s="91"/>
      <c r="Q854" s="92"/>
      <c r="R854" s="68" t="str">
        <f t="shared" si="16"/>
        <v/>
      </c>
      <c r="S854" s="22"/>
    </row>
    <row r="855" spans="1:19" ht="18" customHeight="1">
      <c r="A855" s="85"/>
      <c r="B855" s="86"/>
      <c r="C855" s="22"/>
      <c r="D855" s="85"/>
      <c r="E855" s="87"/>
      <c r="F855" s="85"/>
      <c r="G855" s="22"/>
      <c r="H855" s="88"/>
      <c r="J855" s="22"/>
      <c r="M855" s="89"/>
      <c r="N855" s="60"/>
      <c r="O855" s="90"/>
      <c r="P855" s="91"/>
      <c r="Q855" s="92"/>
      <c r="R855" s="68" t="str">
        <f t="shared" si="16"/>
        <v/>
      </c>
      <c r="S855" s="22"/>
    </row>
    <row r="856" spans="1:19" ht="18" customHeight="1">
      <c r="A856" s="85"/>
      <c r="B856" s="86"/>
      <c r="C856" s="22"/>
      <c r="D856" s="85"/>
      <c r="E856" s="87"/>
      <c r="F856" s="85"/>
      <c r="G856" s="22"/>
      <c r="H856" s="88"/>
      <c r="J856" s="22"/>
      <c r="M856" s="89"/>
      <c r="N856" s="60"/>
      <c r="O856" s="90"/>
      <c r="P856" s="91"/>
      <c r="Q856" s="92"/>
      <c r="R856" s="68" t="str">
        <f t="shared" si="16"/>
        <v/>
      </c>
      <c r="S856" s="22"/>
    </row>
    <row r="857" spans="1:19" ht="18" customHeight="1">
      <c r="A857" s="85"/>
      <c r="B857" s="86"/>
      <c r="C857" s="22"/>
      <c r="D857" s="85"/>
      <c r="E857" s="87"/>
      <c r="F857" s="85"/>
      <c r="G857" s="22"/>
      <c r="H857" s="88"/>
      <c r="J857" s="22"/>
      <c r="M857" s="89"/>
      <c r="N857" s="60"/>
      <c r="O857" s="90"/>
      <c r="P857" s="91"/>
      <c r="Q857" s="92"/>
      <c r="R857" s="68" t="str">
        <f t="shared" si="16"/>
        <v/>
      </c>
      <c r="S857" s="22"/>
    </row>
    <row r="858" spans="1:19" ht="18" customHeight="1">
      <c r="A858" s="85"/>
      <c r="B858" s="86"/>
      <c r="C858" s="22"/>
      <c r="D858" s="85"/>
      <c r="E858" s="87"/>
      <c r="F858" s="85"/>
      <c r="G858" s="22"/>
      <c r="H858" s="88"/>
      <c r="J858" s="22"/>
      <c r="M858" s="89"/>
      <c r="N858" s="60"/>
      <c r="O858" s="90"/>
      <c r="P858" s="91"/>
      <c r="Q858" s="92"/>
      <c r="R858" s="68" t="str">
        <f t="shared" si="16"/>
        <v/>
      </c>
      <c r="S858" s="22"/>
    </row>
    <row r="859" spans="1:19" ht="18" customHeight="1">
      <c r="A859" s="85"/>
      <c r="B859" s="86"/>
      <c r="C859" s="22"/>
      <c r="D859" s="85"/>
      <c r="E859" s="87"/>
      <c r="F859" s="85"/>
      <c r="G859" s="22"/>
      <c r="H859" s="88"/>
      <c r="J859" s="22"/>
      <c r="M859" s="89"/>
      <c r="N859" s="60"/>
      <c r="O859" s="90"/>
      <c r="P859" s="91"/>
      <c r="Q859" s="92"/>
      <c r="R859" s="68" t="str">
        <f t="shared" si="16"/>
        <v/>
      </c>
      <c r="S859" s="22"/>
    </row>
    <row r="860" spans="1:19" ht="18" customHeight="1">
      <c r="A860" s="85"/>
      <c r="B860" s="86"/>
      <c r="C860" s="22"/>
      <c r="D860" s="85"/>
      <c r="E860" s="87"/>
      <c r="F860" s="85"/>
      <c r="G860" s="22"/>
      <c r="H860" s="88"/>
      <c r="J860" s="22"/>
      <c r="M860" s="89"/>
      <c r="N860" s="60"/>
      <c r="O860" s="90"/>
      <c r="P860" s="91"/>
      <c r="Q860" s="92"/>
      <c r="R860" s="68" t="str">
        <f t="shared" si="16"/>
        <v/>
      </c>
      <c r="S860" s="22"/>
    </row>
    <row r="861" spans="1:19" ht="18" customHeight="1">
      <c r="A861" s="85"/>
      <c r="B861" s="86"/>
      <c r="C861" s="22"/>
      <c r="D861" s="85"/>
      <c r="E861" s="87"/>
      <c r="F861" s="85"/>
      <c r="G861" s="22"/>
      <c r="H861" s="88"/>
      <c r="J861" s="22"/>
      <c r="M861" s="89"/>
      <c r="N861" s="60"/>
      <c r="O861" s="90"/>
      <c r="P861" s="91"/>
      <c r="Q861" s="92"/>
      <c r="R861" s="68" t="str">
        <f t="shared" si="16"/>
        <v/>
      </c>
      <c r="S861" s="22"/>
    </row>
    <row r="862" spans="1:19" ht="18" customHeight="1">
      <c r="A862" s="85"/>
      <c r="B862" s="86"/>
      <c r="C862" s="22"/>
      <c r="D862" s="85"/>
      <c r="E862" s="87"/>
      <c r="F862" s="85"/>
      <c r="G862" s="22"/>
      <c r="H862" s="88"/>
      <c r="J862" s="22"/>
      <c r="M862" s="89"/>
      <c r="N862" s="60"/>
      <c r="O862" s="90"/>
      <c r="P862" s="91"/>
      <c r="Q862" s="92"/>
      <c r="R862" s="68" t="str">
        <f t="shared" si="16"/>
        <v/>
      </c>
      <c r="S862" s="22"/>
    </row>
    <row r="863" spans="1:19" ht="18" customHeight="1">
      <c r="A863" s="85"/>
      <c r="B863" s="86"/>
      <c r="C863" s="22"/>
      <c r="D863" s="85"/>
      <c r="E863" s="87"/>
      <c r="F863" s="85"/>
      <c r="G863" s="22"/>
      <c r="H863" s="88"/>
      <c r="J863" s="22"/>
      <c r="M863" s="89"/>
      <c r="N863" s="60"/>
      <c r="O863" s="90"/>
      <c r="P863" s="91"/>
      <c r="Q863" s="92"/>
      <c r="R863" s="68" t="str">
        <f t="shared" si="16"/>
        <v/>
      </c>
      <c r="S863" s="22"/>
    </row>
    <row r="864" spans="1:19" ht="18" customHeight="1">
      <c r="A864" s="85"/>
      <c r="B864" s="86"/>
      <c r="C864" s="22"/>
      <c r="D864" s="85"/>
      <c r="E864" s="87"/>
      <c r="F864" s="85"/>
      <c r="G864" s="22"/>
      <c r="H864" s="88"/>
      <c r="J864" s="22"/>
      <c r="M864" s="89"/>
      <c r="N864" s="60"/>
      <c r="O864" s="90"/>
      <c r="P864" s="91"/>
      <c r="Q864" s="92"/>
      <c r="R864" s="68" t="str">
        <f t="shared" si="16"/>
        <v/>
      </c>
      <c r="S864" s="22"/>
    </row>
    <row r="865" spans="1:19" ht="18" customHeight="1">
      <c r="A865" s="85"/>
      <c r="B865" s="86"/>
      <c r="C865" s="22"/>
      <c r="D865" s="85"/>
      <c r="E865" s="87"/>
      <c r="F865" s="85"/>
      <c r="G865" s="22"/>
      <c r="H865" s="88"/>
      <c r="J865" s="22"/>
      <c r="M865" s="89"/>
      <c r="N865" s="60"/>
      <c r="O865" s="90"/>
      <c r="P865" s="91"/>
      <c r="Q865" s="92"/>
      <c r="R865" s="68" t="str">
        <f t="shared" si="16"/>
        <v/>
      </c>
      <c r="S865" s="22"/>
    </row>
    <row r="866" spans="1:19" ht="18" customHeight="1">
      <c r="A866" s="85"/>
      <c r="B866" s="86"/>
      <c r="C866" s="22"/>
      <c r="D866" s="85"/>
      <c r="E866" s="87"/>
      <c r="F866" s="85"/>
      <c r="G866" s="22"/>
      <c r="H866" s="88"/>
      <c r="J866" s="22"/>
      <c r="M866" s="89"/>
      <c r="N866" s="60"/>
      <c r="O866" s="90"/>
      <c r="P866" s="91"/>
      <c r="Q866" s="92"/>
      <c r="R866" s="68" t="str">
        <f t="shared" si="16"/>
        <v/>
      </c>
      <c r="S866" s="22"/>
    </row>
    <row r="867" spans="1:19" ht="18" customHeight="1">
      <c r="A867" s="85"/>
      <c r="B867" s="86"/>
      <c r="C867" s="22"/>
      <c r="D867" s="85"/>
      <c r="E867" s="87"/>
      <c r="F867" s="85"/>
      <c r="G867" s="22"/>
      <c r="H867" s="88"/>
      <c r="J867" s="22"/>
      <c r="M867" s="89"/>
      <c r="N867" s="60"/>
      <c r="O867" s="90"/>
      <c r="P867" s="91"/>
      <c r="Q867" s="92"/>
      <c r="R867" s="68" t="str">
        <f t="shared" si="16"/>
        <v/>
      </c>
      <c r="S867" s="22"/>
    </row>
    <row r="868" spans="1:19" ht="18" customHeight="1">
      <c r="A868" s="85"/>
      <c r="B868" s="86"/>
      <c r="C868" s="22"/>
      <c r="D868" s="85"/>
      <c r="E868" s="87"/>
      <c r="F868" s="85"/>
      <c r="G868" s="22"/>
      <c r="H868" s="88"/>
      <c r="J868" s="22"/>
      <c r="M868" s="89"/>
      <c r="N868" s="60"/>
      <c r="O868" s="90"/>
      <c r="P868" s="91"/>
      <c r="Q868" s="92"/>
      <c r="R868" s="68" t="str">
        <f t="shared" si="16"/>
        <v/>
      </c>
      <c r="S868" s="22"/>
    </row>
    <row r="869" spans="1:19" ht="18" customHeight="1">
      <c r="A869" s="85"/>
      <c r="B869" s="86"/>
      <c r="C869" s="22"/>
      <c r="D869" s="85"/>
      <c r="E869" s="87"/>
      <c r="F869" s="85"/>
      <c r="G869" s="22"/>
      <c r="H869" s="88"/>
      <c r="J869" s="22"/>
      <c r="M869" s="89"/>
      <c r="N869" s="60"/>
      <c r="O869" s="90"/>
      <c r="P869" s="91"/>
      <c r="Q869" s="92"/>
      <c r="R869" s="68" t="str">
        <f t="shared" si="16"/>
        <v/>
      </c>
      <c r="S869" s="22"/>
    </row>
    <row r="870" spans="1:19" ht="18" customHeight="1">
      <c r="A870" s="85"/>
      <c r="B870" s="86"/>
      <c r="C870" s="22"/>
      <c r="D870" s="85"/>
      <c r="E870" s="87"/>
      <c r="F870" s="85"/>
      <c r="G870" s="22"/>
      <c r="H870" s="88"/>
      <c r="J870" s="22"/>
      <c r="M870" s="89"/>
      <c r="N870" s="60"/>
      <c r="O870" s="90"/>
      <c r="P870" s="91"/>
      <c r="Q870" s="92"/>
      <c r="R870" s="68" t="str">
        <f t="shared" si="16"/>
        <v/>
      </c>
      <c r="S870" s="22"/>
    </row>
    <row r="871" spans="1:19" ht="18" customHeight="1">
      <c r="A871" s="85"/>
      <c r="B871" s="86"/>
      <c r="C871" s="22"/>
      <c r="D871" s="85"/>
      <c r="E871" s="87"/>
      <c r="F871" s="85"/>
      <c r="G871" s="22"/>
      <c r="H871" s="88"/>
      <c r="J871" s="22"/>
      <c r="M871" s="89"/>
      <c r="N871" s="60"/>
      <c r="O871" s="90"/>
      <c r="P871" s="91"/>
      <c r="Q871" s="92"/>
      <c r="R871" s="68" t="str">
        <f t="shared" si="16"/>
        <v/>
      </c>
      <c r="S871" s="22"/>
    </row>
    <row r="872" spans="1:19" ht="18" customHeight="1">
      <c r="A872" s="85"/>
      <c r="B872" s="86"/>
      <c r="C872" s="22"/>
      <c r="D872" s="85"/>
      <c r="E872" s="87"/>
      <c r="F872" s="85"/>
      <c r="G872" s="22"/>
      <c r="H872" s="88"/>
      <c r="J872" s="22"/>
      <c r="M872" s="89"/>
      <c r="N872" s="60"/>
      <c r="O872" s="90"/>
      <c r="P872" s="91"/>
      <c r="Q872" s="92"/>
      <c r="R872" s="68" t="str">
        <f t="shared" si="16"/>
        <v/>
      </c>
      <c r="S872" s="22"/>
    </row>
    <row r="873" spans="1:19" ht="18" customHeight="1">
      <c r="A873" s="85"/>
      <c r="B873" s="86"/>
      <c r="C873" s="22"/>
      <c r="D873" s="85"/>
      <c r="E873" s="87"/>
      <c r="F873" s="85"/>
      <c r="G873" s="22"/>
      <c r="H873" s="88"/>
      <c r="J873" s="22"/>
      <c r="M873" s="89"/>
      <c r="N873" s="60"/>
      <c r="O873" s="90"/>
      <c r="P873" s="91"/>
      <c r="Q873" s="92"/>
      <c r="R873" s="68" t="str">
        <f t="shared" si="16"/>
        <v/>
      </c>
      <c r="S873" s="22"/>
    </row>
    <row r="874" spans="1:19" ht="18" customHeight="1">
      <c r="A874" s="85"/>
      <c r="B874" s="86"/>
      <c r="C874" s="22"/>
      <c r="D874" s="85"/>
      <c r="E874" s="87"/>
      <c r="F874" s="85"/>
      <c r="G874" s="22"/>
      <c r="H874" s="88"/>
      <c r="J874" s="22"/>
      <c r="M874" s="89"/>
      <c r="N874" s="60"/>
      <c r="O874" s="90"/>
      <c r="P874" s="91"/>
      <c r="Q874" s="92"/>
      <c r="R874" s="68" t="str">
        <f t="shared" si="16"/>
        <v/>
      </c>
      <c r="S874" s="22"/>
    </row>
    <row r="875" spans="1:19" ht="18" customHeight="1">
      <c r="A875" s="85"/>
      <c r="B875" s="86"/>
      <c r="C875" s="22"/>
      <c r="D875" s="85"/>
      <c r="E875" s="87"/>
      <c r="F875" s="85"/>
      <c r="G875" s="22"/>
      <c r="H875" s="88"/>
      <c r="J875" s="22"/>
      <c r="M875" s="89"/>
      <c r="N875" s="60"/>
      <c r="O875" s="90"/>
      <c r="P875" s="91"/>
      <c r="Q875" s="92"/>
      <c r="R875" s="68" t="str">
        <f t="shared" si="16"/>
        <v/>
      </c>
      <c r="S875" s="22"/>
    </row>
    <row r="876" spans="1:19" ht="18" customHeight="1">
      <c r="A876" s="85"/>
      <c r="B876" s="86"/>
      <c r="C876" s="22"/>
      <c r="D876" s="85"/>
      <c r="E876" s="87"/>
      <c r="F876" s="85"/>
      <c r="G876" s="22"/>
      <c r="H876" s="88"/>
      <c r="J876" s="22"/>
      <c r="M876" s="89"/>
      <c r="N876" s="60"/>
      <c r="O876" s="90"/>
      <c r="P876" s="91"/>
      <c r="Q876" s="92"/>
      <c r="R876" s="68" t="str">
        <f t="shared" si="16"/>
        <v/>
      </c>
      <c r="S876" s="22"/>
    </row>
    <row r="877" spans="1:19" ht="18" customHeight="1">
      <c r="A877" s="85"/>
      <c r="B877" s="86"/>
      <c r="C877" s="22"/>
      <c r="D877" s="85"/>
      <c r="E877" s="87"/>
      <c r="F877" s="85"/>
      <c r="G877" s="22"/>
      <c r="H877" s="88"/>
      <c r="J877" s="22"/>
      <c r="M877" s="89"/>
      <c r="N877" s="60"/>
      <c r="O877" s="90"/>
      <c r="P877" s="91"/>
      <c r="Q877" s="92"/>
      <c r="R877" s="68" t="str">
        <f t="shared" si="16"/>
        <v/>
      </c>
      <c r="S877" s="22"/>
    </row>
    <row r="878" spans="1:19" ht="18" customHeight="1">
      <c r="A878" s="85"/>
      <c r="B878" s="86"/>
      <c r="C878" s="22"/>
      <c r="D878" s="85"/>
      <c r="E878" s="87"/>
      <c r="F878" s="85"/>
      <c r="G878" s="22"/>
      <c r="H878" s="88"/>
      <c r="J878" s="22"/>
      <c r="M878" s="89"/>
      <c r="N878" s="60"/>
      <c r="O878" s="90"/>
      <c r="P878" s="91"/>
      <c r="Q878" s="92"/>
      <c r="R878" s="68" t="str">
        <f t="shared" si="16"/>
        <v/>
      </c>
      <c r="S878" s="22"/>
    </row>
    <row r="879" spans="1:19" ht="18" customHeight="1">
      <c r="A879" s="85"/>
      <c r="B879" s="86"/>
      <c r="C879" s="22"/>
      <c r="D879" s="85"/>
      <c r="E879" s="87"/>
      <c r="F879" s="85"/>
      <c r="G879" s="22"/>
      <c r="H879" s="88"/>
      <c r="J879" s="22"/>
      <c r="M879" s="89"/>
      <c r="N879" s="60"/>
      <c r="O879" s="90"/>
      <c r="P879" s="91"/>
      <c r="Q879" s="92"/>
      <c r="R879" s="68" t="str">
        <f t="shared" si="16"/>
        <v/>
      </c>
      <c r="S879" s="22"/>
    </row>
    <row r="880" spans="1:19" ht="18" customHeight="1">
      <c r="A880" s="85"/>
      <c r="B880" s="86"/>
      <c r="C880" s="22"/>
      <c r="D880" s="85"/>
      <c r="E880" s="87"/>
      <c r="F880" s="85"/>
      <c r="G880" s="22"/>
      <c r="H880" s="88"/>
      <c r="J880" s="22"/>
      <c r="M880" s="89"/>
      <c r="N880" s="60"/>
      <c r="O880" s="90"/>
      <c r="P880" s="91"/>
      <c r="Q880" s="92"/>
      <c r="R880" s="68" t="str">
        <f t="shared" si="16"/>
        <v/>
      </c>
      <c r="S880" s="22"/>
    </row>
    <row r="881" spans="1:19" ht="18" customHeight="1">
      <c r="A881" s="85"/>
      <c r="B881" s="86"/>
      <c r="C881" s="22"/>
      <c r="D881" s="85"/>
      <c r="E881" s="87"/>
      <c r="F881" s="85"/>
      <c r="G881" s="22"/>
      <c r="H881" s="88"/>
      <c r="J881" s="22"/>
      <c r="M881" s="89"/>
      <c r="N881" s="60"/>
      <c r="O881" s="90"/>
      <c r="P881" s="91"/>
      <c r="Q881" s="92"/>
      <c r="R881" s="68" t="str">
        <f t="shared" si="16"/>
        <v/>
      </c>
      <c r="S881" s="22"/>
    </row>
    <row r="882" spans="1:19" ht="18" customHeight="1">
      <c r="A882" s="85"/>
      <c r="B882" s="86"/>
      <c r="C882" s="22"/>
      <c r="D882" s="85"/>
      <c r="E882" s="87"/>
      <c r="F882" s="85"/>
      <c r="G882" s="22"/>
      <c r="H882" s="88"/>
      <c r="J882" s="22"/>
      <c r="M882" s="89"/>
      <c r="N882" s="60"/>
      <c r="O882" s="90"/>
      <c r="P882" s="91"/>
      <c r="Q882" s="92"/>
      <c r="R882" s="68" t="str">
        <f t="shared" si="16"/>
        <v/>
      </c>
      <c r="S882" s="22"/>
    </row>
    <row r="883" spans="1:19" ht="18" customHeight="1">
      <c r="A883" s="85"/>
      <c r="B883" s="86"/>
      <c r="C883" s="22"/>
      <c r="D883" s="85"/>
      <c r="E883" s="87"/>
      <c r="F883" s="85"/>
      <c r="G883" s="22"/>
      <c r="H883" s="88"/>
      <c r="J883" s="22"/>
      <c r="M883" s="89"/>
      <c r="N883" s="60"/>
      <c r="O883" s="90"/>
      <c r="P883" s="91"/>
      <c r="Q883" s="92"/>
      <c r="R883" s="68" t="str">
        <f t="shared" si="16"/>
        <v/>
      </c>
      <c r="S883" s="22"/>
    </row>
    <row r="884" spans="1:19" ht="18" customHeight="1">
      <c r="A884" s="85"/>
      <c r="B884" s="86"/>
      <c r="C884" s="22"/>
      <c r="D884" s="85"/>
      <c r="E884" s="87"/>
      <c r="F884" s="85"/>
      <c r="G884" s="22"/>
      <c r="H884" s="88"/>
      <c r="J884" s="22"/>
      <c r="M884" s="89"/>
      <c r="N884" s="60"/>
      <c r="O884" s="90"/>
      <c r="P884" s="91"/>
      <c r="Q884" s="92"/>
      <c r="R884" s="68" t="str">
        <f t="shared" ref="R884:R947" si="17">IF(SUM(Q884)&gt;0,SUM(Q884-P884),"")</f>
        <v/>
      </c>
      <c r="S884" s="22"/>
    </row>
    <row r="885" spans="1:19" ht="18" customHeight="1">
      <c r="A885" s="85"/>
      <c r="B885" s="86"/>
      <c r="C885" s="22"/>
      <c r="D885" s="85"/>
      <c r="E885" s="87"/>
      <c r="F885" s="85"/>
      <c r="G885" s="22"/>
      <c r="H885" s="88"/>
      <c r="J885" s="22"/>
      <c r="M885" s="89"/>
      <c r="N885" s="60"/>
      <c r="O885" s="90"/>
      <c r="P885" s="91"/>
      <c r="Q885" s="92"/>
      <c r="R885" s="68" t="str">
        <f t="shared" si="17"/>
        <v/>
      </c>
      <c r="S885" s="22"/>
    </row>
    <row r="886" spans="1:19" ht="18" customHeight="1">
      <c r="A886" s="85"/>
      <c r="B886" s="86"/>
      <c r="C886" s="22"/>
      <c r="D886" s="85"/>
      <c r="E886" s="87"/>
      <c r="F886" s="85"/>
      <c r="G886" s="22"/>
      <c r="H886" s="88"/>
      <c r="J886" s="22"/>
      <c r="M886" s="89"/>
      <c r="N886" s="60"/>
      <c r="O886" s="90"/>
      <c r="P886" s="91"/>
      <c r="Q886" s="92"/>
      <c r="R886" s="68" t="str">
        <f t="shared" si="17"/>
        <v/>
      </c>
      <c r="S886" s="22"/>
    </row>
    <row r="887" spans="1:19" ht="18" customHeight="1">
      <c r="A887" s="85"/>
      <c r="B887" s="86"/>
      <c r="C887" s="22"/>
      <c r="D887" s="85"/>
      <c r="E887" s="87"/>
      <c r="F887" s="85"/>
      <c r="G887" s="22"/>
      <c r="H887" s="88"/>
      <c r="J887" s="22"/>
      <c r="M887" s="89"/>
      <c r="N887" s="60"/>
      <c r="O887" s="90"/>
      <c r="P887" s="91"/>
      <c r="Q887" s="92"/>
      <c r="R887" s="68" t="str">
        <f t="shared" si="17"/>
        <v/>
      </c>
      <c r="S887" s="22"/>
    </row>
    <row r="888" spans="1:19" ht="18" customHeight="1">
      <c r="A888" s="85"/>
      <c r="B888" s="86"/>
      <c r="C888" s="22"/>
      <c r="D888" s="85"/>
      <c r="E888" s="87"/>
      <c r="F888" s="85"/>
      <c r="G888" s="22"/>
      <c r="H888" s="88"/>
      <c r="J888" s="22"/>
      <c r="M888" s="89"/>
      <c r="N888" s="60"/>
      <c r="O888" s="90"/>
      <c r="P888" s="91"/>
      <c r="Q888" s="92"/>
      <c r="R888" s="68" t="str">
        <f t="shared" si="17"/>
        <v/>
      </c>
      <c r="S888" s="22"/>
    </row>
    <row r="889" spans="1:19" ht="18" customHeight="1">
      <c r="A889" s="85"/>
      <c r="B889" s="86"/>
      <c r="C889" s="22"/>
      <c r="D889" s="85"/>
      <c r="E889" s="87"/>
      <c r="F889" s="85"/>
      <c r="G889" s="22"/>
      <c r="H889" s="88"/>
      <c r="J889" s="22"/>
      <c r="M889" s="89"/>
      <c r="N889" s="60"/>
      <c r="O889" s="90"/>
      <c r="P889" s="91"/>
      <c r="Q889" s="92"/>
      <c r="R889" s="68" t="str">
        <f t="shared" si="17"/>
        <v/>
      </c>
      <c r="S889" s="22"/>
    </row>
    <row r="890" spans="1:19" ht="18" customHeight="1">
      <c r="A890" s="85"/>
      <c r="B890" s="86"/>
      <c r="C890" s="22"/>
      <c r="D890" s="85"/>
      <c r="E890" s="87"/>
      <c r="F890" s="85"/>
      <c r="G890" s="22"/>
      <c r="H890" s="88"/>
      <c r="J890" s="22"/>
      <c r="M890" s="89"/>
      <c r="N890" s="60"/>
      <c r="O890" s="90"/>
      <c r="P890" s="91"/>
      <c r="Q890" s="92"/>
      <c r="R890" s="68" t="str">
        <f t="shared" si="17"/>
        <v/>
      </c>
      <c r="S890" s="22"/>
    </row>
    <row r="891" spans="1:19" ht="18" customHeight="1">
      <c r="A891" s="85"/>
      <c r="B891" s="86"/>
      <c r="C891" s="22"/>
      <c r="D891" s="85"/>
      <c r="E891" s="87"/>
      <c r="F891" s="85"/>
      <c r="G891" s="22"/>
      <c r="H891" s="88"/>
      <c r="J891" s="22"/>
      <c r="M891" s="89"/>
      <c r="N891" s="60"/>
      <c r="O891" s="90"/>
      <c r="P891" s="91"/>
      <c r="Q891" s="92"/>
      <c r="R891" s="68" t="str">
        <f t="shared" si="17"/>
        <v/>
      </c>
      <c r="S891" s="22"/>
    </row>
    <row r="892" spans="1:19" ht="18" customHeight="1">
      <c r="A892" s="85"/>
      <c r="B892" s="86"/>
      <c r="C892" s="22"/>
      <c r="D892" s="85"/>
      <c r="E892" s="87"/>
      <c r="F892" s="85"/>
      <c r="G892" s="22"/>
      <c r="H892" s="88"/>
      <c r="J892" s="22"/>
      <c r="M892" s="89"/>
      <c r="N892" s="60"/>
      <c r="O892" s="90"/>
      <c r="P892" s="91"/>
      <c r="Q892" s="92"/>
      <c r="R892" s="68" t="str">
        <f t="shared" si="17"/>
        <v/>
      </c>
      <c r="S892" s="22"/>
    </row>
    <row r="893" spans="1:19" ht="18" customHeight="1">
      <c r="A893" s="85"/>
      <c r="B893" s="86"/>
      <c r="C893" s="22"/>
      <c r="D893" s="85"/>
      <c r="E893" s="87"/>
      <c r="F893" s="85"/>
      <c r="G893" s="22"/>
      <c r="H893" s="88"/>
      <c r="J893" s="22"/>
      <c r="M893" s="89"/>
      <c r="N893" s="60"/>
      <c r="O893" s="90"/>
      <c r="P893" s="91"/>
      <c r="Q893" s="92"/>
      <c r="R893" s="68" t="str">
        <f t="shared" si="17"/>
        <v/>
      </c>
      <c r="S893" s="22"/>
    </row>
    <row r="894" spans="1:19" ht="18" customHeight="1">
      <c r="A894" s="85"/>
      <c r="B894" s="86"/>
      <c r="C894" s="22"/>
      <c r="D894" s="85"/>
      <c r="E894" s="87"/>
      <c r="F894" s="85"/>
      <c r="G894" s="22"/>
      <c r="H894" s="88"/>
      <c r="J894" s="22"/>
      <c r="M894" s="89"/>
      <c r="N894" s="60"/>
      <c r="O894" s="90"/>
      <c r="P894" s="91"/>
      <c r="Q894" s="92"/>
      <c r="R894" s="68" t="str">
        <f t="shared" si="17"/>
        <v/>
      </c>
      <c r="S894" s="22"/>
    </row>
    <row r="895" spans="1:19" ht="18" customHeight="1">
      <c r="A895" s="85"/>
      <c r="B895" s="86"/>
      <c r="C895" s="22"/>
      <c r="D895" s="85"/>
      <c r="E895" s="87"/>
      <c r="F895" s="85"/>
      <c r="G895" s="22"/>
      <c r="H895" s="88"/>
      <c r="J895" s="22"/>
      <c r="M895" s="89"/>
      <c r="N895" s="60"/>
      <c r="O895" s="90"/>
      <c r="P895" s="91"/>
      <c r="Q895" s="92"/>
      <c r="R895" s="68" t="str">
        <f t="shared" si="17"/>
        <v/>
      </c>
      <c r="S895" s="22"/>
    </row>
    <row r="896" spans="1:19" ht="18" customHeight="1">
      <c r="A896" s="85"/>
      <c r="B896" s="86"/>
      <c r="C896" s="22"/>
      <c r="D896" s="85"/>
      <c r="E896" s="87"/>
      <c r="F896" s="85"/>
      <c r="G896" s="22"/>
      <c r="H896" s="88"/>
      <c r="J896" s="22"/>
      <c r="M896" s="89"/>
      <c r="N896" s="60"/>
      <c r="O896" s="90"/>
      <c r="P896" s="91"/>
      <c r="Q896" s="92"/>
      <c r="R896" s="68" t="str">
        <f t="shared" si="17"/>
        <v/>
      </c>
      <c r="S896" s="22"/>
    </row>
    <row r="897" spans="1:19" ht="18" customHeight="1">
      <c r="A897" s="85"/>
      <c r="B897" s="86"/>
      <c r="C897" s="22"/>
      <c r="D897" s="85"/>
      <c r="E897" s="87"/>
      <c r="F897" s="85"/>
      <c r="G897" s="22"/>
      <c r="H897" s="88"/>
      <c r="J897" s="22"/>
      <c r="M897" s="89"/>
      <c r="N897" s="60"/>
      <c r="O897" s="90"/>
      <c r="P897" s="91"/>
      <c r="Q897" s="92"/>
      <c r="R897" s="68" t="str">
        <f t="shared" si="17"/>
        <v/>
      </c>
      <c r="S897" s="22"/>
    </row>
    <row r="898" spans="1:19" ht="18" customHeight="1">
      <c r="A898" s="85"/>
      <c r="B898" s="86"/>
      <c r="C898" s="22"/>
      <c r="D898" s="85"/>
      <c r="E898" s="87"/>
      <c r="F898" s="85"/>
      <c r="G898" s="22"/>
      <c r="H898" s="88"/>
      <c r="J898" s="22"/>
      <c r="M898" s="89"/>
      <c r="N898" s="60"/>
      <c r="O898" s="90"/>
      <c r="P898" s="91"/>
      <c r="Q898" s="92"/>
      <c r="R898" s="68" t="str">
        <f t="shared" si="17"/>
        <v/>
      </c>
      <c r="S898" s="22"/>
    </row>
    <row r="899" spans="1:19" ht="18" customHeight="1">
      <c r="A899" s="85"/>
      <c r="B899" s="86"/>
      <c r="C899" s="22"/>
      <c r="D899" s="85"/>
      <c r="E899" s="87"/>
      <c r="F899" s="85"/>
      <c r="G899" s="22"/>
      <c r="H899" s="88"/>
      <c r="J899" s="22"/>
      <c r="M899" s="89"/>
      <c r="N899" s="60"/>
      <c r="O899" s="90"/>
      <c r="P899" s="91"/>
      <c r="Q899" s="92"/>
      <c r="R899" s="68" t="str">
        <f t="shared" si="17"/>
        <v/>
      </c>
      <c r="S899" s="22"/>
    </row>
    <row r="900" spans="1:19" ht="18" customHeight="1">
      <c r="A900" s="85"/>
      <c r="B900" s="86"/>
      <c r="C900" s="22"/>
      <c r="D900" s="85"/>
      <c r="E900" s="87"/>
      <c r="F900" s="85"/>
      <c r="G900" s="22"/>
      <c r="H900" s="88"/>
      <c r="J900" s="22"/>
      <c r="M900" s="89"/>
      <c r="N900" s="60"/>
      <c r="O900" s="90"/>
      <c r="P900" s="91"/>
      <c r="Q900" s="92"/>
      <c r="R900" s="68" t="str">
        <f t="shared" si="17"/>
        <v/>
      </c>
      <c r="S900" s="22"/>
    </row>
    <row r="901" spans="1:19" ht="18" customHeight="1">
      <c r="A901" s="85"/>
      <c r="B901" s="86"/>
      <c r="C901" s="22"/>
      <c r="D901" s="85"/>
      <c r="E901" s="87"/>
      <c r="F901" s="85"/>
      <c r="G901" s="22"/>
      <c r="H901" s="88"/>
      <c r="J901" s="22"/>
      <c r="M901" s="89"/>
      <c r="N901" s="60"/>
      <c r="O901" s="90"/>
      <c r="P901" s="91"/>
      <c r="Q901" s="92"/>
      <c r="R901" s="68" t="str">
        <f t="shared" si="17"/>
        <v/>
      </c>
      <c r="S901" s="22"/>
    </row>
    <row r="902" spans="1:19" ht="18" customHeight="1">
      <c r="A902" s="85"/>
      <c r="B902" s="86"/>
      <c r="C902" s="22"/>
      <c r="D902" s="85"/>
      <c r="E902" s="87"/>
      <c r="F902" s="85"/>
      <c r="G902" s="22"/>
      <c r="H902" s="88"/>
      <c r="J902" s="22"/>
      <c r="M902" s="89"/>
      <c r="N902" s="60"/>
      <c r="O902" s="90"/>
      <c r="P902" s="91"/>
      <c r="Q902" s="92"/>
      <c r="R902" s="68" t="str">
        <f t="shared" si="17"/>
        <v/>
      </c>
      <c r="S902" s="22"/>
    </row>
    <row r="903" spans="1:19" ht="18" customHeight="1">
      <c r="A903" s="85"/>
      <c r="B903" s="86"/>
      <c r="C903" s="22"/>
      <c r="D903" s="85"/>
      <c r="E903" s="87"/>
      <c r="F903" s="85"/>
      <c r="G903" s="22"/>
      <c r="H903" s="88"/>
      <c r="J903" s="22"/>
      <c r="M903" s="89"/>
      <c r="N903" s="60"/>
      <c r="O903" s="90"/>
      <c r="P903" s="91"/>
      <c r="Q903" s="92"/>
      <c r="R903" s="68" t="str">
        <f t="shared" si="17"/>
        <v/>
      </c>
      <c r="S903" s="22"/>
    </row>
    <row r="904" spans="1:19" ht="18" customHeight="1">
      <c r="A904" s="85"/>
      <c r="B904" s="86"/>
      <c r="C904" s="22"/>
      <c r="D904" s="85"/>
      <c r="E904" s="87"/>
      <c r="F904" s="85"/>
      <c r="G904" s="22"/>
      <c r="H904" s="88"/>
      <c r="J904" s="22"/>
      <c r="M904" s="89"/>
      <c r="N904" s="60"/>
      <c r="O904" s="90"/>
      <c r="P904" s="91"/>
      <c r="Q904" s="92"/>
      <c r="R904" s="68" t="str">
        <f t="shared" si="17"/>
        <v/>
      </c>
      <c r="S904" s="22"/>
    </row>
    <row r="905" spans="1:19" ht="18" customHeight="1">
      <c r="A905" s="85"/>
      <c r="B905" s="86"/>
      <c r="C905" s="22"/>
      <c r="D905" s="85"/>
      <c r="E905" s="87"/>
      <c r="F905" s="85"/>
      <c r="G905" s="22"/>
      <c r="H905" s="88"/>
      <c r="J905" s="22"/>
      <c r="M905" s="89"/>
      <c r="N905" s="60"/>
      <c r="O905" s="90"/>
      <c r="P905" s="91"/>
      <c r="Q905" s="92"/>
      <c r="R905" s="68" t="str">
        <f t="shared" si="17"/>
        <v/>
      </c>
      <c r="S905" s="22"/>
    </row>
    <row r="906" spans="1:19" ht="18" customHeight="1">
      <c r="A906" s="85"/>
      <c r="B906" s="86"/>
      <c r="C906" s="22"/>
      <c r="D906" s="85"/>
      <c r="E906" s="87"/>
      <c r="F906" s="85"/>
      <c r="G906" s="22"/>
      <c r="H906" s="88"/>
      <c r="J906" s="22"/>
      <c r="M906" s="89"/>
      <c r="N906" s="60"/>
      <c r="O906" s="90"/>
      <c r="P906" s="91"/>
      <c r="Q906" s="92"/>
      <c r="R906" s="68" t="str">
        <f t="shared" si="17"/>
        <v/>
      </c>
      <c r="S906" s="22"/>
    </row>
    <row r="907" spans="1:19" ht="18" customHeight="1">
      <c r="A907" s="85"/>
      <c r="B907" s="86"/>
      <c r="C907" s="22"/>
      <c r="D907" s="85"/>
      <c r="E907" s="87"/>
      <c r="F907" s="85"/>
      <c r="G907" s="22"/>
      <c r="H907" s="88"/>
      <c r="J907" s="22"/>
      <c r="M907" s="89"/>
      <c r="N907" s="60"/>
      <c r="O907" s="90"/>
      <c r="P907" s="91"/>
      <c r="Q907" s="92"/>
      <c r="R907" s="68" t="str">
        <f t="shared" si="17"/>
        <v/>
      </c>
      <c r="S907" s="22"/>
    </row>
    <row r="908" spans="1:19" ht="18" customHeight="1">
      <c r="A908" s="85"/>
      <c r="B908" s="86"/>
      <c r="C908" s="22"/>
      <c r="D908" s="85"/>
      <c r="E908" s="87"/>
      <c r="F908" s="85"/>
      <c r="G908" s="22"/>
      <c r="H908" s="88"/>
      <c r="J908" s="22"/>
      <c r="M908" s="89"/>
      <c r="N908" s="60"/>
      <c r="O908" s="90"/>
      <c r="P908" s="91"/>
      <c r="Q908" s="92"/>
      <c r="R908" s="68" t="str">
        <f t="shared" si="17"/>
        <v/>
      </c>
      <c r="S908" s="22"/>
    </row>
    <row r="909" spans="1:19" ht="18" customHeight="1">
      <c r="A909" s="85"/>
      <c r="B909" s="86"/>
      <c r="C909" s="22"/>
      <c r="D909" s="85"/>
      <c r="E909" s="87"/>
      <c r="F909" s="85"/>
      <c r="G909" s="22"/>
      <c r="H909" s="88"/>
      <c r="J909" s="22"/>
      <c r="M909" s="89"/>
      <c r="N909" s="60"/>
      <c r="O909" s="90"/>
      <c r="P909" s="91"/>
      <c r="Q909" s="92"/>
      <c r="R909" s="68" t="str">
        <f t="shared" si="17"/>
        <v/>
      </c>
      <c r="S909" s="22"/>
    </row>
    <row r="910" spans="1:19" ht="18" customHeight="1">
      <c r="A910" s="85"/>
      <c r="B910" s="86"/>
      <c r="C910" s="22"/>
      <c r="D910" s="85"/>
      <c r="E910" s="87"/>
      <c r="F910" s="85"/>
      <c r="G910" s="22"/>
      <c r="H910" s="88"/>
      <c r="J910" s="22"/>
      <c r="M910" s="89"/>
      <c r="N910" s="60"/>
      <c r="O910" s="90"/>
      <c r="P910" s="91"/>
      <c r="Q910" s="92"/>
      <c r="R910" s="68" t="str">
        <f t="shared" si="17"/>
        <v/>
      </c>
      <c r="S910" s="22"/>
    </row>
    <row r="911" spans="1:19" ht="18" customHeight="1">
      <c r="A911" s="85"/>
      <c r="B911" s="86"/>
      <c r="C911" s="22"/>
      <c r="D911" s="85"/>
      <c r="E911" s="87"/>
      <c r="F911" s="85"/>
      <c r="G911" s="22"/>
      <c r="H911" s="88"/>
      <c r="J911" s="22"/>
      <c r="M911" s="89"/>
      <c r="N911" s="60"/>
      <c r="O911" s="90"/>
      <c r="P911" s="91"/>
      <c r="Q911" s="92"/>
      <c r="R911" s="68" t="str">
        <f t="shared" si="17"/>
        <v/>
      </c>
      <c r="S911" s="22"/>
    </row>
    <row r="912" spans="1:19" ht="18" customHeight="1">
      <c r="A912" s="85"/>
      <c r="B912" s="86"/>
      <c r="C912" s="22"/>
      <c r="D912" s="85"/>
      <c r="E912" s="87"/>
      <c r="F912" s="85"/>
      <c r="G912" s="22"/>
      <c r="H912" s="88"/>
      <c r="J912" s="22"/>
      <c r="M912" s="89"/>
      <c r="N912" s="60"/>
      <c r="O912" s="90"/>
      <c r="P912" s="91"/>
      <c r="Q912" s="92"/>
      <c r="R912" s="68" t="str">
        <f t="shared" si="17"/>
        <v/>
      </c>
      <c r="S912" s="22"/>
    </row>
    <row r="913" spans="1:19" ht="18" customHeight="1">
      <c r="A913" s="85"/>
      <c r="B913" s="86"/>
      <c r="C913" s="22"/>
      <c r="D913" s="85"/>
      <c r="E913" s="87"/>
      <c r="F913" s="85"/>
      <c r="G913" s="22"/>
      <c r="H913" s="88"/>
      <c r="J913" s="22"/>
      <c r="M913" s="89"/>
      <c r="N913" s="60"/>
      <c r="O913" s="90"/>
      <c r="P913" s="91"/>
      <c r="Q913" s="92"/>
      <c r="R913" s="68" t="str">
        <f t="shared" si="17"/>
        <v/>
      </c>
      <c r="S913" s="22"/>
    </row>
    <row r="914" spans="1:19" ht="18" customHeight="1">
      <c r="A914" s="85"/>
      <c r="B914" s="86"/>
      <c r="C914" s="22"/>
      <c r="D914" s="85"/>
      <c r="E914" s="87"/>
      <c r="F914" s="85"/>
      <c r="G914" s="22"/>
      <c r="H914" s="88"/>
      <c r="J914" s="22"/>
      <c r="M914" s="89"/>
      <c r="N914" s="60"/>
      <c r="O914" s="90"/>
      <c r="P914" s="91"/>
      <c r="Q914" s="92"/>
      <c r="R914" s="68" t="str">
        <f t="shared" si="17"/>
        <v/>
      </c>
      <c r="S914" s="22"/>
    </row>
    <row r="915" spans="1:19" ht="18" customHeight="1">
      <c r="A915" s="85"/>
      <c r="B915" s="86"/>
      <c r="C915" s="22"/>
      <c r="D915" s="85"/>
      <c r="E915" s="87"/>
      <c r="F915" s="85"/>
      <c r="G915" s="22"/>
      <c r="H915" s="88"/>
      <c r="J915" s="22"/>
      <c r="M915" s="89"/>
      <c r="N915" s="60"/>
      <c r="O915" s="90"/>
      <c r="P915" s="91"/>
      <c r="Q915" s="92"/>
      <c r="R915" s="68" t="str">
        <f t="shared" si="17"/>
        <v/>
      </c>
      <c r="S915" s="22"/>
    </row>
    <row r="916" spans="1:19" ht="18" customHeight="1">
      <c r="A916" s="85"/>
      <c r="B916" s="86"/>
      <c r="C916" s="22"/>
      <c r="D916" s="85"/>
      <c r="E916" s="87"/>
      <c r="F916" s="85"/>
      <c r="G916" s="22"/>
      <c r="H916" s="88"/>
      <c r="J916" s="22"/>
      <c r="M916" s="89"/>
      <c r="N916" s="60"/>
      <c r="O916" s="90"/>
      <c r="P916" s="91"/>
      <c r="Q916" s="92"/>
      <c r="R916" s="68" t="str">
        <f t="shared" si="17"/>
        <v/>
      </c>
      <c r="S916" s="22"/>
    </row>
    <row r="917" spans="1:19" ht="18" customHeight="1">
      <c r="A917" s="85"/>
      <c r="B917" s="86"/>
      <c r="C917" s="22"/>
      <c r="D917" s="85"/>
      <c r="E917" s="87"/>
      <c r="F917" s="85"/>
      <c r="G917" s="22"/>
      <c r="H917" s="88"/>
      <c r="J917" s="22"/>
      <c r="M917" s="89"/>
      <c r="N917" s="60"/>
      <c r="O917" s="90"/>
      <c r="P917" s="91"/>
      <c r="Q917" s="92"/>
      <c r="R917" s="68" t="str">
        <f t="shared" si="17"/>
        <v/>
      </c>
      <c r="S917" s="22"/>
    </row>
    <row r="918" spans="1:19" ht="18" customHeight="1">
      <c r="A918" s="85"/>
      <c r="B918" s="86"/>
      <c r="C918" s="22"/>
      <c r="D918" s="85"/>
      <c r="E918" s="87"/>
      <c r="F918" s="85"/>
      <c r="G918" s="22"/>
      <c r="H918" s="88"/>
      <c r="J918" s="22"/>
      <c r="M918" s="89"/>
      <c r="N918" s="60"/>
      <c r="O918" s="90"/>
      <c r="P918" s="91"/>
      <c r="Q918" s="92"/>
      <c r="R918" s="68" t="str">
        <f t="shared" si="17"/>
        <v/>
      </c>
      <c r="S918" s="22"/>
    </row>
    <row r="919" spans="1:19" ht="18" customHeight="1">
      <c r="A919" s="85"/>
      <c r="B919" s="86"/>
      <c r="C919" s="22"/>
      <c r="D919" s="85"/>
      <c r="E919" s="87"/>
      <c r="F919" s="85"/>
      <c r="G919" s="22"/>
      <c r="H919" s="88"/>
      <c r="J919" s="22"/>
      <c r="M919" s="89"/>
      <c r="N919" s="60"/>
      <c r="O919" s="90"/>
      <c r="P919" s="91"/>
      <c r="Q919" s="92"/>
      <c r="R919" s="68" t="str">
        <f t="shared" si="17"/>
        <v/>
      </c>
      <c r="S919" s="22"/>
    </row>
    <row r="920" spans="1:19" ht="18" customHeight="1">
      <c r="A920" s="85"/>
      <c r="B920" s="86"/>
      <c r="C920" s="22"/>
      <c r="D920" s="85"/>
      <c r="E920" s="87"/>
      <c r="F920" s="85"/>
      <c r="G920" s="22"/>
      <c r="H920" s="88"/>
      <c r="J920" s="22"/>
      <c r="M920" s="89"/>
      <c r="N920" s="60"/>
      <c r="O920" s="90"/>
      <c r="P920" s="91"/>
      <c r="Q920" s="92"/>
      <c r="R920" s="68" t="str">
        <f t="shared" si="17"/>
        <v/>
      </c>
      <c r="S920" s="22"/>
    </row>
    <row r="921" spans="1:19" ht="18" customHeight="1">
      <c r="A921" s="85"/>
      <c r="B921" s="86"/>
      <c r="C921" s="22"/>
      <c r="D921" s="85"/>
      <c r="E921" s="87"/>
      <c r="F921" s="85"/>
      <c r="G921" s="22"/>
      <c r="H921" s="88"/>
      <c r="J921" s="22"/>
      <c r="M921" s="89"/>
      <c r="N921" s="60"/>
      <c r="O921" s="90"/>
      <c r="P921" s="91"/>
      <c r="Q921" s="92"/>
      <c r="R921" s="68" t="str">
        <f t="shared" si="17"/>
        <v/>
      </c>
      <c r="S921" s="22"/>
    </row>
    <row r="922" spans="1:19" ht="18" customHeight="1">
      <c r="A922" s="85"/>
      <c r="B922" s="86"/>
      <c r="C922" s="22"/>
      <c r="D922" s="85"/>
      <c r="E922" s="87"/>
      <c r="F922" s="85"/>
      <c r="G922" s="22"/>
      <c r="H922" s="88"/>
      <c r="J922" s="22"/>
      <c r="M922" s="89"/>
      <c r="N922" s="60"/>
      <c r="O922" s="90"/>
      <c r="P922" s="91"/>
      <c r="Q922" s="92"/>
      <c r="R922" s="68" t="str">
        <f t="shared" si="17"/>
        <v/>
      </c>
      <c r="S922" s="22"/>
    </row>
    <row r="923" spans="1:19" ht="18" customHeight="1">
      <c r="A923" s="85"/>
      <c r="B923" s="86"/>
      <c r="C923" s="22"/>
      <c r="D923" s="85"/>
      <c r="E923" s="87"/>
      <c r="F923" s="85"/>
      <c r="G923" s="22"/>
      <c r="H923" s="88"/>
      <c r="J923" s="22"/>
      <c r="M923" s="89"/>
      <c r="N923" s="60"/>
      <c r="O923" s="90"/>
      <c r="P923" s="91"/>
      <c r="Q923" s="92"/>
      <c r="R923" s="68" t="str">
        <f t="shared" si="17"/>
        <v/>
      </c>
      <c r="S923" s="22"/>
    </row>
    <row r="924" spans="1:19" ht="18" customHeight="1">
      <c r="A924" s="85"/>
      <c r="B924" s="86"/>
      <c r="C924" s="22"/>
      <c r="D924" s="85"/>
      <c r="E924" s="87"/>
      <c r="F924" s="85"/>
      <c r="G924" s="22"/>
      <c r="H924" s="88"/>
      <c r="J924" s="22"/>
      <c r="M924" s="89"/>
      <c r="N924" s="60"/>
      <c r="O924" s="90"/>
      <c r="P924" s="91"/>
      <c r="Q924" s="92"/>
      <c r="R924" s="68" t="str">
        <f t="shared" si="17"/>
        <v/>
      </c>
      <c r="S924" s="22"/>
    </row>
    <row r="925" spans="1:19" ht="18" customHeight="1">
      <c r="A925" s="85"/>
      <c r="B925" s="86"/>
      <c r="C925" s="22"/>
      <c r="D925" s="85"/>
      <c r="E925" s="87"/>
      <c r="F925" s="85"/>
      <c r="G925" s="22"/>
      <c r="H925" s="88"/>
      <c r="J925" s="22"/>
      <c r="M925" s="89"/>
      <c r="N925" s="60"/>
      <c r="O925" s="90"/>
      <c r="P925" s="91"/>
      <c r="Q925" s="92"/>
      <c r="R925" s="68" t="str">
        <f t="shared" si="17"/>
        <v/>
      </c>
      <c r="S925" s="22"/>
    </row>
    <row r="926" spans="1:19" ht="18" customHeight="1">
      <c r="A926" s="85"/>
      <c r="B926" s="86"/>
      <c r="C926" s="22"/>
      <c r="D926" s="85"/>
      <c r="E926" s="87"/>
      <c r="F926" s="85"/>
      <c r="G926" s="22"/>
      <c r="H926" s="88"/>
      <c r="J926" s="22"/>
      <c r="M926" s="89"/>
      <c r="N926" s="60"/>
      <c r="O926" s="90"/>
      <c r="P926" s="91"/>
      <c r="Q926" s="92"/>
      <c r="R926" s="68" t="str">
        <f t="shared" si="17"/>
        <v/>
      </c>
      <c r="S926" s="22"/>
    </row>
    <row r="927" spans="1:19" ht="18" customHeight="1">
      <c r="A927" s="85"/>
      <c r="B927" s="86"/>
      <c r="C927" s="22"/>
      <c r="D927" s="85"/>
      <c r="E927" s="87"/>
      <c r="F927" s="85"/>
      <c r="G927" s="22"/>
      <c r="H927" s="88"/>
      <c r="J927" s="22"/>
      <c r="M927" s="89"/>
      <c r="N927" s="60"/>
      <c r="O927" s="90"/>
      <c r="P927" s="91"/>
      <c r="Q927" s="92"/>
      <c r="R927" s="68" t="str">
        <f t="shared" si="17"/>
        <v/>
      </c>
      <c r="S927" s="22"/>
    </row>
    <row r="928" spans="1:19" ht="18" customHeight="1">
      <c r="A928" s="85"/>
      <c r="B928" s="86"/>
      <c r="C928" s="22"/>
      <c r="D928" s="85"/>
      <c r="E928" s="87"/>
      <c r="F928" s="85"/>
      <c r="G928" s="22"/>
      <c r="H928" s="88"/>
      <c r="J928" s="22"/>
      <c r="M928" s="89"/>
      <c r="N928" s="60"/>
      <c r="O928" s="90"/>
      <c r="P928" s="91"/>
      <c r="Q928" s="92"/>
      <c r="R928" s="68" t="str">
        <f t="shared" si="17"/>
        <v/>
      </c>
      <c r="S928" s="22"/>
    </row>
    <row r="929" spans="1:19" ht="18" customHeight="1">
      <c r="A929" s="85"/>
      <c r="B929" s="86"/>
      <c r="C929" s="22"/>
      <c r="D929" s="85"/>
      <c r="E929" s="87"/>
      <c r="F929" s="85"/>
      <c r="G929" s="22"/>
      <c r="H929" s="88"/>
      <c r="J929" s="22"/>
      <c r="M929" s="89"/>
      <c r="N929" s="60"/>
      <c r="O929" s="90"/>
      <c r="P929" s="91"/>
      <c r="Q929" s="92"/>
      <c r="R929" s="68" t="str">
        <f t="shared" si="17"/>
        <v/>
      </c>
      <c r="S929" s="22"/>
    </row>
    <row r="930" spans="1:19" ht="18" customHeight="1">
      <c r="A930" s="85"/>
      <c r="B930" s="86"/>
      <c r="C930" s="22"/>
      <c r="D930" s="85"/>
      <c r="E930" s="87"/>
      <c r="F930" s="85"/>
      <c r="G930" s="22"/>
      <c r="H930" s="88"/>
      <c r="J930" s="22"/>
      <c r="M930" s="89"/>
      <c r="N930" s="60"/>
      <c r="O930" s="90"/>
      <c r="P930" s="91"/>
      <c r="Q930" s="92"/>
      <c r="R930" s="68" t="str">
        <f t="shared" si="17"/>
        <v/>
      </c>
      <c r="S930" s="22"/>
    </row>
    <row r="931" spans="1:19" ht="18" customHeight="1">
      <c r="A931" s="85"/>
      <c r="B931" s="86"/>
      <c r="C931" s="22"/>
      <c r="D931" s="85"/>
      <c r="E931" s="87"/>
      <c r="F931" s="85"/>
      <c r="G931" s="22"/>
      <c r="H931" s="88"/>
      <c r="J931" s="22"/>
      <c r="M931" s="89"/>
      <c r="N931" s="60"/>
      <c r="O931" s="90"/>
      <c r="P931" s="91"/>
      <c r="Q931" s="92"/>
      <c r="R931" s="68" t="str">
        <f t="shared" si="17"/>
        <v/>
      </c>
      <c r="S931" s="22"/>
    </row>
    <row r="932" spans="1:19" ht="18" customHeight="1">
      <c r="A932" s="85"/>
      <c r="B932" s="86"/>
      <c r="C932" s="22"/>
      <c r="D932" s="85"/>
      <c r="E932" s="87"/>
      <c r="F932" s="85"/>
      <c r="G932" s="22"/>
      <c r="H932" s="88"/>
      <c r="J932" s="22"/>
      <c r="M932" s="89"/>
      <c r="N932" s="60"/>
      <c r="O932" s="90"/>
      <c r="P932" s="91"/>
      <c r="Q932" s="92"/>
      <c r="R932" s="68" t="str">
        <f t="shared" si="17"/>
        <v/>
      </c>
      <c r="S932" s="22"/>
    </row>
    <row r="933" spans="1:19" ht="18" customHeight="1">
      <c r="A933" s="85"/>
      <c r="B933" s="86"/>
      <c r="C933" s="22"/>
      <c r="D933" s="85"/>
      <c r="E933" s="87"/>
      <c r="F933" s="85"/>
      <c r="G933" s="22"/>
      <c r="H933" s="88"/>
      <c r="J933" s="22"/>
      <c r="M933" s="89"/>
      <c r="N933" s="60"/>
      <c r="O933" s="90"/>
      <c r="P933" s="91"/>
      <c r="Q933" s="92"/>
      <c r="R933" s="68" t="str">
        <f t="shared" si="17"/>
        <v/>
      </c>
      <c r="S933" s="22"/>
    </row>
    <row r="934" spans="1:19" ht="18" customHeight="1">
      <c r="A934" s="85"/>
      <c r="B934" s="86"/>
      <c r="C934" s="22"/>
      <c r="D934" s="85"/>
      <c r="E934" s="87"/>
      <c r="F934" s="85"/>
      <c r="G934" s="22"/>
      <c r="H934" s="88"/>
      <c r="J934" s="22"/>
      <c r="M934" s="89"/>
      <c r="N934" s="60"/>
      <c r="O934" s="90"/>
      <c r="P934" s="91"/>
      <c r="Q934" s="92"/>
      <c r="R934" s="68" t="str">
        <f t="shared" si="17"/>
        <v/>
      </c>
      <c r="S934" s="22"/>
    </row>
    <row r="935" spans="1:19" ht="18" customHeight="1">
      <c r="A935" s="85"/>
      <c r="B935" s="86"/>
      <c r="C935" s="22"/>
      <c r="D935" s="85"/>
      <c r="E935" s="87"/>
      <c r="F935" s="85"/>
      <c r="G935" s="22"/>
      <c r="H935" s="88"/>
      <c r="J935" s="22"/>
      <c r="M935" s="89"/>
      <c r="N935" s="60"/>
      <c r="O935" s="90"/>
      <c r="P935" s="91"/>
      <c r="Q935" s="92"/>
      <c r="R935" s="68" t="str">
        <f t="shared" si="17"/>
        <v/>
      </c>
      <c r="S935" s="22"/>
    </row>
    <row r="936" spans="1:19" ht="18" customHeight="1">
      <c r="A936" s="85"/>
      <c r="B936" s="86"/>
      <c r="C936" s="22"/>
      <c r="D936" s="85"/>
      <c r="E936" s="87"/>
      <c r="F936" s="85"/>
      <c r="G936" s="22"/>
      <c r="H936" s="88"/>
      <c r="J936" s="22"/>
      <c r="M936" s="89"/>
      <c r="N936" s="60"/>
      <c r="O936" s="90"/>
      <c r="P936" s="91"/>
      <c r="Q936" s="92"/>
      <c r="R936" s="68" t="str">
        <f t="shared" si="17"/>
        <v/>
      </c>
      <c r="S936" s="22"/>
    </row>
    <row r="937" spans="1:19" ht="18" customHeight="1">
      <c r="A937" s="85"/>
      <c r="B937" s="86"/>
      <c r="C937" s="22"/>
      <c r="D937" s="85"/>
      <c r="E937" s="87"/>
      <c r="F937" s="85"/>
      <c r="G937" s="22"/>
      <c r="H937" s="88"/>
      <c r="J937" s="22"/>
      <c r="M937" s="89"/>
      <c r="N937" s="60"/>
      <c r="O937" s="90"/>
      <c r="P937" s="91"/>
      <c r="Q937" s="92"/>
      <c r="R937" s="68" t="str">
        <f t="shared" si="17"/>
        <v/>
      </c>
      <c r="S937" s="22"/>
    </row>
    <row r="938" spans="1:19" ht="18" customHeight="1">
      <c r="A938" s="85"/>
      <c r="B938" s="86"/>
      <c r="C938" s="22"/>
      <c r="D938" s="85"/>
      <c r="E938" s="87"/>
      <c r="F938" s="85"/>
      <c r="G938" s="22"/>
      <c r="H938" s="88"/>
      <c r="J938" s="22"/>
      <c r="M938" s="89"/>
      <c r="N938" s="60"/>
      <c r="O938" s="90"/>
      <c r="P938" s="91"/>
      <c r="Q938" s="92"/>
      <c r="R938" s="68" t="str">
        <f t="shared" si="17"/>
        <v/>
      </c>
      <c r="S938" s="22"/>
    </row>
    <row r="939" spans="1:19" ht="18" customHeight="1">
      <c r="A939" s="85"/>
      <c r="B939" s="86"/>
      <c r="C939" s="22"/>
      <c r="D939" s="85"/>
      <c r="E939" s="87"/>
      <c r="F939" s="85"/>
      <c r="G939" s="22"/>
      <c r="H939" s="88"/>
      <c r="J939" s="22"/>
      <c r="M939" s="89"/>
      <c r="N939" s="60"/>
      <c r="O939" s="90"/>
      <c r="P939" s="91"/>
      <c r="Q939" s="92"/>
      <c r="R939" s="68" t="str">
        <f t="shared" si="17"/>
        <v/>
      </c>
      <c r="S939" s="22"/>
    </row>
    <row r="940" spans="1:19" ht="18" customHeight="1">
      <c r="A940" s="85"/>
      <c r="B940" s="86"/>
      <c r="C940" s="22"/>
      <c r="D940" s="85"/>
      <c r="E940" s="87"/>
      <c r="F940" s="85"/>
      <c r="G940" s="22"/>
      <c r="H940" s="88"/>
      <c r="J940" s="22"/>
      <c r="M940" s="89"/>
      <c r="N940" s="60"/>
      <c r="O940" s="90"/>
      <c r="P940" s="91"/>
      <c r="Q940" s="92"/>
      <c r="R940" s="68" t="str">
        <f t="shared" si="17"/>
        <v/>
      </c>
      <c r="S940" s="22"/>
    </row>
    <row r="941" spans="1:19" ht="18" customHeight="1">
      <c r="A941" s="85"/>
      <c r="B941" s="86"/>
      <c r="C941" s="22"/>
      <c r="D941" s="85"/>
      <c r="E941" s="87"/>
      <c r="F941" s="85"/>
      <c r="G941" s="22"/>
      <c r="H941" s="88"/>
      <c r="J941" s="22"/>
      <c r="M941" s="89"/>
      <c r="N941" s="60"/>
      <c r="O941" s="90"/>
      <c r="P941" s="91"/>
      <c r="Q941" s="92"/>
      <c r="R941" s="68" t="str">
        <f t="shared" si="17"/>
        <v/>
      </c>
      <c r="S941" s="22"/>
    </row>
    <row r="942" spans="1:19" ht="18" customHeight="1">
      <c r="A942" s="85"/>
      <c r="B942" s="86"/>
      <c r="C942" s="22"/>
      <c r="D942" s="85"/>
      <c r="E942" s="87"/>
      <c r="F942" s="85"/>
      <c r="G942" s="22"/>
      <c r="H942" s="88"/>
      <c r="J942" s="22"/>
      <c r="M942" s="89"/>
      <c r="N942" s="60"/>
      <c r="O942" s="90"/>
      <c r="P942" s="91"/>
      <c r="Q942" s="92"/>
      <c r="R942" s="68" t="str">
        <f t="shared" si="17"/>
        <v/>
      </c>
      <c r="S942" s="22"/>
    </row>
    <row r="943" spans="1:19" ht="18" customHeight="1">
      <c r="A943" s="85"/>
      <c r="B943" s="86"/>
      <c r="C943" s="22"/>
      <c r="D943" s="85"/>
      <c r="E943" s="87"/>
      <c r="F943" s="85"/>
      <c r="G943" s="22"/>
      <c r="H943" s="88"/>
      <c r="J943" s="22"/>
      <c r="M943" s="89"/>
      <c r="N943" s="60"/>
      <c r="O943" s="90"/>
      <c r="P943" s="91"/>
      <c r="Q943" s="92"/>
      <c r="R943" s="68" t="str">
        <f t="shared" si="17"/>
        <v/>
      </c>
      <c r="S943" s="22"/>
    </row>
    <row r="944" spans="1:19" ht="18" customHeight="1">
      <c r="A944" s="85"/>
      <c r="B944" s="86"/>
      <c r="C944" s="22"/>
      <c r="D944" s="85"/>
      <c r="E944" s="87"/>
      <c r="F944" s="85"/>
      <c r="G944" s="22"/>
      <c r="H944" s="88"/>
      <c r="J944" s="22"/>
      <c r="M944" s="89"/>
      <c r="N944" s="60"/>
      <c r="O944" s="90"/>
      <c r="P944" s="91"/>
      <c r="Q944" s="92"/>
      <c r="R944" s="68" t="str">
        <f t="shared" si="17"/>
        <v/>
      </c>
      <c r="S944" s="22"/>
    </row>
    <row r="945" spans="1:19" ht="18" customHeight="1">
      <c r="A945" s="85"/>
      <c r="B945" s="86"/>
      <c r="C945" s="22"/>
      <c r="D945" s="85"/>
      <c r="E945" s="87"/>
      <c r="F945" s="85"/>
      <c r="G945" s="22"/>
      <c r="H945" s="88"/>
      <c r="J945" s="22"/>
      <c r="M945" s="89"/>
      <c r="N945" s="60"/>
      <c r="O945" s="90"/>
      <c r="P945" s="91"/>
      <c r="Q945" s="92"/>
      <c r="R945" s="68" t="str">
        <f t="shared" si="17"/>
        <v/>
      </c>
      <c r="S945" s="22"/>
    </row>
    <row r="946" spans="1:19" ht="18" customHeight="1">
      <c r="A946" s="85"/>
      <c r="B946" s="86"/>
      <c r="C946" s="22"/>
      <c r="D946" s="85"/>
      <c r="E946" s="87"/>
      <c r="F946" s="85"/>
      <c r="G946" s="22"/>
      <c r="H946" s="88"/>
      <c r="J946" s="22"/>
      <c r="M946" s="89"/>
      <c r="N946" s="60"/>
      <c r="O946" s="90"/>
      <c r="P946" s="91"/>
      <c r="Q946" s="92"/>
      <c r="R946" s="68" t="str">
        <f t="shared" si="17"/>
        <v/>
      </c>
      <c r="S946" s="22"/>
    </row>
    <row r="947" spans="1:19" ht="18" customHeight="1">
      <c r="A947" s="85"/>
      <c r="B947" s="86"/>
      <c r="C947" s="22"/>
      <c r="D947" s="85"/>
      <c r="E947" s="87"/>
      <c r="F947" s="85"/>
      <c r="G947" s="22"/>
      <c r="H947" s="88"/>
      <c r="J947" s="22"/>
      <c r="M947" s="89"/>
      <c r="N947" s="60"/>
      <c r="O947" s="90"/>
      <c r="P947" s="91"/>
      <c r="Q947" s="92"/>
      <c r="R947" s="68" t="str">
        <f t="shared" si="17"/>
        <v/>
      </c>
      <c r="S947" s="22"/>
    </row>
    <row r="948" spans="1:19" ht="18" customHeight="1">
      <c r="A948" s="85"/>
      <c r="B948" s="86"/>
      <c r="C948" s="22"/>
      <c r="D948" s="85"/>
      <c r="E948" s="87"/>
      <c r="F948" s="85"/>
      <c r="G948" s="22"/>
      <c r="H948" s="88"/>
      <c r="J948" s="22"/>
      <c r="M948" s="89"/>
      <c r="N948" s="60"/>
      <c r="O948" s="90"/>
      <c r="P948" s="91"/>
      <c r="Q948" s="92"/>
      <c r="R948" s="68" t="str">
        <f t="shared" ref="R948:R1011" si="18">IF(SUM(Q948)&gt;0,SUM(Q948-P948),"")</f>
        <v/>
      </c>
      <c r="S948" s="22"/>
    </row>
    <row r="949" spans="1:19" ht="18" customHeight="1">
      <c r="A949" s="85"/>
      <c r="B949" s="86"/>
      <c r="C949" s="22"/>
      <c r="D949" s="85"/>
      <c r="E949" s="87"/>
      <c r="F949" s="85"/>
      <c r="G949" s="22"/>
      <c r="H949" s="88"/>
      <c r="J949" s="22"/>
      <c r="M949" s="89"/>
      <c r="N949" s="60"/>
      <c r="O949" s="90"/>
      <c r="P949" s="91"/>
      <c r="Q949" s="92"/>
      <c r="R949" s="68" t="str">
        <f t="shared" si="18"/>
        <v/>
      </c>
      <c r="S949" s="22"/>
    </row>
    <row r="950" spans="1:19" ht="18" customHeight="1">
      <c r="A950" s="85"/>
      <c r="B950" s="86"/>
      <c r="C950" s="22"/>
      <c r="D950" s="85"/>
      <c r="E950" s="87"/>
      <c r="F950" s="85"/>
      <c r="G950" s="22"/>
      <c r="H950" s="88"/>
      <c r="J950" s="22"/>
      <c r="M950" s="89"/>
      <c r="N950" s="60"/>
      <c r="O950" s="90"/>
      <c r="P950" s="91"/>
      <c r="Q950" s="92"/>
      <c r="R950" s="68" t="str">
        <f t="shared" si="18"/>
        <v/>
      </c>
      <c r="S950" s="22"/>
    </row>
    <row r="951" spans="1:19" ht="18" customHeight="1">
      <c r="A951" s="85"/>
      <c r="B951" s="86"/>
      <c r="C951" s="22"/>
      <c r="D951" s="85"/>
      <c r="E951" s="87"/>
      <c r="F951" s="85"/>
      <c r="G951" s="22"/>
      <c r="H951" s="88"/>
      <c r="J951" s="22"/>
      <c r="M951" s="89"/>
      <c r="N951" s="60"/>
      <c r="O951" s="90"/>
      <c r="P951" s="91"/>
      <c r="Q951" s="92"/>
      <c r="R951" s="68" t="str">
        <f t="shared" si="18"/>
        <v/>
      </c>
      <c r="S951" s="22"/>
    </row>
    <row r="952" spans="1:19" ht="18" customHeight="1">
      <c r="A952" s="85"/>
      <c r="B952" s="86"/>
      <c r="C952" s="22"/>
      <c r="D952" s="85"/>
      <c r="E952" s="87"/>
      <c r="F952" s="85"/>
      <c r="G952" s="22"/>
      <c r="H952" s="88"/>
      <c r="J952" s="22"/>
      <c r="M952" s="89"/>
      <c r="N952" s="60"/>
      <c r="O952" s="90"/>
      <c r="P952" s="91"/>
      <c r="Q952" s="92"/>
      <c r="R952" s="68" t="str">
        <f t="shared" si="18"/>
        <v/>
      </c>
      <c r="S952" s="22"/>
    </row>
    <row r="953" spans="1:19" ht="18" customHeight="1">
      <c r="A953" s="85"/>
      <c r="B953" s="86"/>
      <c r="C953" s="22"/>
      <c r="D953" s="85"/>
      <c r="E953" s="87"/>
      <c r="F953" s="85"/>
      <c r="G953" s="22"/>
      <c r="H953" s="88"/>
      <c r="J953" s="22"/>
      <c r="M953" s="89"/>
      <c r="N953" s="60"/>
      <c r="O953" s="90"/>
      <c r="P953" s="91"/>
      <c r="Q953" s="92"/>
      <c r="R953" s="68" t="str">
        <f t="shared" si="18"/>
        <v/>
      </c>
      <c r="S953" s="22"/>
    </row>
    <row r="954" spans="1:19" ht="18" customHeight="1">
      <c r="A954" s="85"/>
      <c r="B954" s="86"/>
      <c r="C954" s="22"/>
      <c r="D954" s="85"/>
      <c r="E954" s="87"/>
      <c r="F954" s="85"/>
      <c r="G954" s="22"/>
      <c r="H954" s="88"/>
      <c r="J954" s="22"/>
      <c r="M954" s="89"/>
      <c r="N954" s="60"/>
      <c r="O954" s="90"/>
      <c r="P954" s="91"/>
      <c r="Q954" s="92"/>
      <c r="R954" s="68" t="str">
        <f t="shared" si="18"/>
        <v/>
      </c>
      <c r="S954" s="22"/>
    </row>
    <row r="955" spans="1:19" ht="18" customHeight="1">
      <c r="A955" s="85"/>
      <c r="B955" s="86"/>
      <c r="C955" s="22"/>
      <c r="D955" s="85"/>
      <c r="E955" s="87"/>
      <c r="F955" s="85"/>
      <c r="G955" s="22"/>
      <c r="H955" s="88"/>
      <c r="J955" s="22"/>
      <c r="M955" s="89"/>
      <c r="N955" s="60"/>
      <c r="O955" s="90"/>
      <c r="P955" s="91"/>
      <c r="Q955" s="92"/>
      <c r="R955" s="68" t="str">
        <f t="shared" si="18"/>
        <v/>
      </c>
      <c r="S955" s="22"/>
    </row>
    <row r="956" spans="1:19" ht="18" customHeight="1">
      <c r="A956" s="85"/>
      <c r="B956" s="86"/>
      <c r="C956" s="22"/>
      <c r="D956" s="85"/>
      <c r="E956" s="87"/>
      <c r="F956" s="85"/>
      <c r="G956" s="22"/>
      <c r="H956" s="88"/>
      <c r="J956" s="22"/>
      <c r="M956" s="89"/>
      <c r="N956" s="60"/>
      <c r="O956" s="90"/>
      <c r="P956" s="91"/>
      <c r="Q956" s="92"/>
      <c r="R956" s="68" t="str">
        <f t="shared" si="18"/>
        <v/>
      </c>
      <c r="S956" s="22"/>
    </row>
    <row r="957" spans="1:19" ht="18" customHeight="1">
      <c r="A957" s="85"/>
      <c r="B957" s="86"/>
      <c r="C957" s="22"/>
      <c r="D957" s="85"/>
      <c r="E957" s="87"/>
      <c r="F957" s="85"/>
      <c r="G957" s="22"/>
      <c r="H957" s="88"/>
      <c r="J957" s="22"/>
      <c r="M957" s="89"/>
      <c r="N957" s="60"/>
      <c r="O957" s="90"/>
      <c r="P957" s="91"/>
      <c r="Q957" s="92"/>
      <c r="R957" s="68" t="str">
        <f t="shared" si="18"/>
        <v/>
      </c>
      <c r="S957" s="22"/>
    </row>
    <row r="958" spans="1:19" ht="18" customHeight="1">
      <c r="A958" s="85"/>
      <c r="B958" s="86"/>
      <c r="C958" s="22"/>
      <c r="D958" s="85"/>
      <c r="E958" s="87"/>
      <c r="F958" s="85"/>
      <c r="G958" s="22"/>
      <c r="H958" s="88"/>
      <c r="J958" s="22"/>
      <c r="M958" s="89"/>
      <c r="N958" s="60"/>
      <c r="O958" s="90"/>
      <c r="P958" s="91"/>
      <c r="Q958" s="92"/>
      <c r="R958" s="68" t="str">
        <f t="shared" si="18"/>
        <v/>
      </c>
      <c r="S958" s="22"/>
    </row>
    <row r="959" spans="1:19" ht="18" customHeight="1">
      <c r="A959" s="85"/>
      <c r="B959" s="86"/>
      <c r="C959" s="22"/>
      <c r="D959" s="85"/>
      <c r="E959" s="87"/>
      <c r="F959" s="85"/>
      <c r="G959" s="22"/>
      <c r="H959" s="88"/>
      <c r="J959" s="22"/>
      <c r="M959" s="89"/>
      <c r="N959" s="60"/>
      <c r="O959" s="90"/>
      <c r="P959" s="91"/>
      <c r="Q959" s="92"/>
      <c r="R959" s="68" t="str">
        <f t="shared" si="18"/>
        <v/>
      </c>
      <c r="S959" s="22"/>
    </row>
    <row r="960" spans="1:19" ht="18" customHeight="1">
      <c r="A960" s="85"/>
      <c r="B960" s="86"/>
      <c r="C960" s="22"/>
      <c r="D960" s="85"/>
      <c r="E960" s="87"/>
      <c r="F960" s="85"/>
      <c r="G960" s="22"/>
      <c r="H960" s="88"/>
      <c r="J960" s="22"/>
      <c r="M960" s="89"/>
      <c r="N960" s="60"/>
      <c r="O960" s="90"/>
      <c r="P960" s="91"/>
      <c r="Q960" s="92"/>
      <c r="R960" s="68" t="str">
        <f t="shared" si="18"/>
        <v/>
      </c>
      <c r="S960" s="22"/>
    </row>
    <row r="961" spans="1:19" ht="18" customHeight="1">
      <c r="A961" s="85"/>
      <c r="B961" s="86"/>
      <c r="C961" s="22"/>
      <c r="D961" s="85"/>
      <c r="E961" s="87"/>
      <c r="F961" s="85"/>
      <c r="G961" s="22"/>
      <c r="H961" s="88"/>
      <c r="J961" s="22"/>
      <c r="M961" s="89"/>
      <c r="N961" s="60"/>
      <c r="O961" s="90"/>
      <c r="P961" s="91"/>
      <c r="Q961" s="92"/>
      <c r="R961" s="68" t="str">
        <f t="shared" si="18"/>
        <v/>
      </c>
      <c r="S961" s="22"/>
    </row>
    <row r="962" spans="1:19" ht="18" customHeight="1">
      <c r="A962" s="85"/>
      <c r="B962" s="86"/>
      <c r="C962" s="22"/>
      <c r="D962" s="85"/>
      <c r="E962" s="87"/>
      <c r="F962" s="85"/>
      <c r="G962" s="22"/>
      <c r="H962" s="88"/>
      <c r="J962" s="22"/>
      <c r="M962" s="89"/>
      <c r="N962" s="60"/>
      <c r="O962" s="90"/>
      <c r="P962" s="91"/>
      <c r="Q962" s="92"/>
      <c r="R962" s="68" t="str">
        <f t="shared" si="18"/>
        <v/>
      </c>
      <c r="S962" s="22"/>
    </row>
    <row r="963" spans="1:19" ht="18" customHeight="1">
      <c r="A963" s="85"/>
      <c r="B963" s="86"/>
      <c r="C963" s="22"/>
      <c r="D963" s="85"/>
      <c r="E963" s="87"/>
      <c r="F963" s="85"/>
      <c r="G963" s="22"/>
      <c r="H963" s="88"/>
      <c r="J963" s="22"/>
      <c r="M963" s="89"/>
      <c r="N963" s="60"/>
      <c r="O963" s="90"/>
      <c r="P963" s="91"/>
      <c r="Q963" s="92"/>
      <c r="R963" s="68" t="str">
        <f t="shared" si="18"/>
        <v/>
      </c>
      <c r="S963" s="22"/>
    </row>
    <row r="964" spans="1:19" ht="18" customHeight="1">
      <c r="A964" s="85"/>
      <c r="B964" s="86"/>
      <c r="C964" s="22"/>
      <c r="D964" s="85"/>
      <c r="E964" s="87"/>
      <c r="F964" s="85"/>
      <c r="G964" s="22"/>
      <c r="H964" s="88"/>
      <c r="J964" s="22"/>
      <c r="M964" s="89"/>
      <c r="N964" s="60"/>
      <c r="O964" s="90"/>
      <c r="P964" s="91"/>
      <c r="Q964" s="92"/>
      <c r="R964" s="68" t="str">
        <f t="shared" si="18"/>
        <v/>
      </c>
      <c r="S964" s="22"/>
    </row>
    <row r="965" spans="1:19" ht="18" customHeight="1">
      <c r="A965" s="85"/>
      <c r="B965" s="86"/>
      <c r="C965" s="22"/>
      <c r="D965" s="85"/>
      <c r="E965" s="87"/>
      <c r="F965" s="85"/>
      <c r="G965" s="22"/>
      <c r="H965" s="88"/>
      <c r="J965" s="22"/>
      <c r="M965" s="89"/>
      <c r="N965" s="60"/>
      <c r="O965" s="90"/>
      <c r="P965" s="91"/>
      <c r="Q965" s="92"/>
      <c r="R965" s="68" t="str">
        <f t="shared" si="18"/>
        <v/>
      </c>
      <c r="S965" s="22"/>
    </row>
    <row r="966" spans="1:19" ht="18" customHeight="1">
      <c r="A966" s="85"/>
      <c r="B966" s="86"/>
      <c r="C966" s="22"/>
      <c r="D966" s="85"/>
      <c r="E966" s="87"/>
      <c r="F966" s="85"/>
      <c r="G966" s="22"/>
      <c r="H966" s="88"/>
      <c r="J966" s="22"/>
      <c r="M966" s="89"/>
      <c r="N966" s="60"/>
      <c r="O966" s="90"/>
      <c r="P966" s="91"/>
      <c r="Q966" s="92"/>
      <c r="R966" s="68" t="str">
        <f t="shared" si="18"/>
        <v/>
      </c>
      <c r="S966" s="22"/>
    </row>
    <row r="967" spans="1:19" ht="18" customHeight="1">
      <c r="A967" s="85"/>
      <c r="B967" s="86"/>
      <c r="C967" s="22"/>
      <c r="D967" s="85"/>
      <c r="E967" s="87"/>
      <c r="F967" s="85"/>
      <c r="G967" s="22"/>
      <c r="H967" s="88"/>
      <c r="J967" s="22"/>
      <c r="M967" s="89"/>
      <c r="N967" s="60"/>
      <c r="O967" s="90"/>
      <c r="P967" s="91"/>
      <c r="Q967" s="92"/>
      <c r="R967" s="68" t="str">
        <f t="shared" si="18"/>
        <v/>
      </c>
      <c r="S967" s="22"/>
    </row>
    <row r="968" spans="1:19" ht="18" customHeight="1">
      <c r="A968" s="85"/>
      <c r="B968" s="86"/>
      <c r="C968" s="22"/>
      <c r="D968" s="85"/>
      <c r="E968" s="87"/>
      <c r="F968" s="85"/>
      <c r="G968" s="22"/>
      <c r="H968" s="88"/>
      <c r="J968" s="22"/>
      <c r="M968" s="89"/>
      <c r="N968" s="60"/>
      <c r="O968" s="90"/>
      <c r="P968" s="91"/>
      <c r="Q968" s="92"/>
      <c r="R968" s="68" t="str">
        <f t="shared" si="18"/>
        <v/>
      </c>
      <c r="S968" s="22"/>
    </row>
    <row r="969" spans="1:19" ht="18" customHeight="1">
      <c r="A969" s="85"/>
      <c r="B969" s="86"/>
      <c r="C969" s="22"/>
      <c r="D969" s="85"/>
      <c r="E969" s="87"/>
      <c r="F969" s="85"/>
      <c r="G969" s="22"/>
      <c r="H969" s="88"/>
      <c r="J969" s="22"/>
      <c r="M969" s="89"/>
      <c r="N969" s="60"/>
      <c r="O969" s="90"/>
      <c r="P969" s="91"/>
      <c r="Q969" s="92"/>
      <c r="R969" s="68" t="str">
        <f t="shared" si="18"/>
        <v/>
      </c>
      <c r="S969" s="22"/>
    </row>
    <row r="970" spans="1:19" ht="18" customHeight="1">
      <c r="A970" s="85"/>
      <c r="B970" s="86"/>
      <c r="C970" s="22"/>
      <c r="D970" s="85"/>
      <c r="E970" s="87"/>
      <c r="F970" s="85"/>
      <c r="G970" s="22"/>
      <c r="H970" s="88"/>
      <c r="J970" s="22"/>
      <c r="M970" s="89"/>
      <c r="N970" s="60"/>
      <c r="O970" s="90"/>
      <c r="P970" s="91"/>
      <c r="Q970" s="92"/>
      <c r="R970" s="68" t="str">
        <f t="shared" si="18"/>
        <v/>
      </c>
      <c r="S970" s="22"/>
    </row>
    <row r="971" spans="1:19" ht="18" customHeight="1">
      <c r="A971" s="85"/>
      <c r="B971" s="86"/>
      <c r="C971" s="22"/>
      <c r="D971" s="85"/>
      <c r="E971" s="87"/>
      <c r="F971" s="85"/>
      <c r="G971" s="22"/>
      <c r="H971" s="88"/>
      <c r="J971" s="22"/>
      <c r="M971" s="89"/>
      <c r="N971" s="60"/>
      <c r="O971" s="90"/>
      <c r="P971" s="91"/>
      <c r="Q971" s="92"/>
      <c r="R971" s="68" t="str">
        <f t="shared" si="18"/>
        <v/>
      </c>
      <c r="S971" s="22"/>
    </row>
    <row r="972" spans="1:19" ht="18" customHeight="1">
      <c r="A972" s="85"/>
      <c r="B972" s="86"/>
      <c r="C972" s="22"/>
      <c r="D972" s="85"/>
      <c r="E972" s="87"/>
      <c r="F972" s="85"/>
      <c r="G972" s="22"/>
      <c r="H972" s="88"/>
      <c r="J972" s="22"/>
      <c r="M972" s="89"/>
      <c r="N972" s="60"/>
      <c r="O972" s="90"/>
      <c r="P972" s="91"/>
      <c r="Q972" s="92"/>
      <c r="R972" s="68" t="str">
        <f t="shared" si="18"/>
        <v/>
      </c>
      <c r="S972" s="22"/>
    </row>
    <row r="973" spans="1:19" ht="18" customHeight="1">
      <c r="A973" s="85"/>
      <c r="B973" s="86"/>
      <c r="C973" s="22"/>
      <c r="D973" s="85"/>
      <c r="E973" s="87"/>
      <c r="F973" s="85"/>
      <c r="G973" s="22"/>
      <c r="H973" s="88"/>
      <c r="J973" s="22"/>
      <c r="M973" s="89"/>
      <c r="N973" s="60"/>
      <c r="O973" s="90"/>
      <c r="P973" s="91"/>
      <c r="Q973" s="92"/>
      <c r="R973" s="68" t="str">
        <f t="shared" si="18"/>
        <v/>
      </c>
      <c r="S973" s="22"/>
    </row>
    <row r="974" spans="1:19" ht="18" customHeight="1">
      <c r="A974" s="85"/>
      <c r="B974" s="86"/>
      <c r="C974" s="22"/>
      <c r="D974" s="85"/>
      <c r="E974" s="87"/>
      <c r="F974" s="85"/>
      <c r="G974" s="22"/>
      <c r="H974" s="88"/>
      <c r="J974" s="22"/>
      <c r="M974" s="89"/>
      <c r="N974" s="60"/>
      <c r="O974" s="90"/>
      <c r="P974" s="91"/>
      <c r="Q974" s="92"/>
      <c r="R974" s="68" t="str">
        <f t="shared" si="18"/>
        <v/>
      </c>
      <c r="S974" s="22"/>
    </row>
    <row r="975" spans="1:19" ht="18" customHeight="1">
      <c r="A975" s="85"/>
      <c r="B975" s="86"/>
      <c r="C975" s="22"/>
      <c r="D975" s="85"/>
      <c r="E975" s="87"/>
      <c r="F975" s="85"/>
      <c r="G975" s="22"/>
      <c r="H975" s="88"/>
      <c r="J975" s="22"/>
      <c r="M975" s="89"/>
      <c r="N975" s="60"/>
      <c r="O975" s="90"/>
      <c r="P975" s="91"/>
      <c r="Q975" s="92"/>
      <c r="R975" s="68" t="str">
        <f t="shared" si="18"/>
        <v/>
      </c>
      <c r="S975" s="22"/>
    </row>
    <row r="976" spans="1:19" ht="18" customHeight="1">
      <c r="A976" s="85"/>
      <c r="B976" s="86"/>
      <c r="C976" s="22"/>
      <c r="D976" s="85"/>
      <c r="E976" s="87"/>
      <c r="F976" s="85"/>
      <c r="G976" s="22"/>
      <c r="H976" s="88"/>
      <c r="J976" s="22"/>
      <c r="M976" s="89"/>
      <c r="N976" s="60"/>
      <c r="O976" s="90"/>
      <c r="P976" s="91"/>
      <c r="Q976" s="92"/>
      <c r="R976" s="68" t="str">
        <f t="shared" si="18"/>
        <v/>
      </c>
      <c r="S976" s="22"/>
    </row>
    <row r="977" spans="1:19" ht="18" customHeight="1">
      <c r="A977" s="85"/>
      <c r="B977" s="86"/>
      <c r="C977" s="22"/>
      <c r="D977" s="85"/>
      <c r="E977" s="87"/>
      <c r="F977" s="85"/>
      <c r="G977" s="22"/>
      <c r="H977" s="88"/>
      <c r="J977" s="22"/>
      <c r="M977" s="89"/>
      <c r="N977" s="60"/>
      <c r="O977" s="90"/>
      <c r="P977" s="91"/>
      <c r="Q977" s="92"/>
      <c r="R977" s="68" t="str">
        <f t="shared" si="18"/>
        <v/>
      </c>
      <c r="S977" s="22"/>
    </row>
    <row r="978" spans="1:19" ht="18" customHeight="1">
      <c r="A978" s="85"/>
      <c r="B978" s="86"/>
      <c r="C978" s="22"/>
      <c r="D978" s="85"/>
      <c r="E978" s="87"/>
      <c r="F978" s="85"/>
      <c r="G978" s="22"/>
      <c r="H978" s="88"/>
      <c r="J978" s="22"/>
      <c r="M978" s="89"/>
      <c r="N978" s="60"/>
      <c r="O978" s="90"/>
      <c r="P978" s="91"/>
      <c r="Q978" s="92"/>
      <c r="R978" s="68" t="str">
        <f t="shared" si="18"/>
        <v/>
      </c>
      <c r="S978" s="22"/>
    </row>
    <row r="979" spans="1:19" ht="18" customHeight="1">
      <c r="A979" s="85"/>
      <c r="B979" s="86"/>
      <c r="C979" s="22"/>
      <c r="D979" s="85"/>
      <c r="E979" s="87"/>
      <c r="F979" s="85"/>
      <c r="G979" s="22"/>
      <c r="H979" s="88"/>
      <c r="J979" s="22"/>
      <c r="M979" s="89"/>
      <c r="N979" s="60"/>
      <c r="O979" s="90"/>
      <c r="P979" s="91"/>
      <c r="Q979" s="92"/>
      <c r="R979" s="68" t="str">
        <f t="shared" si="18"/>
        <v/>
      </c>
      <c r="S979" s="22"/>
    </row>
    <row r="980" spans="1:19" ht="18" customHeight="1">
      <c r="A980" s="85"/>
      <c r="B980" s="86"/>
      <c r="C980" s="22"/>
      <c r="D980" s="85"/>
      <c r="E980" s="87"/>
      <c r="F980" s="85"/>
      <c r="G980" s="22"/>
      <c r="H980" s="88"/>
      <c r="J980" s="22"/>
      <c r="M980" s="89"/>
      <c r="N980" s="60"/>
      <c r="O980" s="90"/>
      <c r="P980" s="91"/>
      <c r="Q980" s="92"/>
      <c r="R980" s="68" t="str">
        <f t="shared" si="18"/>
        <v/>
      </c>
      <c r="S980" s="22"/>
    </row>
    <row r="981" spans="1:19" ht="18" customHeight="1">
      <c r="A981" s="85"/>
      <c r="B981" s="86"/>
      <c r="C981" s="22"/>
      <c r="D981" s="85"/>
      <c r="E981" s="87"/>
      <c r="F981" s="85"/>
      <c r="G981" s="22"/>
      <c r="H981" s="88"/>
      <c r="J981" s="22"/>
      <c r="M981" s="89"/>
      <c r="N981" s="60"/>
      <c r="O981" s="90"/>
      <c r="P981" s="91"/>
      <c r="Q981" s="92"/>
      <c r="R981" s="68" t="str">
        <f t="shared" si="18"/>
        <v/>
      </c>
      <c r="S981" s="22"/>
    </row>
    <row r="982" spans="1:19" ht="18" customHeight="1">
      <c r="A982" s="85"/>
      <c r="B982" s="86"/>
      <c r="C982" s="22"/>
      <c r="D982" s="85"/>
      <c r="E982" s="87"/>
      <c r="F982" s="85"/>
      <c r="G982" s="22"/>
      <c r="H982" s="88"/>
      <c r="J982" s="22"/>
      <c r="M982" s="89"/>
      <c r="N982" s="60"/>
      <c r="O982" s="90"/>
      <c r="P982" s="91"/>
      <c r="Q982" s="92"/>
      <c r="R982" s="68" t="str">
        <f t="shared" si="18"/>
        <v/>
      </c>
      <c r="S982" s="22"/>
    </row>
    <row r="983" spans="1:19" ht="18" customHeight="1">
      <c r="A983" s="85"/>
      <c r="B983" s="86"/>
      <c r="C983" s="22"/>
      <c r="D983" s="85"/>
      <c r="E983" s="87"/>
      <c r="F983" s="85"/>
      <c r="G983" s="22"/>
      <c r="H983" s="88"/>
      <c r="J983" s="22"/>
      <c r="M983" s="89"/>
      <c r="N983" s="60"/>
      <c r="O983" s="90"/>
      <c r="P983" s="91"/>
      <c r="Q983" s="92"/>
      <c r="R983" s="68" t="str">
        <f t="shared" si="18"/>
        <v/>
      </c>
      <c r="S983" s="22"/>
    </row>
    <row r="984" spans="1:19" ht="18" customHeight="1">
      <c r="A984" s="85"/>
      <c r="B984" s="86"/>
      <c r="C984" s="22"/>
      <c r="D984" s="85"/>
      <c r="E984" s="87"/>
      <c r="F984" s="85"/>
      <c r="G984" s="22"/>
      <c r="H984" s="88"/>
      <c r="J984" s="22"/>
      <c r="M984" s="89"/>
      <c r="N984" s="60"/>
      <c r="O984" s="90"/>
      <c r="P984" s="91"/>
      <c r="Q984" s="92"/>
      <c r="R984" s="68" t="str">
        <f t="shared" si="18"/>
        <v/>
      </c>
      <c r="S984" s="22"/>
    </row>
    <row r="985" spans="1:19" ht="18" customHeight="1">
      <c r="A985" s="85"/>
      <c r="B985" s="86"/>
      <c r="C985" s="22"/>
      <c r="D985" s="85"/>
      <c r="E985" s="87"/>
      <c r="F985" s="85"/>
      <c r="G985" s="22"/>
      <c r="H985" s="88"/>
      <c r="J985" s="22"/>
      <c r="M985" s="89"/>
      <c r="N985" s="60"/>
      <c r="O985" s="90"/>
      <c r="P985" s="91"/>
      <c r="Q985" s="92"/>
      <c r="R985" s="68" t="str">
        <f t="shared" si="18"/>
        <v/>
      </c>
      <c r="S985" s="22"/>
    </row>
    <row r="986" spans="1:19" ht="18" customHeight="1">
      <c r="A986" s="85"/>
      <c r="B986" s="86"/>
      <c r="C986" s="22"/>
      <c r="D986" s="85"/>
      <c r="E986" s="87"/>
      <c r="F986" s="85"/>
      <c r="G986" s="22"/>
      <c r="H986" s="88"/>
      <c r="J986" s="22"/>
      <c r="M986" s="89"/>
      <c r="N986" s="60"/>
      <c r="O986" s="90"/>
      <c r="P986" s="91"/>
      <c r="Q986" s="92"/>
      <c r="R986" s="68" t="str">
        <f t="shared" si="18"/>
        <v/>
      </c>
      <c r="S986" s="22"/>
    </row>
    <row r="987" spans="1:19" ht="18" customHeight="1">
      <c r="A987" s="85"/>
      <c r="B987" s="86"/>
      <c r="C987" s="22"/>
      <c r="D987" s="85"/>
      <c r="E987" s="87"/>
      <c r="F987" s="85"/>
      <c r="G987" s="22"/>
      <c r="H987" s="88"/>
      <c r="J987" s="22"/>
      <c r="M987" s="89"/>
      <c r="N987" s="60"/>
      <c r="O987" s="90"/>
      <c r="P987" s="91"/>
      <c r="Q987" s="92"/>
      <c r="R987" s="68" t="str">
        <f t="shared" si="18"/>
        <v/>
      </c>
      <c r="S987" s="22"/>
    </row>
    <row r="988" spans="1:19" ht="18" customHeight="1">
      <c r="A988" s="85"/>
      <c r="B988" s="86"/>
      <c r="C988" s="22"/>
      <c r="D988" s="85"/>
      <c r="E988" s="87"/>
      <c r="F988" s="85"/>
      <c r="G988" s="22"/>
      <c r="H988" s="88"/>
      <c r="J988" s="22"/>
      <c r="M988" s="89"/>
      <c r="N988" s="60"/>
      <c r="O988" s="90"/>
      <c r="P988" s="91"/>
      <c r="Q988" s="92"/>
      <c r="R988" s="68" t="str">
        <f t="shared" si="18"/>
        <v/>
      </c>
      <c r="S988" s="22"/>
    </row>
    <row r="989" spans="1:19" ht="18" customHeight="1">
      <c r="A989" s="85"/>
      <c r="B989" s="86"/>
      <c r="C989" s="22"/>
      <c r="D989" s="85"/>
      <c r="E989" s="87"/>
      <c r="F989" s="85"/>
      <c r="G989" s="22"/>
      <c r="H989" s="88"/>
      <c r="J989" s="22"/>
      <c r="M989" s="89"/>
      <c r="N989" s="60"/>
      <c r="O989" s="90"/>
      <c r="P989" s="91"/>
      <c r="Q989" s="92"/>
      <c r="R989" s="68" t="str">
        <f t="shared" si="18"/>
        <v/>
      </c>
      <c r="S989" s="22"/>
    </row>
    <row r="990" spans="1:19" ht="18" customHeight="1">
      <c r="A990" s="85"/>
      <c r="B990" s="86"/>
      <c r="C990" s="22"/>
      <c r="D990" s="85"/>
      <c r="E990" s="87"/>
      <c r="F990" s="85"/>
      <c r="G990" s="22"/>
      <c r="H990" s="88"/>
      <c r="J990" s="22"/>
      <c r="M990" s="89"/>
      <c r="N990" s="60"/>
      <c r="O990" s="90"/>
      <c r="P990" s="91"/>
      <c r="Q990" s="92"/>
      <c r="R990" s="68" t="str">
        <f t="shared" si="18"/>
        <v/>
      </c>
      <c r="S990" s="22"/>
    </row>
    <row r="991" spans="1:19" ht="18" customHeight="1">
      <c r="A991" s="85"/>
      <c r="B991" s="86"/>
      <c r="C991" s="22"/>
      <c r="D991" s="85"/>
      <c r="E991" s="87"/>
      <c r="F991" s="85"/>
      <c r="G991" s="22"/>
      <c r="H991" s="88"/>
      <c r="J991" s="22"/>
      <c r="M991" s="89"/>
      <c r="N991" s="60"/>
      <c r="O991" s="90"/>
      <c r="P991" s="91"/>
      <c r="Q991" s="92"/>
      <c r="R991" s="68" t="str">
        <f t="shared" si="18"/>
        <v/>
      </c>
      <c r="S991" s="22"/>
    </row>
    <row r="992" spans="1:19" ht="18" customHeight="1">
      <c r="A992" s="85"/>
      <c r="B992" s="86"/>
      <c r="C992" s="22"/>
      <c r="D992" s="85"/>
      <c r="E992" s="87"/>
      <c r="F992" s="85"/>
      <c r="G992" s="22"/>
      <c r="H992" s="88"/>
      <c r="J992" s="22"/>
      <c r="M992" s="89"/>
      <c r="N992" s="60"/>
      <c r="O992" s="90"/>
      <c r="P992" s="91"/>
      <c r="Q992" s="92"/>
      <c r="R992" s="68" t="str">
        <f t="shared" si="18"/>
        <v/>
      </c>
      <c r="S992" s="22"/>
    </row>
    <row r="993" spans="1:19" ht="18" customHeight="1">
      <c r="A993" s="85"/>
      <c r="B993" s="86"/>
      <c r="C993" s="22"/>
      <c r="D993" s="85"/>
      <c r="E993" s="87"/>
      <c r="F993" s="85"/>
      <c r="G993" s="22"/>
      <c r="H993" s="88"/>
      <c r="J993" s="22"/>
      <c r="M993" s="89"/>
      <c r="N993" s="60"/>
      <c r="O993" s="90"/>
      <c r="P993" s="91"/>
      <c r="Q993" s="92"/>
      <c r="R993" s="68" t="str">
        <f t="shared" si="18"/>
        <v/>
      </c>
      <c r="S993" s="22"/>
    </row>
    <row r="994" spans="1:19" ht="18" customHeight="1">
      <c r="A994" s="85"/>
      <c r="B994" s="86"/>
      <c r="C994" s="22"/>
      <c r="D994" s="85"/>
      <c r="E994" s="87"/>
      <c r="F994" s="85"/>
      <c r="G994" s="22"/>
      <c r="H994" s="88"/>
      <c r="J994" s="22"/>
      <c r="M994" s="89"/>
      <c r="N994" s="60"/>
      <c r="O994" s="90"/>
      <c r="P994" s="91"/>
      <c r="Q994" s="92"/>
      <c r="R994" s="68" t="str">
        <f t="shared" si="18"/>
        <v/>
      </c>
      <c r="S994" s="22"/>
    </row>
    <row r="995" spans="1:19" ht="18" customHeight="1">
      <c r="A995" s="85"/>
      <c r="B995" s="86"/>
      <c r="C995" s="22"/>
      <c r="D995" s="85"/>
      <c r="E995" s="87"/>
      <c r="F995" s="85"/>
      <c r="G995" s="22"/>
      <c r="H995" s="88"/>
      <c r="J995" s="22"/>
      <c r="M995" s="89"/>
      <c r="N995" s="60"/>
      <c r="O995" s="90"/>
      <c r="P995" s="91"/>
      <c r="Q995" s="92"/>
      <c r="R995" s="68" t="str">
        <f t="shared" si="18"/>
        <v/>
      </c>
      <c r="S995" s="22"/>
    </row>
    <row r="996" spans="1:19" ht="18" customHeight="1">
      <c r="A996" s="85"/>
      <c r="B996" s="86"/>
      <c r="C996" s="22"/>
      <c r="D996" s="85"/>
      <c r="E996" s="87"/>
      <c r="F996" s="85"/>
      <c r="G996" s="22"/>
      <c r="H996" s="88"/>
      <c r="J996" s="22"/>
      <c r="M996" s="89"/>
      <c r="N996" s="60"/>
      <c r="O996" s="90"/>
      <c r="P996" s="91"/>
      <c r="Q996" s="92"/>
      <c r="R996" s="68" t="str">
        <f t="shared" si="18"/>
        <v/>
      </c>
      <c r="S996" s="22"/>
    </row>
    <row r="997" spans="1:19" ht="18" customHeight="1">
      <c r="A997" s="85"/>
      <c r="B997" s="86"/>
      <c r="C997" s="22"/>
      <c r="D997" s="85"/>
      <c r="E997" s="87"/>
      <c r="F997" s="85"/>
      <c r="G997" s="22"/>
      <c r="H997" s="88"/>
      <c r="J997" s="22"/>
      <c r="M997" s="89"/>
      <c r="N997" s="60"/>
      <c r="O997" s="90"/>
      <c r="P997" s="91"/>
      <c r="Q997" s="92"/>
      <c r="R997" s="68" t="str">
        <f t="shared" si="18"/>
        <v/>
      </c>
      <c r="S997" s="22"/>
    </row>
    <row r="998" spans="1:19" ht="18" customHeight="1">
      <c r="A998" s="85"/>
      <c r="B998" s="86"/>
      <c r="C998" s="22"/>
      <c r="D998" s="85"/>
      <c r="E998" s="87"/>
      <c r="F998" s="85"/>
      <c r="G998" s="22"/>
      <c r="H998" s="88"/>
      <c r="J998" s="22"/>
      <c r="M998" s="89"/>
      <c r="N998" s="60"/>
      <c r="O998" s="90"/>
      <c r="P998" s="91"/>
      <c r="Q998" s="92"/>
      <c r="R998" s="68" t="str">
        <f t="shared" si="18"/>
        <v/>
      </c>
      <c r="S998" s="22"/>
    </row>
    <row r="999" spans="1:19" ht="18" customHeight="1">
      <c r="A999" s="85"/>
      <c r="B999" s="86"/>
      <c r="C999" s="22"/>
      <c r="D999" s="85"/>
      <c r="E999" s="87"/>
      <c r="F999" s="85"/>
      <c r="G999" s="22"/>
      <c r="H999" s="88"/>
      <c r="J999" s="22"/>
      <c r="M999" s="89"/>
      <c r="N999" s="60"/>
      <c r="O999" s="90"/>
      <c r="P999" s="91"/>
      <c r="Q999" s="92"/>
      <c r="R999" s="68" t="str">
        <f t="shared" si="18"/>
        <v/>
      </c>
      <c r="S999" s="22"/>
    </row>
    <row r="1000" spans="1:19" ht="18" customHeight="1">
      <c r="A1000" s="85"/>
      <c r="B1000" s="86"/>
      <c r="C1000" s="22"/>
      <c r="D1000" s="85"/>
      <c r="E1000" s="87"/>
      <c r="F1000" s="85"/>
      <c r="G1000" s="22"/>
      <c r="H1000" s="88"/>
      <c r="J1000" s="22"/>
      <c r="M1000" s="89"/>
      <c r="N1000" s="60"/>
      <c r="O1000" s="90"/>
      <c r="P1000" s="91"/>
      <c r="Q1000" s="92"/>
      <c r="R1000" s="68" t="str">
        <f t="shared" si="18"/>
        <v/>
      </c>
      <c r="S1000" s="22"/>
    </row>
    <row r="1001" spans="1:19" ht="18" customHeight="1">
      <c r="A1001" s="85"/>
      <c r="B1001" s="86"/>
      <c r="C1001" s="22"/>
      <c r="D1001" s="85"/>
      <c r="E1001" s="87"/>
      <c r="F1001" s="85"/>
      <c r="G1001" s="22"/>
      <c r="H1001" s="88"/>
      <c r="J1001" s="22"/>
      <c r="M1001" s="89"/>
      <c r="N1001" s="60"/>
      <c r="O1001" s="90"/>
      <c r="P1001" s="91"/>
      <c r="Q1001" s="92"/>
      <c r="R1001" s="68" t="str">
        <f t="shared" si="18"/>
        <v/>
      </c>
      <c r="S1001" s="22"/>
    </row>
    <row r="1002" spans="1:19" ht="18" customHeight="1">
      <c r="A1002" s="85"/>
      <c r="B1002" s="86"/>
      <c r="C1002" s="22"/>
      <c r="D1002" s="85"/>
      <c r="E1002" s="87"/>
      <c r="F1002" s="85"/>
      <c r="G1002" s="22"/>
      <c r="H1002" s="88"/>
      <c r="J1002" s="22"/>
      <c r="M1002" s="89"/>
      <c r="N1002" s="60"/>
      <c r="O1002" s="90"/>
      <c r="P1002" s="91"/>
      <c r="Q1002" s="92"/>
      <c r="R1002" s="68" t="str">
        <f t="shared" si="18"/>
        <v/>
      </c>
      <c r="S1002" s="22"/>
    </row>
    <row r="1003" spans="1:19" ht="18" customHeight="1">
      <c r="A1003" s="85"/>
      <c r="B1003" s="86"/>
      <c r="C1003" s="22"/>
      <c r="D1003" s="85"/>
      <c r="E1003" s="87"/>
      <c r="F1003" s="85"/>
      <c r="G1003" s="22"/>
      <c r="H1003" s="88"/>
      <c r="J1003" s="22"/>
      <c r="M1003" s="89"/>
      <c r="N1003" s="60"/>
      <c r="O1003" s="90"/>
      <c r="P1003" s="91"/>
      <c r="Q1003" s="92"/>
      <c r="R1003" s="68" t="str">
        <f t="shared" si="18"/>
        <v/>
      </c>
      <c r="S1003" s="22"/>
    </row>
    <row r="1004" spans="1:19" ht="18" customHeight="1">
      <c r="A1004" s="85"/>
      <c r="B1004" s="86"/>
      <c r="C1004" s="22"/>
      <c r="D1004" s="85"/>
      <c r="E1004" s="87"/>
      <c r="F1004" s="85"/>
      <c r="G1004" s="22"/>
      <c r="H1004" s="88"/>
      <c r="J1004" s="22"/>
      <c r="M1004" s="89"/>
      <c r="N1004" s="60"/>
      <c r="O1004" s="90"/>
      <c r="P1004" s="91"/>
      <c r="Q1004" s="92"/>
      <c r="R1004" s="68" t="str">
        <f t="shared" si="18"/>
        <v/>
      </c>
      <c r="S1004" s="22"/>
    </row>
    <row r="1005" spans="1:19" ht="18" customHeight="1">
      <c r="A1005" s="85"/>
      <c r="B1005" s="86"/>
      <c r="C1005" s="22"/>
      <c r="D1005" s="85"/>
      <c r="E1005" s="87"/>
      <c r="F1005" s="85"/>
      <c r="G1005" s="22"/>
      <c r="H1005" s="88"/>
      <c r="J1005" s="22"/>
      <c r="M1005" s="89"/>
      <c r="N1005" s="60"/>
      <c r="O1005" s="90"/>
      <c r="P1005" s="91"/>
      <c r="Q1005" s="92"/>
      <c r="R1005" s="68" t="str">
        <f t="shared" si="18"/>
        <v/>
      </c>
      <c r="S1005" s="22"/>
    </row>
    <row r="1006" spans="1:19" ht="18" customHeight="1">
      <c r="A1006" s="85"/>
      <c r="B1006" s="86"/>
      <c r="C1006" s="22"/>
      <c r="D1006" s="85"/>
      <c r="E1006" s="87"/>
      <c r="F1006" s="85"/>
      <c r="G1006" s="22"/>
      <c r="H1006" s="88"/>
      <c r="J1006" s="22"/>
      <c r="M1006" s="89"/>
      <c r="N1006" s="60"/>
      <c r="O1006" s="90"/>
      <c r="P1006" s="91"/>
      <c r="Q1006" s="92"/>
      <c r="R1006" s="68" t="str">
        <f t="shared" si="18"/>
        <v/>
      </c>
      <c r="S1006" s="22"/>
    </row>
    <row r="1007" spans="1:19" ht="18" customHeight="1">
      <c r="A1007" s="85"/>
      <c r="B1007" s="86"/>
      <c r="C1007" s="22"/>
      <c r="D1007" s="85"/>
      <c r="E1007" s="87"/>
      <c r="F1007" s="85"/>
      <c r="G1007" s="22"/>
      <c r="H1007" s="88"/>
      <c r="J1007" s="22"/>
      <c r="M1007" s="89"/>
      <c r="N1007" s="60"/>
      <c r="O1007" s="90"/>
      <c r="P1007" s="91"/>
      <c r="Q1007" s="92"/>
      <c r="R1007" s="68" t="str">
        <f t="shared" si="18"/>
        <v/>
      </c>
      <c r="S1007" s="22"/>
    </row>
    <row r="1008" spans="1:19" ht="18" customHeight="1">
      <c r="A1008" s="85"/>
      <c r="B1008" s="86"/>
      <c r="C1008" s="22"/>
      <c r="D1008" s="85"/>
      <c r="E1008" s="87"/>
      <c r="F1008" s="85"/>
      <c r="G1008" s="22"/>
      <c r="H1008" s="88"/>
      <c r="J1008" s="22"/>
      <c r="M1008" s="89"/>
      <c r="N1008" s="60"/>
      <c r="O1008" s="90"/>
      <c r="P1008" s="91"/>
      <c r="Q1008" s="92"/>
      <c r="R1008" s="68" t="str">
        <f t="shared" si="18"/>
        <v/>
      </c>
      <c r="S1008" s="22"/>
    </row>
    <row r="1009" spans="1:19" ht="18" customHeight="1">
      <c r="A1009" s="85"/>
      <c r="B1009" s="86"/>
      <c r="C1009" s="22"/>
      <c r="D1009" s="85"/>
      <c r="E1009" s="87"/>
      <c r="F1009" s="85"/>
      <c r="G1009" s="22"/>
      <c r="H1009" s="88"/>
      <c r="J1009" s="22"/>
      <c r="M1009" s="89"/>
      <c r="N1009" s="60"/>
      <c r="O1009" s="90"/>
      <c r="P1009" s="91"/>
      <c r="Q1009" s="92"/>
      <c r="R1009" s="68" t="str">
        <f t="shared" si="18"/>
        <v/>
      </c>
      <c r="S1009" s="22"/>
    </row>
    <row r="1010" spans="1:19" ht="18" customHeight="1">
      <c r="A1010" s="85"/>
      <c r="B1010" s="86"/>
      <c r="C1010" s="22"/>
      <c r="D1010" s="85"/>
      <c r="E1010" s="87"/>
      <c r="F1010" s="85"/>
      <c r="G1010" s="22"/>
      <c r="H1010" s="88"/>
      <c r="J1010" s="22"/>
      <c r="M1010" s="89"/>
      <c r="N1010" s="60"/>
      <c r="O1010" s="90"/>
      <c r="P1010" s="91"/>
      <c r="Q1010" s="92"/>
      <c r="R1010" s="68" t="str">
        <f t="shared" si="18"/>
        <v/>
      </c>
      <c r="S1010" s="22"/>
    </row>
    <row r="1011" spans="1:19" ht="18" customHeight="1">
      <c r="A1011" s="85"/>
      <c r="B1011" s="86"/>
      <c r="C1011" s="22"/>
      <c r="D1011" s="85"/>
      <c r="E1011" s="87"/>
      <c r="F1011" s="85"/>
      <c r="G1011" s="22"/>
      <c r="H1011" s="88"/>
      <c r="J1011" s="22"/>
      <c r="M1011" s="89"/>
      <c r="N1011" s="60"/>
      <c r="O1011" s="90"/>
      <c r="P1011" s="91"/>
      <c r="Q1011" s="92"/>
      <c r="R1011" s="68" t="str">
        <f t="shared" si="18"/>
        <v/>
      </c>
      <c r="S1011" s="22"/>
    </row>
    <row r="1012" spans="1:19" ht="18" customHeight="1">
      <c r="A1012" s="85"/>
      <c r="B1012" s="86"/>
      <c r="C1012" s="22"/>
      <c r="D1012" s="85"/>
      <c r="E1012" s="87"/>
      <c r="F1012" s="85"/>
      <c r="G1012" s="22"/>
      <c r="H1012" s="88"/>
      <c r="J1012" s="22"/>
      <c r="M1012" s="89"/>
      <c r="N1012" s="60"/>
      <c r="O1012" s="90"/>
      <c r="P1012" s="91"/>
      <c r="Q1012" s="92"/>
      <c r="R1012" s="68" t="str">
        <f t="shared" ref="R1012:R1075" si="19">IF(SUM(Q1012)&gt;0,SUM(Q1012-P1012),"")</f>
        <v/>
      </c>
      <c r="S1012" s="22"/>
    </row>
    <row r="1013" spans="1:19" ht="18" customHeight="1">
      <c r="A1013" s="85"/>
      <c r="B1013" s="86"/>
      <c r="C1013" s="22"/>
      <c r="D1013" s="85"/>
      <c r="E1013" s="87"/>
      <c r="F1013" s="85"/>
      <c r="G1013" s="22"/>
      <c r="H1013" s="88"/>
      <c r="J1013" s="22"/>
      <c r="M1013" s="89"/>
      <c r="N1013" s="60"/>
      <c r="O1013" s="90"/>
      <c r="P1013" s="91"/>
      <c r="Q1013" s="92"/>
      <c r="R1013" s="68" t="str">
        <f t="shared" si="19"/>
        <v/>
      </c>
      <c r="S1013" s="22"/>
    </row>
    <row r="1014" spans="1:19" ht="18" customHeight="1">
      <c r="A1014" s="85"/>
      <c r="B1014" s="86"/>
      <c r="C1014" s="22"/>
      <c r="D1014" s="85"/>
      <c r="E1014" s="87"/>
      <c r="F1014" s="85"/>
      <c r="G1014" s="22"/>
      <c r="H1014" s="88"/>
      <c r="J1014" s="22"/>
      <c r="M1014" s="89"/>
      <c r="N1014" s="60"/>
      <c r="O1014" s="90"/>
      <c r="P1014" s="91"/>
      <c r="Q1014" s="92"/>
      <c r="R1014" s="68" t="str">
        <f t="shared" si="19"/>
        <v/>
      </c>
      <c r="S1014" s="22"/>
    </row>
    <row r="1015" spans="1:19" ht="18" customHeight="1">
      <c r="A1015" s="85"/>
      <c r="B1015" s="86"/>
      <c r="C1015" s="22"/>
      <c r="D1015" s="85"/>
      <c r="E1015" s="87"/>
      <c r="F1015" s="85"/>
      <c r="G1015" s="22"/>
      <c r="H1015" s="88"/>
      <c r="J1015" s="22"/>
      <c r="M1015" s="89"/>
      <c r="N1015" s="60"/>
      <c r="O1015" s="90"/>
      <c r="P1015" s="91"/>
      <c r="Q1015" s="92"/>
      <c r="R1015" s="68" t="str">
        <f t="shared" si="19"/>
        <v/>
      </c>
      <c r="S1015" s="22"/>
    </row>
    <row r="1016" spans="1:19" ht="18" customHeight="1">
      <c r="A1016" s="85"/>
      <c r="B1016" s="86"/>
      <c r="C1016" s="22"/>
      <c r="D1016" s="85"/>
      <c r="E1016" s="87"/>
      <c r="F1016" s="85"/>
      <c r="G1016" s="22"/>
      <c r="H1016" s="88"/>
      <c r="J1016" s="22"/>
      <c r="M1016" s="89"/>
      <c r="N1016" s="60"/>
      <c r="O1016" s="90"/>
      <c r="P1016" s="91"/>
      <c r="Q1016" s="92"/>
      <c r="R1016" s="68" t="str">
        <f t="shared" si="19"/>
        <v/>
      </c>
      <c r="S1016" s="22"/>
    </row>
    <row r="1017" spans="1:19" ht="18" customHeight="1">
      <c r="A1017" s="85"/>
      <c r="B1017" s="86"/>
      <c r="C1017" s="22"/>
      <c r="D1017" s="85"/>
      <c r="E1017" s="87"/>
      <c r="F1017" s="85"/>
      <c r="G1017" s="22"/>
      <c r="H1017" s="88"/>
      <c r="J1017" s="22"/>
      <c r="M1017" s="89"/>
      <c r="N1017" s="60"/>
      <c r="O1017" s="90"/>
      <c r="P1017" s="91"/>
      <c r="Q1017" s="92"/>
      <c r="R1017" s="68" t="str">
        <f t="shared" si="19"/>
        <v/>
      </c>
      <c r="S1017" s="22"/>
    </row>
    <row r="1018" spans="1:19" ht="18" customHeight="1">
      <c r="A1018" s="85"/>
      <c r="B1018" s="86"/>
      <c r="C1018" s="22"/>
      <c r="D1018" s="85"/>
      <c r="E1018" s="87"/>
      <c r="F1018" s="85"/>
      <c r="G1018" s="22"/>
      <c r="H1018" s="88"/>
      <c r="J1018" s="22"/>
      <c r="M1018" s="89"/>
      <c r="N1018" s="60"/>
      <c r="O1018" s="90"/>
      <c r="P1018" s="91"/>
      <c r="Q1018" s="92"/>
      <c r="R1018" s="68" t="str">
        <f t="shared" si="19"/>
        <v/>
      </c>
      <c r="S1018" s="22"/>
    </row>
    <row r="1019" spans="1:19" ht="18" customHeight="1">
      <c r="A1019" s="85"/>
      <c r="B1019" s="86"/>
      <c r="C1019" s="22"/>
      <c r="D1019" s="85"/>
      <c r="E1019" s="87"/>
      <c r="F1019" s="85"/>
      <c r="G1019" s="22"/>
      <c r="H1019" s="88"/>
      <c r="J1019" s="22"/>
      <c r="M1019" s="89"/>
      <c r="N1019" s="60"/>
      <c r="O1019" s="90"/>
      <c r="P1019" s="91"/>
      <c r="Q1019" s="92"/>
      <c r="R1019" s="68" t="str">
        <f t="shared" si="19"/>
        <v/>
      </c>
      <c r="S1019" s="22"/>
    </row>
    <row r="1020" spans="1:19" ht="18" customHeight="1">
      <c r="A1020" s="85"/>
      <c r="B1020" s="86"/>
      <c r="C1020" s="22"/>
      <c r="D1020" s="85"/>
      <c r="E1020" s="87"/>
      <c r="F1020" s="85"/>
      <c r="G1020" s="22"/>
      <c r="H1020" s="88"/>
      <c r="J1020" s="22"/>
      <c r="M1020" s="89"/>
      <c r="N1020" s="60"/>
      <c r="O1020" s="90"/>
      <c r="P1020" s="91"/>
      <c r="Q1020" s="92"/>
      <c r="R1020" s="68" t="str">
        <f t="shared" si="19"/>
        <v/>
      </c>
      <c r="S1020" s="22"/>
    </row>
    <row r="1021" spans="1:19" ht="18" customHeight="1">
      <c r="A1021" s="85"/>
      <c r="B1021" s="86"/>
      <c r="C1021" s="22"/>
      <c r="D1021" s="85"/>
      <c r="E1021" s="87"/>
      <c r="F1021" s="85"/>
      <c r="G1021" s="22"/>
      <c r="H1021" s="88"/>
      <c r="J1021" s="22"/>
      <c r="M1021" s="89"/>
      <c r="N1021" s="60"/>
      <c r="O1021" s="90"/>
      <c r="P1021" s="91"/>
      <c r="Q1021" s="92"/>
      <c r="R1021" s="68" t="str">
        <f t="shared" si="19"/>
        <v/>
      </c>
      <c r="S1021" s="22"/>
    </row>
    <row r="1022" spans="1:19" ht="18" customHeight="1">
      <c r="A1022" s="85"/>
      <c r="B1022" s="86"/>
      <c r="C1022" s="22"/>
      <c r="D1022" s="85"/>
      <c r="E1022" s="87"/>
      <c r="F1022" s="85"/>
      <c r="G1022" s="22"/>
      <c r="H1022" s="88"/>
      <c r="J1022" s="22"/>
      <c r="M1022" s="89"/>
      <c r="N1022" s="60"/>
      <c r="O1022" s="90"/>
      <c r="P1022" s="91"/>
      <c r="Q1022" s="92"/>
      <c r="R1022" s="68" t="str">
        <f t="shared" si="19"/>
        <v/>
      </c>
      <c r="S1022" s="22"/>
    </row>
    <row r="1023" spans="1:19" ht="18" customHeight="1">
      <c r="A1023" s="85"/>
      <c r="B1023" s="86"/>
      <c r="C1023" s="22"/>
      <c r="D1023" s="85"/>
      <c r="E1023" s="87"/>
      <c r="F1023" s="85"/>
      <c r="G1023" s="22"/>
      <c r="H1023" s="88"/>
      <c r="J1023" s="22"/>
      <c r="M1023" s="89"/>
      <c r="N1023" s="60"/>
      <c r="O1023" s="90"/>
      <c r="P1023" s="91"/>
      <c r="Q1023" s="92"/>
      <c r="R1023" s="68" t="str">
        <f t="shared" si="19"/>
        <v/>
      </c>
      <c r="S1023" s="22"/>
    </row>
    <row r="1024" spans="1:19" ht="18" customHeight="1">
      <c r="A1024" s="85"/>
      <c r="B1024" s="86"/>
      <c r="C1024" s="22"/>
      <c r="D1024" s="85"/>
      <c r="E1024" s="87"/>
      <c r="F1024" s="85"/>
      <c r="G1024" s="22"/>
      <c r="H1024" s="88"/>
      <c r="J1024" s="22"/>
      <c r="M1024" s="89"/>
      <c r="N1024" s="60"/>
      <c r="O1024" s="90"/>
      <c r="P1024" s="91"/>
      <c r="Q1024" s="92"/>
      <c r="R1024" s="68" t="str">
        <f t="shared" si="19"/>
        <v/>
      </c>
      <c r="S1024" s="22"/>
    </row>
    <row r="1025" spans="1:19" ht="18" customHeight="1">
      <c r="A1025" s="85"/>
      <c r="B1025" s="86"/>
      <c r="C1025" s="22"/>
      <c r="D1025" s="85"/>
      <c r="E1025" s="87"/>
      <c r="F1025" s="85"/>
      <c r="G1025" s="22"/>
      <c r="H1025" s="88"/>
      <c r="J1025" s="22"/>
      <c r="M1025" s="89"/>
      <c r="N1025" s="60"/>
      <c r="O1025" s="90"/>
      <c r="P1025" s="91"/>
      <c r="Q1025" s="92"/>
      <c r="R1025" s="68" t="str">
        <f t="shared" si="19"/>
        <v/>
      </c>
      <c r="S1025" s="22"/>
    </row>
    <row r="1026" spans="1:19" ht="18" customHeight="1">
      <c r="A1026" s="85"/>
      <c r="B1026" s="86"/>
      <c r="C1026" s="22"/>
      <c r="D1026" s="85"/>
      <c r="E1026" s="87"/>
      <c r="F1026" s="85"/>
      <c r="G1026" s="22"/>
      <c r="H1026" s="88"/>
      <c r="J1026" s="22"/>
      <c r="M1026" s="89"/>
      <c r="N1026" s="60"/>
      <c r="O1026" s="90"/>
      <c r="P1026" s="91"/>
      <c r="Q1026" s="92"/>
      <c r="R1026" s="68" t="str">
        <f t="shared" si="19"/>
        <v/>
      </c>
      <c r="S1026" s="22"/>
    </row>
    <row r="1027" spans="1:19" ht="18" customHeight="1">
      <c r="A1027" s="85"/>
      <c r="B1027" s="86"/>
      <c r="C1027" s="22"/>
      <c r="D1027" s="85"/>
      <c r="E1027" s="87"/>
      <c r="F1027" s="85"/>
      <c r="G1027" s="22"/>
      <c r="H1027" s="88"/>
      <c r="J1027" s="22"/>
      <c r="M1027" s="89"/>
      <c r="N1027" s="60"/>
      <c r="O1027" s="90"/>
      <c r="P1027" s="91"/>
      <c r="Q1027" s="92"/>
      <c r="R1027" s="68" t="str">
        <f t="shared" si="19"/>
        <v/>
      </c>
      <c r="S1027" s="22"/>
    </row>
    <row r="1028" spans="1:19" ht="18" customHeight="1">
      <c r="A1028" s="85"/>
      <c r="B1028" s="86"/>
      <c r="C1028" s="22"/>
      <c r="D1028" s="85"/>
      <c r="E1028" s="87"/>
      <c r="F1028" s="85"/>
      <c r="G1028" s="22"/>
      <c r="H1028" s="88"/>
      <c r="J1028" s="22"/>
      <c r="M1028" s="89"/>
      <c r="N1028" s="60"/>
      <c r="O1028" s="90"/>
      <c r="P1028" s="91"/>
      <c r="Q1028" s="92"/>
      <c r="R1028" s="68" t="str">
        <f t="shared" si="19"/>
        <v/>
      </c>
      <c r="S1028" s="22"/>
    </row>
    <row r="1029" spans="1:19" ht="18" customHeight="1">
      <c r="A1029" s="85"/>
      <c r="B1029" s="86"/>
      <c r="C1029" s="22"/>
      <c r="D1029" s="85"/>
      <c r="E1029" s="87"/>
      <c r="F1029" s="85"/>
      <c r="G1029" s="22"/>
      <c r="H1029" s="88"/>
      <c r="J1029" s="22"/>
      <c r="M1029" s="89"/>
      <c r="N1029" s="60"/>
      <c r="O1029" s="90"/>
      <c r="P1029" s="91"/>
      <c r="Q1029" s="92"/>
      <c r="R1029" s="68" t="str">
        <f t="shared" si="19"/>
        <v/>
      </c>
      <c r="S1029" s="22"/>
    </row>
    <row r="1030" spans="1:19" ht="18" customHeight="1">
      <c r="A1030" s="85"/>
      <c r="B1030" s="86"/>
      <c r="C1030" s="22"/>
      <c r="D1030" s="85"/>
      <c r="E1030" s="87"/>
      <c r="F1030" s="85"/>
      <c r="G1030" s="22"/>
      <c r="H1030" s="88"/>
      <c r="J1030" s="22"/>
      <c r="M1030" s="89"/>
      <c r="N1030" s="60"/>
      <c r="O1030" s="90"/>
      <c r="P1030" s="91"/>
      <c r="Q1030" s="92"/>
      <c r="R1030" s="68" t="str">
        <f t="shared" si="19"/>
        <v/>
      </c>
      <c r="S1030" s="22"/>
    </row>
    <row r="1031" spans="1:19" ht="18" customHeight="1">
      <c r="A1031" s="85"/>
      <c r="B1031" s="86"/>
      <c r="C1031" s="22"/>
      <c r="D1031" s="85"/>
      <c r="E1031" s="87"/>
      <c r="F1031" s="85"/>
      <c r="G1031" s="22"/>
      <c r="H1031" s="88"/>
      <c r="J1031" s="22"/>
      <c r="M1031" s="89"/>
      <c r="N1031" s="60"/>
      <c r="O1031" s="90"/>
      <c r="P1031" s="91"/>
      <c r="Q1031" s="92"/>
      <c r="R1031" s="68" t="str">
        <f t="shared" si="19"/>
        <v/>
      </c>
      <c r="S1031" s="22"/>
    </row>
    <row r="1032" spans="1:19" ht="18" customHeight="1">
      <c r="A1032" s="85"/>
      <c r="B1032" s="86"/>
      <c r="C1032" s="22"/>
      <c r="D1032" s="85"/>
      <c r="E1032" s="87"/>
      <c r="F1032" s="85"/>
      <c r="G1032" s="22"/>
      <c r="H1032" s="88"/>
      <c r="J1032" s="22"/>
      <c r="M1032" s="89"/>
      <c r="N1032" s="60"/>
      <c r="O1032" s="90"/>
      <c r="P1032" s="91"/>
      <c r="Q1032" s="92"/>
      <c r="R1032" s="68" t="str">
        <f t="shared" si="19"/>
        <v/>
      </c>
      <c r="S1032" s="22"/>
    </row>
    <row r="1033" spans="1:19" ht="18" customHeight="1">
      <c r="A1033" s="85"/>
      <c r="B1033" s="86"/>
      <c r="C1033" s="22"/>
      <c r="D1033" s="85"/>
      <c r="E1033" s="87"/>
      <c r="F1033" s="85"/>
      <c r="G1033" s="22"/>
      <c r="H1033" s="88"/>
      <c r="J1033" s="22"/>
      <c r="M1033" s="89"/>
      <c r="N1033" s="60"/>
      <c r="O1033" s="90"/>
      <c r="P1033" s="91"/>
      <c r="Q1033" s="92"/>
      <c r="R1033" s="68" t="str">
        <f t="shared" si="19"/>
        <v/>
      </c>
      <c r="S1033" s="22"/>
    </row>
    <row r="1034" spans="1:19" ht="18" customHeight="1">
      <c r="A1034" s="85"/>
      <c r="B1034" s="86"/>
      <c r="C1034" s="22"/>
      <c r="D1034" s="85"/>
      <c r="E1034" s="87"/>
      <c r="F1034" s="85"/>
      <c r="G1034" s="22"/>
      <c r="H1034" s="88"/>
      <c r="J1034" s="22"/>
      <c r="M1034" s="89"/>
      <c r="N1034" s="60"/>
      <c r="O1034" s="90"/>
      <c r="P1034" s="91"/>
      <c r="Q1034" s="92"/>
      <c r="R1034" s="68" t="str">
        <f t="shared" si="19"/>
        <v/>
      </c>
      <c r="S1034" s="22"/>
    </row>
    <row r="1035" spans="1:19" ht="18" customHeight="1">
      <c r="A1035" s="85"/>
      <c r="B1035" s="86"/>
      <c r="C1035" s="22"/>
      <c r="D1035" s="85"/>
      <c r="E1035" s="87"/>
      <c r="F1035" s="85"/>
      <c r="G1035" s="22"/>
      <c r="H1035" s="88"/>
      <c r="J1035" s="22"/>
      <c r="M1035" s="89"/>
      <c r="N1035" s="60"/>
      <c r="O1035" s="90"/>
      <c r="P1035" s="91"/>
      <c r="Q1035" s="92"/>
      <c r="R1035" s="68" t="str">
        <f t="shared" si="19"/>
        <v/>
      </c>
      <c r="S1035" s="22"/>
    </row>
    <row r="1036" spans="1:19" ht="18" customHeight="1">
      <c r="A1036" s="85"/>
      <c r="B1036" s="86"/>
      <c r="C1036" s="22"/>
      <c r="D1036" s="85"/>
      <c r="E1036" s="87"/>
      <c r="F1036" s="85"/>
      <c r="G1036" s="22"/>
      <c r="H1036" s="88"/>
      <c r="J1036" s="22"/>
      <c r="M1036" s="89"/>
      <c r="N1036" s="60"/>
      <c r="O1036" s="90"/>
      <c r="P1036" s="91"/>
      <c r="Q1036" s="92"/>
      <c r="R1036" s="68" t="str">
        <f t="shared" si="19"/>
        <v/>
      </c>
      <c r="S1036" s="22"/>
    </row>
    <row r="1037" spans="1:19" ht="18" customHeight="1">
      <c r="A1037" s="85"/>
      <c r="B1037" s="86"/>
      <c r="C1037" s="22"/>
      <c r="D1037" s="85"/>
      <c r="E1037" s="87"/>
      <c r="F1037" s="85"/>
      <c r="G1037" s="22"/>
      <c r="H1037" s="88"/>
      <c r="J1037" s="22"/>
      <c r="M1037" s="89"/>
      <c r="N1037" s="60"/>
      <c r="O1037" s="90"/>
      <c r="P1037" s="91"/>
      <c r="Q1037" s="92"/>
      <c r="R1037" s="68" t="str">
        <f t="shared" si="19"/>
        <v/>
      </c>
      <c r="S1037" s="22"/>
    </row>
    <row r="1038" spans="1:19" ht="18" customHeight="1">
      <c r="A1038" s="85"/>
      <c r="B1038" s="86"/>
      <c r="C1038" s="22"/>
      <c r="D1038" s="85"/>
      <c r="E1038" s="87"/>
      <c r="F1038" s="85"/>
      <c r="G1038" s="22"/>
      <c r="H1038" s="88"/>
      <c r="J1038" s="22"/>
      <c r="M1038" s="89"/>
      <c r="N1038" s="60"/>
      <c r="O1038" s="90"/>
      <c r="P1038" s="91"/>
      <c r="Q1038" s="92"/>
      <c r="R1038" s="68" t="str">
        <f t="shared" si="19"/>
        <v/>
      </c>
      <c r="S1038" s="22"/>
    </row>
    <row r="1039" spans="1:19" ht="18" customHeight="1">
      <c r="A1039" s="85"/>
      <c r="B1039" s="86"/>
      <c r="C1039" s="22"/>
      <c r="D1039" s="85"/>
      <c r="E1039" s="87"/>
      <c r="F1039" s="85"/>
      <c r="G1039" s="22"/>
      <c r="H1039" s="88"/>
      <c r="J1039" s="22"/>
      <c r="M1039" s="89"/>
      <c r="N1039" s="60"/>
      <c r="O1039" s="90"/>
      <c r="P1039" s="91"/>
      <c r="Q1039" s="92"/>
      <c r="R1039" s="68" t="str">
        <f t="shared" si="19"/>
        <v/>
      </c>
      <c r="S1039" s="22"/>
    </row>
    <row r="1040" spans="1:19" ht="18" customHeight="1">
      <c r="A1040" s="85"/>
      <c r="B1040" s="86"/>
      <c r="C1040" s="22"/>
      <c r="D1040" s="85"/>
      <c r="E1040" s="87"/>
      <c r="F1040" s="85"/>
      <c r="G1040" s="22"/>
      <c r="H1040" s="88"/>
      <c r="J1040" s="22"/>
      <c r="M1040" s="89"/>
      <c r="N1040" s="60"/>
      <c r="O1040" s="90"/>
      <c r="P1040" s="91"/>
      <c r="Q1040" s="92"/>
      <c r="R1040" s="68" t="str">
        <f t="shared" si="19"/>
        <v/>
      </c>
      <c r="S1040" s="22"/>
    </row>
    <row r="1041" spans="1:19" ht="18" customHeight="1">
      <c r="A1041" s="85"/>
      <c r="B1041" s="86"/>
      <c r="C1041" s="22"/>
      <c r="D1041" s="85"/>
      <c r="E1041" s="87"/>
      <c r="F1041" s="85"/>
      <c r="G1041" s="22"/>
      <c r="H1041" s="88"/>
      <c r="J1041" s="22"/>
      <c r="M1041" s="89"/>
      <c r="N1041" s="60"/>
      <c r="O1041" s="90"/>
      <c r="P1041" s="91"/>
      <c r="Q1041" s="92"/>
      <c r="R1041" s="68" t="str">
        <f t="shared" si="19"/>
        <v/>
      </c>
      <c r="S1041" s="22"/>
    </row>
    <row r="1042" spans="1:19" ht="18" customHeight="1">
      <c r="A1042" s="85"/>
      <c r="B1042" s="86"/>
      <c r="C1042" s="22"/>
      <c r="D1042" s="85"/>
      <c r="E1042" s="87"/>
      <c r="F1042" s="85"/>
      <c r="G1042" s="22"/>
      <c r="H1042" s="88"/>
      <c r="J1042" s="22"/>
      <c r="M1042" s="89"/>
      <c r="N1042" s="60"/>
      <c r="O1042" s="90"/>
      <c r="P1042" s="91"/>
      <c r="Q1042" s="92"/>
      <c r="R1042" s="68" t="str">
        <f t="shared" si="19"/>
        <v/>
      </c>
      <c r="S1042" s="22"/>
    </row>
    <row r="1043" spans="1:19" ht="18" customHeight="1">
      <c r="A1043" s="85"/>
      <c r="B1043" s="86"/>
      <c r="C1043" s="22"/>
      <c r="D1043" s="85"/>
      <c r="E1043" s="87"/>
      <c r="F1043" s="85"/>
      <c r="G1043" s="22"/>
      <c r="H1043" s="88"/>
      <c r="J1043" s="22"/>
      <c r="M1043" s="89"/>
      <c r="N1043" s="60"/>
      <c r="O1043" s="90"/>
      <c r="P1043" s="91"/>
      <c r="Q1043" s="92"/>
      <c r="R1043" s="68" t="str">
        <f t="shared" si="19"/>
        <v/>
      </c>
      <c r="S1043" s="22"/>
    </row>
    <row r="1044" spans="1:19" ht="18" customHeight="1">
      <c r="A1044" s="85"/>
      <c r="B1044" s="86"/>
      <c r="C1044" s="22"/>
      <c r="D1044" s="85"/>
      <c r="E1044" s="87"/>
      <c r="F1044" s="85"/>
      <c r="G1044" s="22"/>
      <c r="H1044" s="88"/>
      <c r="J1044" s="22"/>
      <c r="M1044" s="89"/>
      <c r="N1044" s="60"/>
      <c r="O1044" s="90"/>
      <c r="P1044" s="91"/>
      <c r="Q1044" s="92"/>
      <c r="R1044" s="68" t="str">
        <f t="shared" si="19"/>
        <v/>
      </c>
      <c r="S1044" s="22"/>
    </row>
    <row r="1045" spans="1:19" ht="18" customHeight="1">
      <c r="A1045" s="85"/>
      <c r="B1045" s="86"/>
      <c r="C1045" s="22"/>
      <c r="D1045" s="85"/>
      <c r="E1045" s="87"/>
      <c r="F1045" s="85"/>
      <c r="G1045" s="22"/>
      <c r="H1045" s="88"/>
      <c r="J1045" s="22"/>
      <c r="M1045" s="89"/>
      <c r="N1045" s="60"/>
      <c r="O1045" s="90"/>
      <c r="P1045" s="91"/>
      <c r="Q1045" s="92"/>
      <c r="R1045" s="68" t="str">
        <f t="shared" si="19"/>
        <v/>
      </c>
      <c r="S1045" s="22"/>
    </row>
    <row r="1046" spans="1:19" ht="18" customHeight="1">
      <c r="A1046" s="85"/>
      <c r="B1046" s="86"/>
      <c r="C1046" s="22"/>
      <c r="D1046" s="85"/>
      <c r="E1046" s="87"/>
      <c r="F1046" s="85"/>
      <c r="G1046" s="22"/>
      <c r="H1046" s="88"/>
      <c r="J1046" s="22"/>
      <c r="M1046" s="89"/>
      <c r="N1046" s="60"/>
      <c r="O1046" s="90"/>
      <c r="P1046" s="91"/>
      <c r="Q1046" s="92"/>
      <c r="R1046" s="68" t="str">
        <f t="shared" si="19"/>
        <v/>
      </c>
      <c r="S1046" s="22"/>
    </row>
    <row r="1047" spans="1:19" ht="18" customHeight="1">
      <c r="A1047" s="85"/>
      <c r="B1047" s="86"/>
      <c r="C1047" s="22"/>
      <c r="D1047" s="85"/>
      <c r="E1047" s="87"/>
      <c r="F1047" s="85"/>
      <c r="G1047" s="22"/>
      <c r="H1047" s="88"/>
      <c r="J1047" s="22"/>
      <c r="M1047" s="89"/>
      <c r="N1047" s="60"/>
      <c r="O1047" s="90"/>
      <c r="P1047" s="91"/>
      <c r="Q1047" s="92"/>
      <c r="R1047" s="68" t="str">
        <f t="shared" si="19"/>
        <v/>
      </c>
      <c r="S1047" s="22"/>
    </row>
    <row r="1048" spans="1:19" ht="18" customHeight="1">
      <c r="A1048" s="85"/>
      <c r="B1048" s="86"/>
      <c r="C1048" s="22"/>
      <c r="D1048" s="85"/>
      <c r="E1048" s="87"/>
      <c r="F1048" s="85"/>
      <c r="G1048" s="22"/>
      <c r="H1048" s="88"/>
      <c r="J1048" s="22"/>
      <c r="M1048" s="89"/>
      <c r="N1048" s="60"/>
      <c r="O1048" s="90"/>
      <c r="P1048" s="91"/>
      <c r="Q1048" s="92"/>
      <c r="R1048" s="68" t="str">
        <f t="shared" si="19"/>
        <v/>
      </c>
      <c r="S1048" s="22"/>
    </row>
    <row r="1049" spans="1:19" ht="18" customHeight="1">
      <c r="A1049" s="85"/>
      <c r="B1049" s="86"/>
      <c r="C1049" s="22"/>
      <c r="D1049" s="85"/>
      <c r="E1049" s="87"/>
      <c r="F1049" s="85"/>
      <c r="G1049" s="22"/>
      <c r="H1049" s="88"/>
      <c r="J1049" s="22"/>
      <c r="M1049" s="89"/>
      <c r="N1049" s="60"/>
      <c r="O1049" s="90"/>
      <c r="P1049" s="91"/>
      <c r="Q1049" s="92"/>
      <c r="R1049" s="68" t="str">
        <f t="shared" si="19"/>
        <v/>
      </c>
      <c r="S1049" s="22"/>
    </row>
    <row r="1050" spans="1:19" ht="18" customHeight="1">
      <c r="A1050" s="85"/>
      <c r="B1050" s="86"/>
      <c r="C1050" s="22"/>
      <c r="D1050" s="85"/>
      <c r="E1050" s="87"/>
      <c r="F1050" s="85"/>
      <c r="G1050" s="22"/>
      <c r="H1050" s="88"/>
      <c r="J1050" s="22"/>
      <c r="M1050" s="89"/>
      <c r="N1050" s="60"/>
      <c r="O1050" s="90"/>
      <c r="P1050" s="91"/>
      <c r="Q1050" s="92"/>
      <c r="R1050" s="68" t="str">
        <f t="shared" si="19"/>
        <v/>
      </c>
      <c r="S1050" s="22"/>
    </row>
    <row r="1051" spans="1:19" ht="18" customHeight="1">
      <c r="A1051" s="85"/>
      <c r="B1051" s="86"/>
      <c r="C1051" s="22"/>
      <c r="D1051" s="85"/>
      <c r="E1051" s="87"/>
      <c r="F1051" s="85"/>
      <c r="G1051" s="22"/>
      <c r="H1051" s="88"/>
      <c r="J1051" s="22"/>
      <c r="M1051" s="89"/>
      <c r="N1051" s="60"/>
      <c r="O1051" s="90"/>
      <c r="P1051" s="91"/>
      <c r="Q1051" s="92"/>
      <c r="R1051" s="68" t="str">
        <f t="shared" si="19"/>
        <v/>
      </c>
      <c r="S1051" s="22"/>
    </row>
    <row r="1052" spans="1:19" ht="18" customHeight="1">
      <c r="A1052" s="85"/>
      <c r="B1052" s="86"/>
      <c r="C1052" s="22"/>
      <c r="D1052" s="85"/>
      <c r="E1052" s="87"/>
      <c r="F1052" s="85"/>
      <c r="G1052" s="22"/>
      <c r="H1052" s="88"/>
      <c r="J1052" s="22"/>
      <c r="M1052" s="89"/>
      <c r="N1052" s="60"/>
      <c r="O1052" s="90"/>
      <c r="P1052" s="91"/>
      <c r="Q1052" s="92"/>
      <c r="R1052" s="68" t="str">
        <f t="shared" si="19"/>
        <v/>
      </c>
      <c r="S1052" s="22"/>
    </row>
    <row r="1053" spans="1:19" ht="18" customHeight="1">
      <c r="A1053" s="85"/>
      <c r="B1053" s="86"/>
      <c r="C1053" s="22"/>
      <c r="D1053" s="85"/>
      <c r="E1053" s="87"/>
      <c r="F1053" s="85"/>
      <c r="G1053" s="22"/>
      <c r="H1053" s="88"/>
      <c r="J1053" s="22"/>
      <c r="M1053" s="89"/>
      <c r="N1053" s="60"/>
      <c r="O1053" s="90"/>
      <c r="P1053" s="91"/>
      <c r="Q1053" s="92"/>
      <c r="R1053" s="68" t="str">
        <f t="shared" si="19"/>
        <v/>
      </c>
      <c r="S1053" s="22"/>
    </row>
    <row r="1054" spans="1:19" ht="18" customHeight="1">
      <c r="A1054" s="85"/>
      <c r="B1054" s="86"/>
      <c r="C1054" s="22"/>
      <c r="D1054" s="85"/>
      <c r="E1054" s="87"/>
      <c r="F1054" s="85"/>
      <c r="G1054" s="22"/>
      <c r="H1054" s="88"/>
      <c r="J1054" s="22"/>
      <c r="M1054" s="89"/>
      <c r="N1054" s="60"/>
      <c r="O1054" s="90"/>
      <c r="P1054" s="91"/>
      <c r="Q1054" s="92"/>
      <c r="R1054" s="68" t="str">
        <f t="shared" si="19"/>
        <v/>
      </c>
      <c r="S1054" s="22"/>
    </row>
    <row r="1055" spans="1:19" ht="18" customHeight="1">
      <c r="A1055" s="85"/>
      <c r="B1055" s="86"/>
      <c r="C1055" s="22"/>
      <c r="D1055" s="85"/>
      <c r="E1055" s="87"/>
      <c r="F1055" s="85"/>
      <c r="G1055" s="22"/>
      <c r="H1055" s="88"/>
      <c r="J1055" s="22"/>
      <c r="M1055" s="89"/>
      <c r="N1055" s="60"/>
      <c r="O1055" s="90"/>
      <c r="P1055" s="91"/>
      <c r="Q1055" s="92"/>
      <c r="R1055" s="68" t="str">
        <f t="shared" si="19"/>
        <v/>
      </c>
      <c r="S1055" s="22"/>
    </row>
    <row r="1056" spans="1:19" ht="18" customHeight="1">
      <c r="A1056" s="85"/>
      <c r="B1056" s="86"/>
      <c r="C1056" s="22"/>
      <c r="D1056" s="85"/>
      <c r="E1056" s="87"/>
      <c r="F1056" s="85"/>
      <c r="G1056" s="22"/>
      <c r="H1056" s="88"/>
      <c r="J1056" s="22"/>
      <c r="M1056" s="89"/>
      <c r="N1056" s="60"/>
      <c r="O1056" s="90"/>
      <c r="P1056" s="91"/>
      <c r="Q1056" s="92"/>
      <c r="R1056" s="68" t="str">
        <f t="shared" si="19"/>
        <v/>
      </c>
      <c r="S1056" s="22"/>
    </row>
    <row r="1057" spans="1:19" ht="18" customHeight="1">
      <c r="A1057" s="85"/>
      <c r="B1057" s="86"/>
      <c r="C1057" s="22"/>
      <c r="D1057" s="85"/>
      <c r="E1057" s="87"/>
      <c r="F1057" s="85"/>
      <c r="G1057" s="22"/>
      <c r="H1057" s="88"/>
      <c r="J1057" s="22"/>
      <c r="M1057" s="89"/>
      <c r="N1057" s="60"/>
      <c r="O1057" s="90"/>
      <c r="P1057" s="91"/>
      <c r="Q1057" s="92"/>
      <c r="R1057" s="68" t="str">
        <f t="shared" si="19"/>
        <v/>
      </c>
      <c r="S1057" s="22"/>
    </row>
    <row r="1058" spans="1:19" ht="18" customHeight="1">
      <c r="A1058" s="85"/>
      <c r="B1058" s="86"/>
      <c r="C1058" s="22"/>
      <c r="D1058" s="85"/>
      <c r="E1058" s="87"/>
      <c r="F1058" s="85"/>
      <c r="G1058" s="22"/>
      <c r="H1058" s="88"/>
      <c r="J1058" s="22"/>
      <c r="M1058" s="89"/>
      <c r="N1058" s="60"/>
      <c r="O1058" s="90"/>
      <c r="P1058" s="91"/>
      <c r="Q1058" s="92"/>
      <c r="R1058" s="68" t="str">
        <f t="shared" si="19"/>
        <v/>
      </c>
      <c r="S1058" s="22"/>
    </row>
    <row r="1059" spans="1:19" ht="18" customHeight="1">
      <c r="A1059" s="85"/>
      <c r="B1059" s="86"/>
      <c r="C1059" s="22"/>
      <c r="D1059" s="85"/>
      <c r="E1059" s="87"/>
      <c r="F1059" s="85"/>
      <c r="G1059" s="22"/>
      <c r="H1059" s="88"/>
      <c r="J1059" s="22"/>
      <c r="M1059" s="89"/>
      <c r="N1059" s="60"/>
      <c r="O1059" s="90"/>
      <c r="P1059" s="91"/>
      <c r="Q1059" s="92"/>
      <c r="R1059" s="68" t="str">
        <f t="shared" si="19"/>
        <v/>
      </c>
      <c r="S1059" s="22"/>
    </row>
    <row r="1060" spans="1:19" ht="18" customHeight="1">
      <c r="A1060" s="85"/>
      <c r="B1060" s="86"/>
      <c r="C1060" s="22"/>
      <c r="D1060" s="85"/>
      <c r="E1060" s="87"/>
      <c r="F1060" s="85"/>
      <c r="G1060" s="22"/>
      <c r="H1060" s="88"/>
      <c r="J1060" s="22"/>
      <c r="M1060" s="89"/>
      <c r="N1060" s="60"/>
      <c r="O1060" s="90"/>
      <c r="P1060" s="91"/>
      <c r="Q1060" s="92"/>
      <c r="R1060" s="68" t="str">
        <f t="shared" si="19"/>
        <v/>
      </c>
      <c r="S1060" s="22"/>
    </row>
    <row r="1061" spans="1:19" ht="18" customHeight="1">
      <c r="A1061" s="85"/>
      <c r="B1061" s="86"/>
      <c r="C1061" s="22"/>
      <c r="D1061" s="85"/>
      <c r="E1061" s="87"/>
      <c r="F1061" s="85"/>
      <c r="G1061" s="22"/>
      <c r="H1061" s="88"/>
      <c r="J1061" s="22"/>
      <c r="M1061" s="89"/>
      <c r="N1061" s="60"/>
      <c r="O1061" s="90"/>
      <c r="P1061" s="91"/>
      <c r="Q1061" s="92"/>
      <c r="R1061" s="68" t="str">
        <f t="shared" si="19"/>
        <v/>
      </c>
      <c r="S1061" s="22"/>
    </row>
    <row r="1062" spans="1:19" ht="18" customHeight="1">
      <c r="A1062" s="85"/>
      <c r="B1062" s="86"/>
      <c r="C1062" s="22"/>
      <c r="D1062" s="85"/>
      <c r="E1062" s="87"/>
      <c r="F1062" s="85"/>
      <c r="G1062" s="22"/>
      <c r="H1062" s="88"/>
      <c r="J1062" s="22"/>
      <c r="M1062" s="89"/>
      <c r="N1062" s="60"/>
      <c r="O1062" s="90"/>
      <c r="P1062" s="91"/>
      <c r="Q1062" s="92"/>
      <c r="R1062" s="68" t="str">
        <f t="shared" si="19"/>
        <v/>
      </c>
      <c r="S1062" s="22"/>
    </row>
    <row r="1063" spans="1:19" ht="18" customHeight="1">
      <c r="A1063" s="85"/>
      <c r="B1063" s="86"/>
      <c r="C1063" s="22"/>
      <c r="D1063" s="85"/>
      <c r="E1063" s="87"/>
      <c r="F1063" s="85"/>
      <c r="G1063" s="22"/>
      <c r="H1063" s="88"/>
      <c r="J1063" s="22"/>
      <c r="M1063" s="89"/>
      <c r="N1063" s="60"/>
      <c r="O1063" s="90"/>
      <c r="P1063" s="91"/>
      <c r="Q1063" s="92"/>
      <c r="R1063" s="68" t="str">
        <f t="shared" si="19"/>
        <v/>
      </c>
      <c r="S1063" s="22"/>
    </row>
    <row r="1064" spans="1:19" ht="18" customHeight="1">
      <c r="A1064" s="85"/>
      <c r="B1064" s="86"/>
      <c r="C1064" s="22"/>
      <c r="D1064" s="85"/>
      <c r="E1064" s="87"/>
      <c r="F1064" s="85"/>
      <c r="G1064" s="22"/>
      <c r="H1064" s="88"/>
      <c r="J1064" s="22"/>
      <c r="M1064" s="89"/>
      <c r="N1064" s="60"/>
      <c r="O1064" s="90"/>
      <c r="P1064" s="91"/>
      <c r="Q1064" s="92"/>
      <c r="R1064" s="68" t="str">
        <f t="shared" si="19"/>
        <v/>
      </c>
      <c r="S1064" s="22"/>
    </row>
    <row r="1065" spans="1:19" ht="18" customHeight="1">
      <c r="A1065" s="85"/>
      <c r="B1065" s="86"/>
      <c r="C1065" s="22"/>
      <c r="D1065" s="85"/>
      <c r="E1065" s="87"/>
      <c r="F1065" s="85"/>
      <c r="G1065" s="22"/>
      <c r="H1065" s="88"/>
      <c r="J1065" s="22"/>
      <c r="M1065" s="89"/>
      <c r="N1065" s="60"/>
      <c r="O1065" s="90"/>
      <c r="P1065" s="91"/>
      <c r="Q1065" s="92"/>
      <c r="R1065" s="68" t="str">
        <f t="shared" si="19"/>
        <v/>
      </c>
      <c r="S1065" s="22"/>
    </row>
    <row r="1066" spans="1:19" ht="18" customHeight="1">
      <c r="A1066" s="85"/>
      <c r="B1066" s="86"/>
      <c r="C1066" s="22"/>
      <c r="D1066" s="85"/>
      <c r="E1066" s="87"/>
      <c r="F1066" s="85"/>
      <c r="G1066" s="22"/>
      <c r="H1066" s="88"/>
      <c r="J1066" s="22"/>
      <c r="M1066" s="89"/>
      <c r="N1066" s="60"/>
      <c r="O1066" s="90"/>
      <c r="P1066" s="91"/>
      <c r="Q1066" s="92"/>
      <c r="R1066" s="68" t="str">
        <f t="shared" si="19"/>
        <v/>
      </c>
      <c r="S1066" s="22"/>
    </row>
    <row r="1067" spans="1:19" ht="18" customHeight="1">
      <c r="A1067" s="85"/>
      <c r="B1067" s="86"/>
      <c r="C1067" s="22"/>
      <c r="D1067" s="85"/>
      <c r="E1067" s="87"/>
      <c r="F1067" s="85"/>
      <c r="G1067" s="22"/>
      <c r="H1067" s="88"/>
      <c r="J1067" s="22"/>
      <c r="M1067" s="89"/>
      <c r="N1067" s="60"/>
      <c r="O1067" s="90"/>
      <c r="P1067" s="91"/>
      <c r="Q1067" s="92"/>
      <c r="R1067" s="68" t="str">
        <f t="shared" si="19"/>
        <v/>
      </c>
      <c r="S1067" s="22"/>
    </row>
    <row r="1068" spans="1:19" ht="18" customHeight="1">
      <c r="A1068" s="85"/>
      <c r="B1068" s="86"/>
      <c r="C1068" s="22"/>
      <c r="D1068" s="85"/>
      <c r="E1068" s="87"/>
      <c r="F1068" s="85"/>
      <c r="G1068" s="22"/>
      <c r="H1068" s="88"/>
      <c r="J1068" s="22"/>
      <c r="M1068" s="89"/>
      <c r="N1068" s="60"/>
      <c r="O1068" s="90"/>
      <c r="P1068" s="91"/>
      <c r="Q1068" s="92"/>
      <c r="R1068" s="68" t="str">
        <f t="shared" si="19"/>
        <v/>
      </c>
      <c r="S1068" s="22"/>
    </row>
    <row r="1069" spans="1:19" ht="18" customHeight="1">
      <c r="A1069" s="85"/>
      <c r="B1069" s="86"/>
      <c r="C1069" s="22"/>
      <c r="D1069" s="85"/>
      <c r="E1069" s="87"/>
      <c r="F1069" s="85"/>
      <c r="G1069" s="22"/>
      <c r="H1069" s="88"/>
      <c r="J1069" s="22"/>
      <c r="M1069" s="89"/>
      <c r="N1069" s="60"/>
      <c r="O1069" s="90"/>
      <c r="P1069" s="91"/>
      <c r="Q1069" s="92"/>
      <c r="R1069" s="68" t="str">
        <f t="shared" si="19"/>
        <v/>
      </c>
      <c r="S1069" s="22"/>
    </row>
    <row r="1070" spans="1:19" ht="18" customHeight="1">
      <c r="A1070" s="85"/>
      <c r="B1070" s="86"/>
      <c r="C1070" s="22"/>
      <c r="D1070" s="85"/>
      <c r="E1070" s="87"/>
      <c r="F1070" s="85"/>
      <c r="G1070" s="22"/>
      <c r="H1070" s="88"/>
      <c r="J1070" s="22"/>
      <c r="M1070" s="89"/>
      <c r="N1070" s="60"/>
      <c r="O1070" s="90"/>
      <c r="P1070" s="91"/>
      <c r="Q1070" s="92"/>
      <c r="R1070" s="68" t="str">
        <f t="shared" si="19"/>
        <v/>
      </c>
      <c r="S1070" s="22"/>
    </row>
    <row r="1071" spans="1:19" ht="18" customHeight="1">
      <c r="A1071" s="85"/>
      <c r="B1071" s="86"/>
      <c r="C1071" s="22"/>
      <c r="D1071" s="85"/>
      <c r="E1071" s="87"/>
      <c r="F1071" s="85"/>
      <c r="G1071" s="22"/>
      <c r="H1071" s="88"/>
      <c r="J1071" s="22"/>
      <c r="M1071" s="89"/>
      <c r="N1071" s="60"/>
      <c r="O1071" s="90"/>
      <c r="P1071" s="91"/>
      <c r="Q1071" s="92"/>
      <c r="R1071" s="68" t="str">
        <f t="shared" si="19"/>
        <v/>
      </c>
      <c r="S1071" s="22"/>
    </row>
    <row r="1072" spans="1:19" ht="18" customHeight="1">
      <c r="A1072" s="85"/>
      <c r="B1072" s="86"/>
      <c r="C1072" s="22"/>
      <c r="D1072" s="85"/>
      <c r="E1072" s="87"/>
      <c r="F1072" s="85"/>
      <c r="G1072" s="22"/>
      <c r="H1072" s="88"/>
      <c r="J1072" s="22"/>
      <c r="M1072" s="89"/>
      <c r="N1072" s="60"/>
      <c r="O1072" s="90"/>
      <c r="P1072" s="91"/>
      <c r="Q1072" s="92"/>
      <c r="R1072" s="68" t="str">
        <f t="shared" si="19"/>
        <v/>
      </c>
      <c r="S1072" s="22"/>
    </row>
    <row r="1073" spans="1:19" ht="18" customHeight="1">
      <c r="A1073" s="85"/>
      <c r="B1073" s="86"/>
      <c r="C1073" s="22"/>
      <c r="D1073" s="85"/>
      <c r="E1073" s="87"/>
      <c r="F1073" s="85"/>
      <c r="G1073" s="22"/>
      <c r="H1073" s="88"/>
      <c r="J1073" s="22"/>
      <c r="M1073" s="89"/>
      <c r="N1073" s="60"/>
      <c r="O1073" s="90"/>
      <c r="P1073" s="91"/>
      <c r="Q1073" s="92"/>
      <c r="R1073" s="68" t="str">
        <f t="shared" si="19"/>
        <v/>
      </c>
      <c r="S1073" s="22"/>
    </row>
    <row r="1074" spans="1:19" ht="18" customHeight="1">
      <c r="A1074" s="85"/>
      <c r="B1074" s="86"/>
      <c r="C1074" s="22"/>
      <c r="D1074" s="85"/>
      <c r="E1074" s="87"/>
      <c r="F1074" s="85"/>
      <c r="G1074" s="22"/>
      <c r="H1074" s="88"/>
      <c r="J1074" s="22"/>
      <c r="M1074" s="89"/>
      <c r="N1074" s="60"/>
      <c r="O1074" s="90"/>
      <c r="P1074" s="91"/>
      <c r="Q1074" s="92"/>
      <c r="R1074" s="68" t="str">
        <f t="shared" si="19"/>
        <v/>
      </c>
      <c r="S1074" s="22"/>
    </row>
    <row r="1075" spans="1:19" ht="18" customHeight="1">
      <c r="A1075" s="85"/>
      <c r="B1075" s="86"/>
      <c r="C1075" s="22"/>
      <c r="D1075" s="85"/>
      <c r="E1075" s="87"/>
      <c r="F1075" s="85"/>
      <c r="G1075" s="22"/>
      <c r="H1075" s="88"/>
      <c r="J1075" s="22"/>
      <c r="M1075" s="89"/>
      <c r="N1075" s="60"/>
      <c r="O1075" s="90"/>
      <c r="P1075" s="91"/>
      <c r="Q1075" s="92"/>
      <c r="R1075" s="68" t="str">
        <f t="shared" si="19"/>
        <v/>
      </c>
      <c r="S1075" s="22"/>
    </row>
    <row r="1076" spans="1:19" ht="18" customHeight="1">
      <c r="A1076" s="85"/>
      <c r="B1076" s="86"/>
      <c r="C1076" s="22"/>
      <c r="D1076" s="85"/>
      <c r="E1076" s="87"/>
      <c r="F1076" s="85"/>
      <c r="G1076" s="22"/>
      <c r="H1076" s="88"/>
      <c r="J1076" s="22"/>
      <c r="M1076" s="89"/>
      <c r="N1076" s="60"/>
      <c r="O1076" s="90"/>
      <c r="P1076" s="91"/>
      <c r="Q1076" s="92"/>
      <c r="R1076" s="68" t="str">
        <f t="shared" ref="R1076:R1139" si="20">IF(SUM(Q1076)&gt;0,SUM(Q1076-P1076),"")</f>
        <v/>
      </c>
      <c r="S1076" s="22"/>
    </row>
    <row r="1077" spans="1:19" ht="18" customHeight="1">
      <c r="A1077" s="85"/>
      <c r="B1077" s="86"/>
      <c r="C1077" s="22"/>
      <c r="D1077" s="85"/>
      <c r="E1077" s="87"/>
      <c r="F1077" s="85"/>
      <c r="G1077" s="22"/>
      <c r="H1077" s="88"/>
      <c r="J1077" s="22"/>
      <c r="M1077" s="89"/>
      <c r="N1077" s="60"/>
      <c r="O1077" s="90"/>
      <c r="P1077" s="91"/>
      <c r="Q1077" s="92"/>
      <c r="R1077" s="68" t="str">
        <f t="shared" si="20"/>
        <v/>
      </c>
      <c r="S1077" s="22"/>
    </row>
    <row r="1078" spans="1:19" ht="18" customHeight="1">
      <c r="A1078" s="85"/>
      <c r="B1078" s="86"/>
      <c r="C1078" s="22"/>
      <c r="D1078" s="85"/>
      <c r="E1078" s="87"/>
      <c r="F1078" s="85"/>
      <c r="G1078" s="22"/>
      <c r="H1078" s="88"/>
      <c r="J1078" s="22"/>
      <c r="M1078" s="89"/>
      <c r="N1078" s="60"/>
      <c r="O1078" s="90"/>
      <c r="P1078" s="91"/>
      <c r="Q1078" s="92"/>
      <c r="R1078" s="68" t="str">
        <f t="shared" si="20"/>
        <v/>
      </c>
      <c r="S1078" s="22"/>
    </row>
    <row r="1079" spans="1:19" ht="18" customHeight="1">
      <c r="A1079" s="85"/>
      <c r="B1079" s="86"/>
      <c r="C1079" s="22"/>
      <c r="D1079" s="85"/>
      <c r="E1079" s="87"/>
      <c r="F1079" s="85"/>
      <c r="G1079" s="22"/>
      <c r="H1079" s="88"/>
      <c r="J1079" s="22"/>
      <c r="M1079" s="89"/>
      <c r="N1079" s="60"/>
      <c r="O1079" s="90"/>
      <c r="P1079" s="91"/>
      <c r="Q1079" s="92"/>
      <c r="R1079" s="68" t="str">
        <f t="shared" si="20"/>
        <v/>
      </c>
      <c r="S1079" s="22"/>
    </row>
    <row r="1080" spans="1:19" ht="18" customHeight="1">
      <c r="A1080" s="85"/>
      <c r="B1080" s="86"/>
      <c r="C1080" s="22"/>
      <c r="D1080" s="85"/>
      <c r="E1080" s="87"/>
      <c r="F1080" s="85"/>
      <c r="G1080" s="22"/>
      <c r="H1080" s="88"/>
      <c r="J1080" s="22"/>
      <c r="M1080" s="89"/>
      <c r="N1080" s="60"/>
      <c r="O1080" s="90"/>
      <c r="P1080" s="91"/>
      <c r="Q1080" s="92"/>
      <c r="R1080" s="68" t="str">
        <f t="shared" si="20"/>
        <v/>
      </c>
      <c r="S1080" s="22"/>
    </row>
    <row r="1081" spans="1:19" ht="18" customHeight="1">
      <c r="A1081" s="85"/>
      <c r="B1081" s="86"/>
      <c r="C1081" s="22"/>
      <c r="D1081" s="85"/>
      <c r="E1081" s="87"/>
      <c r="F1081" s="85"/>
      <c r="G1081" s="22"/>
      <c r="H1081" s="88"/>
      <c r="J1081" s="22"/>
      <c r="M1081" s="89"/>
      <c r="N1081" s="60"/>
      <c r="O1081" s="90"/>
      <c r="P1081" s="91"/>
      <c r="Q1081" s="92"/>
      <c r="R1081" s="68" t="str">
        <f t="shared" si="20"/>
        <v/>
      </c>
      <c r="S1081" s="22"/>
    </row>
    <row r="1082" spans="1:19" ht="18" customHeight="1">
      <c r="A1082" s="85"/>
      <c r="B1082" s="86"/>
      <c r="C1082" s="22"/>
      <c r="D1082" s="85"/>
      <c r="E1082" s="87"/>
      <c r="F1082" s="85"/>
      <c r="G1082" s="22"/>
      <c r="H1082" s="88"/>
      <c r="J1082" s="22"/>
      <c r="M1082" s="89"/>
      <c r="N1082" s="60"/>
      <c r="O1082" s="90"/>
      <c r="P1082" s="91"/>
      <c r="Q1082" s="92"/>
      <c r="R1082" s="68" t="str">
        <f t="shared" si="20"/>
        <v/>
      </c>
      <c r="S1082" s="22"/>
    </row>
    <row r="1083" spans="1:19" ht="18" customHeight="1">
      <c r="A1083" s="85"/>
      <c r="B1083" s="86"/>
      <c r="C1083" s="22"/>
      <c r="D1083" s="85"/>
      <c r="E1083" s="87"/>
      <c r="F1083" s="85"/>
      <c r="G1083" s="22"/>
      <c r="H1083" s="88"/>
      <c r="J1083" s="22"/>
      <c r="M1083" s="89"/>
      <c r="N1083" s="60"/>
      <c r="O1083" s="90"/>
      <c r="P1083" s="91"/>
      <c r="Q1083" s="92"/>
      <c r="R1083" s="68" t="str">
        <f t="shared" si="20"/>
        <v/>
      </c>
      <c r="S1083" s="22"/>
    </row>
    <row r="1084" spans="1:19" ht="18" customHeight="1">
      <c r="A1084" s="85"/>
      <c r="B1084" s="86"/>
      <c r="C1084" s="22"/>
      <c r="D1084" s="85"/>
      <c r="E1084" s="87"/>
      <c r="F1084" s="85"/>
      <c r="G1084" s="22"/>
      <c r="H1084" s="88"/>
      <c r="J1084" s="22"/>
      <c r="M1084" s="89"/>
      <c r="N1084" s="60"/>
      <c r="O1084" s="90"/>
      <c r="P1084" s="91"/>
      <c r="Q1084" s="92"/>
      <c r="R1084" s="68" t="str">
        <f t="shared" si="20"/>
        <v/>
      </c>
      <c r="S1084" s="22"/>
    </row>
    <row r="1085" spans="1:19" ht="18" customHeight="1">
      <c r="A1085" s="85"/>
      <c r="B1085" s="86"/>
      <c r="C1085" s="22"/>
      <c r="D1085" s="85"/>
      <c r="E1085" s="87"/>
      <c r="F1085" s="85"/>
      <c r="G1085" s="22"/>
      <c r="H1085" s="88"/>
      <c r="J1085" s="22"/>
      <c r="M1085" s="89"/>
      <c r="N1085" s="60"/>
      <c r="O1085" s="90"/>
      <c r="P1085" s="91"/>
      <c r="Q1085" s="92"/>
      <c r="R1085" s="68" t="str">
        <f t="shared" si="20"/>
        <v/>
      </c>
      <c r="S1085" s="22"/>
    </row>
    <row r="1086" spans="1:19" ht="18" customHeight="1">
      <c r="A1086" s="85"/>
      <c r="B1086" s="86"/>
      <c r="C1086" s="22"/>
      <c r="D1086" s="85"/>
      <c r="E1086" s="87"/>
      <c r="F1086" s="85"/>
      <c r="G1086" s="22"/>
      <c r="H1086" s="88"/>
      <c r="J1086" s="22"/>
      <c r="M1086" s="89"/>
      <c r="N1086" s="60"/>
      <c r="O1086" s="90"/>
      <c r="P1086" s="91"/>
      <c r="Q1086" s="92"/>
      <c r="R1086" s="68" t="str">
        <f t="shared" si="20"/>
        <v/>
      </c>
      <c r="S1086" s="22"/>
    </row>
    <row r="1087" spans="1:19" ht="18" customHeight="1">
      <c r="A1087" s="85"/>
      <c r="B1087" s="86"/>
      <c r="C1087" s="22"/>
      <c r="D1087" s="85"/>
      <c r="E1087" s="87"/>
      <c r="F1087" s="85"/>
      <c r="G1087" s="22"/>
      <c r="H1087" s="88"/>
      <c r="J1087" s="22"/>
      <c r="M1087" s="89"/>
      <c r="N1087" s="60"/>
      <c r="O1087" s="90"/>
      <c r="P1087" s="91"/>
      <c r="Q1087" s="92"/>
      <c r="R1087" s="68" t="str">
        <f t="shared" si="20"/>
        <v/>
      </c>
      <c r="S1087" s="22"/>
    </row>
    <row r="1088" spans="1:19" ht="18" customHeight="1">
      <c r="A1088" s="85"/>
      <c r="B1088" s="86"/>
      <c r="C1088" s="22"/>
      <c r="D1088" s="85"/>
      <c r="E1088" s="87"/>
      <c r="F1088" s="85"/>
      <c r="G1088" s="22"/>
      <c r="H1088" s="88"/>
      <c r="J1088" s="22"/>
      <c r="M1088" s="89"/>
      <c r="N1088" s="60"/>
      <c r="O1088" s="90"/>
      <c r="P1088" s="91"/>
      <c r="Q1088" s="92"/>
      <c r="R1088" s="68" t="str">
        <f t="shared" si="20"/>
        <v/>
      </c>
      <c r="S1088" s="22"/>
    </row>
    <row r="1089" spans="1:19" ht="18" customHeight="1">
      <c r="A1089" s="85"/>
      <c r="B1089" s="86"/>
      <c r="C1089" s="22"/>
      <c r="D1089" s="85"/>
      <c r="E1089" s="87"/>
      <c r="F1089" s="85"/>
      <c r="G1089" s="22"/>
      <c r="H1089" s="88"/>
      <c r="J1089" s="22"/>
      <c r="M1089" s="89"/>
      <c r="N1089" s="60"/>
      <c r="O1089" s="90"/>
      <c r="P1089" s="91"/>
      <c r="Q1089" s="92"/>
      <c r="R1089" s="68" t="str">
        <f t="shared" si="20"/>
        <v/>
      </c>
      <c r="S1089" s="22"/>
    </row>
    <row r="1090" spans="1:19" ht="18" customHeight="1">
      <c r="A1090" s="85"/>
      <c r="B1090" s="86"/>
      <c r="C1090" s="22"/>
      <c r="D1090" s="85"/>
      <c r="E1090" s="87"/>
      <c r="F1090" s="85"/>
      <c r="G1090" s="22"/>
      <c r="H1090" s="88"/>
      <c r="J1090" s="22"/>
      <c r="M1090" s="89"/>
      <c r="N1090" s="60"/>
      <c r="O1090" s="90"/>
      <c r="P1090" s="91"/>
      <c r="Q1090" s="92"/>
      <c r="R1090" s="68" t="str">
        <f t="shared" si="20"/>
        <v/>
      </c>
      <c r="S1090" s="22"/>
    </row>
    <row r="1091" spans="1:19" ht="18" customHeight="1">
      <c r="A1091" s="85"/>
      <c r="B1091" s="86"/>
      <c r="C1091" s="22"/>
      <c r="D1091" s="85"/>
      <c r="E1091" s="87"/>
      <c r="F1091" s="85"/>
      <c r="G1091" s="22"/>
      <c r="H1091" s="88"/>
      <c r="J1091" s="22"/>
      <c r="M1091" s="89"/>
      <c r="N1091" s="60"/>
      <c r="O1091" s="90"/>
      <c r="P1091" s="91"/>
      <c r="Q1091" s="92"/>
      <c r="R1091" s="68" t="str">
        <f t="shared" si="20"/>
        <v/>
      </c>
      <c r="S1091" s="22"/>
    </row>
    <row r="1092" spans="1:19" ht="18" customHeight="1">
      <c r="A1092" s="85"/>
      <c r="B1092" s="86"/>
      <c r="C1092" s="22"/>
      <c r="D1092" s="85"/>
      <c r="E1092" s="87"/>
      <c r="F1092" s="85"/>
      <c r="G1092" s="22"/>
      <c r="H1092" s="88"/>
      <c r="J1092" s="22"/>
      <c r="M1092" s="89"/>
      <c r="N1092" s="60"/>
      <c r="O1092" s="90"/>
      <c r="P1092" s="91"/>
      <c r="Q1092" s="92"/>
      <c r="R1092" s="68" t="str">
        <f t="shared" si="20"/>
        <v/>
      </c>
      <c r="S1092" s="22"/>
    </row>
    <row r="1093" spans="1:19" ht="18" customHeight="1">
      <c r="A1093" s="85"/>
      <c r="B1093" s="86"/>
      <c r="C1093" s="22"/>
      <c r="D1093" s="85"/>
      <c r="E1093" s="87"/>
      <c r="F1093" s="85"/>
      <c r="G1093" s="22"/>
      <c r="H1093" s="88"/>
      <c r="J1093" s="22"/>
      <c r="M1093" s="89"/>
      <c r="N1093" s="60"/>
      <c r="O1093" s="90"/>
      <c r="P1093" s="91"/>
      <c r="Q1093" s="92"/>
      <c r="R1093" s="68" t="str">
        <f t="shared" si="20"/>
        <v/>
      </c>
      <c r="S1093" s="22"/>
    </row>
    <row r="1094" spans="1:19" ht="18" customHeight="1">
      <c r="A1094" s="85"/>
      <c r="B1094" s="86"/>
      <c r="C1094" s="22"/>
      <c r="D1094" s="85"/>
      <c r="E1094" s="87"/>
      <c r="F1094" s="85"/>
      <c r="G1094" s="22"/>
      <c r="H1094" s="88"/>
      <c r="J1094" s="22"/>
      <c r="M1094" s="89"/>
      <c r="N1094" s="60"/>
      <c r="O1094" s="90"/>
      <c r="P1094" s="91"/>
      <c r="Q1094" s="92"/>
      <c r="R1094" s="68" t="str">
        <f t="shared" si="20"/>
        <v/>
      </c>
      <c r="S1094" s="22"/>
    </row>
    <row r="1095" spans="1:19" ht="18" customHeight="1">
      <c r="A1095" s="85"/>
      <c r="B1095" s="86"/>
      <c r="C1095" s="22"/>
      <c r="D1095" s="85"/>
      <c r="E1095" s="87"/>
      <c r="F1095" s="85"/>
      <c r="G1095" s="22"/>
      <c r="H1095" s="88"/>
      <c r="J1095" s="22"/>
      <c r="M1095" s="89"/>
      <c r="N1095" s="60"/>
      <c r="O1095" s="90"/>
      <c r="P1095" s="91"/>
      <c r="Q1095" s="92"/>
      <c r="R1095" s="68" t="str">
        <f t="shared" si="20"/>
        <v/>
      </c>
      <c r="S1095" s="22"/>
    </row>
    <row r="1096" spans="1:19" ht="18" customHeight="1">
      <c r="A1096" s="85"/>
      <c r="B1096" s="86"/>
      <c r="C1096" s="22"/>
      <c r="D1096" s="85"/>
      <c r="E1096" s="87"/>
      <c r="F1096" s="85"/>
      <c r="G1096" s="22"/>
      <c r="H1096" s="88"/>
      <c r="J1096" s="22"/>
      <c r="M1096" s="89"/>
      <c r="N1096" s="60"/>
      <c r="O1096" s="90"/>
      <c r="P1096" s="91"/>
      <c r="Q1096" s="92"/>
      <c r="R1096" s="68" t="str">
        <f t="shared" si="20"/>
        <v/>
      </c>
      <c r="S1096" s="22"/>
    </row>
    <row r="1097" spans="1:19" ht="18" customHeight="1">
      <c r="A1097" s="85"/>
      <c r="B1097" s="86"/>
      <c r="C1097" s="22"/>
      <c r="D1097" s="85"/>
      <c r="E1097" s="87"/>
      <c r="F1097" s="85"/>
      <c r="G1097" s="22"/>
      <c r="H1097" s="88"/>
      <c r="J1097" s="22"/>
      <c r="M1097" s="89"/>
      <c r="N1097" s="60"/>
      <c r="O1097" s="90"/>
      <c r="P1097" s="91"/>
      <c r="Q1097" s="92"/>
      <c r="R1097" s="68" t="str">
        <f t="shared" si="20"/>
        <v/>
      </c>
      <c r="S1097" s="22"/>
    </row>
    <row r="1098" spans="1:19" ht="18" customHeight="1">
      <c r="A1098" s="85"/>
      <c r="B1098" s="86"/>
      <c r="C1098" s="22"/>
      <c r="D1098" s="85"/>
      <c r="E1098" s="87"/>
      <c r="F1098" s="85"/>
      <c r="G1098" s="22"/>
      <c r="H1098" s="88"/>
      <c r="J1098" s="22"/>
      <c r="M1098" s="89"/>
      <c r="N1098" s="60"/>
      <c r="O1098" s="90"/>
      <c r="P1098" s="91"/>
      <c r="Q1098" s="92"/>
      <c r="R1098" s="68" t="str">
        <f t="shared" si="20"/>
        <v/>
      </c>
      <c r="S1098" s="22"/>
    </row>
    <row r="1099" spans="1:19" ht="18" customHeight="1">
      <c r="A1099" s="85"/>
      <c r="B1099" s="86"/>
      <c r="C1099" s="22"/>
      <c r="D1099" s="85"/>
      <c r="E1099" s="87"/>
      <c r="F1099" s="85"/>
      <c r="G1099" s="22"/>
      <c r="H1099" s="88"/>
      <c r="J1099" s="22"/>
      <c r="M1099" s="89"/>
      <c r="N1099" s="60"/>
      <c r="O1099" s="90"/>
      <c r="P1099" s="91"/>
      <c r="Q1099" s="92"/>
      <c r="R1099" s="68" t="str">
        <f t="shared" si="20"/>
        <v/>
      </c>
      <c r="S1099" s="22"/>
    </row>
    <row r="1100" spans="1:19" ht="18" customHeight="1">
      <c r="A1100" s="85"/>
      <c r="B1100" s="86"/>
      <c r="C1100" s="22"/>
      <c r="D1100" s="85"/>
      <c r="E1100" s="87"/>
      <c r="F1100" s="85"/>
      <c r="G1100" s="22"/>
      <c r="H1100" s="88"/>
      <c r="J1100" s="22"/>
      <c r="M1100" s="89"/>
      <c r="N1100" s="60"/>
      <c r="O1100" s="90"/>
      <c r="P1100" s="91"/>
      <c r="Q1100" s="92"/>
      <c r="R1100" s="68" t="str">
        <f t="shared" si="20"/>
        <v/>
      </c>
      <c r="S1100" s="22"/>
    </row>
    <row r="1101" spans="1:19" ht="18" customHeight="1">
      <c r="A1101" s="85"/>
      <c r="B1101" s="86"/>
      <c r="C1101" s="22"/>
      <c r="D1101" s="85"/>
      <c r="E1101" s="87"/>
      <c r="F1101" s="85"/>
      <c r="G1101" s="22"/>
      <c r="H1101" s="88"/>
      <c r="J1101" s="22"/>
      <c r="M1101" s="89"/>
      <c r="N1101" s="60"/>
      <c r="O1101" s="90"/>
      <c r="P1101" s="91"/>
      <c r="Q1101" s="92"/>
      <c r="R1101" s="68" t="str">
        <f t="shared" si="20"/>
        <v/>
      </c>
      <c r="S1101" s="22"/>
    </row>
    <row r="1102" spans="1:19" ht="18" customHeight="1">
      <c r="A1102" s="85"/>
      <c r="B1102" s="86"/>
      <c r="C1102" s="22"/>
      <c r="D1102" s="85"/>
      <c r="E1102" s="87"/>
      <c r="F1102" s="85"/>
      <c r="G1102" s="22"/>
      <c r="H1102" s="88"/>
      <c r="J1102" s="22"/>
      <c r="M1102" s="89"/>
      <c r="N1102" s="60"/>
      <c r="O1102" s="90"/>
      <c r="P1102" s="91"/>
      <c r="Q1102" s="92"/>
      <c r="R1102" s="68" t="str">
        <f t="shared" si="20"/>
        <v/>
      </c>
      <c r="S1102" s="22"/>
    </row>
    <row r="1103" spans="1:19" ht="18" customHeight="1">
      <c r="A1103" s="85"/>
      <c r="B1103" s="86"/>
      <c r="C1103" s="22"/>
      <c r="D1103" s="85"/>
      <c r="E1103" s="87"/>
      <c r="F1103" s="85"/>
      <c r="G1103" s="22"/>
      <c r="H1103" s="88"/>
      <c r="J1103" s="22"/>
      <c r="M1103" s="89"/>
      <c r="N1103" s="60"/>
      <c r="O1103" s="90"/>
      <c r="P1103" s="91"/>
      <c r="Q1103" s="92"/>
      <c r="R1103" s="68" t="str">
        <f t="shared" si="20"/>
        <v/>
      </c>
      <c r="S1103" s="22"/>
    </row>
    <row r="1104" spans="1:19" ht="18" customHeight="1">
      <c r="A1104" s="85"/>
      <c r="B1104" s="86"/>
      <c r="C1104" s="22"/>
      <c r="D1104" s="85"/>
      <c r="E1104" s="87"/>
      <c r="F1104" s="85"/>
      <c r="G1104" s="22"/>
      <c r="H1104" s="88"/>
      <c r="J1104" s="22"/>
      <c r="M1104" s="89"/>
      <c r="N1104" s="60"/>
      <c r="O1104" s="90"/>
      <c r="P1104" s="91"/>
      <c r="Q1104" s="92"/>
      <c r="R1104" s="68" t="str">
        <f t="shared" si="20"/>
        <v/>
      </c>
      <c r="S1104" s="22"/>
    </row>
    <row r="1105" spans="1:19" ht="18" customHeight="1">
      <c r="A1105" s="85"/>
      <c r="B1105" s="86"/>
      <c r="C1105" s="22"/>
      <c r="D1105" s="85"/>
      <c r="E1105" s="87"/>
      <c r="F1105" s="85"/>
      <c r="G1105" s="22"/>
      <c r="H1105" s="88"/>
      <c r="J1105" s="22"/>
      <c r="M1105" s="89"/>
      <c r="N1105" s="60"/>
      <c r="O1105" s="90"/>
      <c r="P1105" s="91"/>
      <c r="Q1105" s="92"/>
      <c r="R1105" s="68" t="str">
        <f t="shared" si="20"/>
        <v/>
      </c>
      <c r="S1105" s="22"/>
    </row>
    <row r="1106" spans="1:19" ht="18" customHeight="1">
      <c r="A1106" s="85"/>
      <c r="B1106" s="86"/>
      <c r="C1106" s="22"/>
      <c r="D1106" s="85"/>
      <c r="E1106" s="87"/>
      <c r="F1106" s="85"/>
      <c r="G1106" s="22"/>
      <c r="H1106" s="88"/>
      <c r="J1106" s="22"/>
      <c r="M1106" s="89"/>
      <c r="N1106" s="60"/>
      <c r="O1106" s="90"/>
      <c r="P1106" s="91"/>
      <c r="Q1106" s="92"/>
      <c r="R1106" s="68" t="str">
        <f t="shared" si="20"/>
        <v/>
      </c>
      <c r="S1106" s="22"/>
    </row>
    <row r="1107" spans="1:19" ht="18" customHeight="1">
      <c r="A1107" s="85"/>
      <c r="B1107" s="86"/>
      <c r="C1107" s="22"/>
      <c r="D1107" s="85"/>
      <c r="E1107" s="87"/>
      <c r="F1107" s="85"/>
      <c r="G1107" s="22"/>
      <c r="H1107" s="88"/>
      <c r="J1107" s="22"/>
      <c r="M1107" s="89"/>
      <c r="N1107" s="60"/>
      <c r="O1107" s="90"/>
      <c r="P1107" s="91"/>
      <c r="Q1107" s="92"/>
      <c r="R1107" s="68" t="str">
        <f t="shared" si="20"/>
        <v/>
      </c>
      <c r="S1107" s="22"/>
    </row>
    <row r="1108" spans="1:19" ht="18" customHeight="1">
      <c r="A1108" s="85"/>
      <c r="B1108" s="86"/>
      <c r="C1108" s="22"/>
      <c r="D1108" s="85"/>
      <c r="E1108" s="87"/>
      <c r="F1108" s="85"/>
      <c r="G1108" s="22"/>
      <c r="H1108" s="88"/>
      <c r="J1108" s="22"/>
      <c r="M1108" s="89"/>
      <c r="N1108" s="60"/>
      <c r="O1108" s="90"/>
      <c r="P1108" s="91"/>
      <c r="Q1108" s="92"/>
      <c r="R1108" s="68" t="str">
        <f t="shared" si="20"/>
        <v/>
      </c>
      <c r="S1108" s="22"/>
    </row>
    <row r="1109" spans="1:19" ht="18" customHeight="1">
      <c r="A1109" s="85"/>
      <c r="B1109" s="86"/>
      <c r="C1109" s="22"/>
      <c r="D1109" s="85"/>
      <c r="E1109" s="87"/>
      <c r="F1109" s="85"/>
      <c r="G1109" s="22"/>
      <c r="H1109" s="88"/>
      <c r="J1109" s="22"/>
      <c r="M1109" s="89"/>
      <c r="N1109" s="60"/>
      <c r="O1109" s="90"/>
      <c r="P1109" s="91"/>
      <c r="Q1109" s="92"/>
      <c r="R1109" s="68" t="str">
        <f t="shared" si="20"/>
        <v/>
      </c>
      <c r="S1109" s="22"/>
    </row>
    <row r="1110" spans="1:19" ht="18" customHeight="1">
      <c r="A1110" s="85"/>
      <c r="B1110" s="86"/>
      <c r="C1110" s="22"/>
      <c r="D1110" s="85"/>
      <c r="E1110" s="87"/>
      <c r="F1110" s="85"/>
      <c r="G1110" s="22"/>
      <c r="H1110" s="88"/>
      <c r="J1110" s="22"/>
      <c r="M1110" s="89"/>
      <c r="N1110" s="60"/>
      <c r="O1110" s="90"/>
      <c r="P1110" s="91"/>
      <c r="Q1110" s="92"/>
      <c r="R1110" s="68" t="str">
        <f t="shared" si="20"/>
        <v/>
      </c>
      <c r="S1110" s="22"/>
    </row>
    <row r="1111" spans="1:19" ht="18" customHeight="1">
      <c r="A1111" s="85"/>
      <c r="B1111" s="86"/>
      <c r="C1111" s="22"/>
      <c r="D1111" s="85"/>
      <c r="E1111" s="87"/>
      <c r="F1111" s="85"/>
      <c r="G1111" s="22"/>
      <c r="H1111" s="88"/>
      <c r="J1111" s="22"/>
      <c r="M1111" s="89"/>
      <c r="N1111" s="60"/>
      <c r="O1111" s="90"/>
      <c r="P1111" s="91"/>
      <c r="Q1111" s="92"/>
      <c r="R1111" s="68" t="str">
        <f t="shared" si="20"/>
        <v/>
      </c>
      <c r="S1111" s="22"/>
    </row>
    <row r="1112" spans="1:19" ht="18" customHeight="1">
      <c r="A1112" s="85"/>
      <c r="B1112" s="86"/>
      <c r="C1112" s="22"/>
      <c r="D1112" s="85"/>
      <c r="E1112" s="87"/>
      <c r="F1112" s="85"/>
      <c r="G1112" s="22"/>
      <c r="H1112" s="88"/>
      <c r="J1112" s="22"/>
      <c r="M1112" s="89"/>
      <c r="N1112" s="60"/>
      <c r="O1112" s="90"/>
      <c r="P1112" s="91"/>
      <c r="Q1112" s="92"/>
      <c r="R1112" s="68" t="str">
        <f t="shared" si="20"/>
        <v/>
      </c>
      <c r="S1112" s="22"/>
    </row>
    <row r="1113" spans="1:19" ht="18" customHeight="1">
      <c r="A1113" s="85"/>
      <c r="B1113" s="86"/>
      <c r="C1113" s="22"/>
      <c r="D1113" s="85"/>
      <c r="E1113" s="87"/>
      <c r="F1113" s="85"/>
      <c r="G1113" s="22"/>
      <c r="H1113" s="88"/>
      <c r="J1113" s="22"/>
      <c r="M1113" s="89"/>
      <c r="N1113" s="60"/>
      <c r="O1113" s="90"/>
      <c r="P1113" s="91"/>
      <c r="Q1113" s="92"/>
      <c r="R1113" s="68" t="str">
        <f t="shared" si="20"/>
        <v/>
      </c>
      <c r="S1113" s="22"/>
    </row>
    <row r="1114" spans="1:19" ht="18" customHeight="1">
      <c r="A1114" s="85"/>
      <c r="B1114" s="86"/>
      <c r="C1114" s="22"/>
      <c r="D1114" s="85"/>
      <c r="E1114" s="87"/>
      <c r="F1114" s="85"/>
      <c r="G1114" s="22"/>
      <c r="H1114" s="88"/>
      <c r="J1114" s="22"/>
      <c r="M1114" s="89"/>
      <c r="N1114" s="60"/>
      <c r="O1114" s="90"/>
      <c r="P1114" s="91"/>
      <c r="Q1114" s="92"/>
      <c r="R1114" s="68" t="str">
        <f t="shared" si="20"/>
        <v/>
      </c>
      <c r="S1114" s="22"/>
    </row>
    <row r="1115" spans="1:19" ht="18" customHeight="1">
      <c r="A1115" s="85"/>
      <c r="B1115" s="86"/>
      <c r="C1115" s="22"/>
      <c r="D1115" s="85"/>
      <c r="E1115" s="87"/>
      <c r="F1115" s="85"/>
      <c r="G1115" s="22"/>
      <c r="H1115" s="88"/>
      <c r="J1115" s="22"/>
      <c r="M1115" s="89"/>
      <c r="N1115" s="60"/>
      <c r="O1115" s="90"/>
      <c r="P1115" s="91"/>
      <c r="Q1115" s="92"/>
      <c r="R1115" s="68" t="str">
        <f t="shared" si="20"/>
        <v/>
      </c>
      <c r="S1115" s="22"/>
    </row>
    <row r="1116" spans="1:19" ht="18" customHeight="1">
      <c r="A1116" s="85"/>
      <c r="B1116" s="86"/>
      <c r="C1116" s="22"/>
      <c r="D1116" s="85"/>
      <c r="E1116" s="87"/>
      <c r="F1116" s="85"/>
      <c r="G1116" s="22"/>
      <c r="H1116" s="88"/>
      <c r="J1116" s="22"/>
      <c r="M1116" s="89"/>
      <c r="N1116" s="60"/>
      <c r="O1116" s="90"/>
      <c r="P1116" s="91"/>
      <c r="Q1116" s="92"/>
      <c r="R1116" s="68" t="str">
        <f t="shared" si="20"/>
        <v/>
      </c>
      <c r="S1116" s="22"/>
    </row>
    <row r="1117" spans="1:19" ht="18" customHeight="1">
      <c r="A1117" s="85"/>
      <c r="B1117" s="86"/>
      <c r="C1117" s="22"/>
      <c r="D1117" s="85"/>
      <c r="E1117" s="87"/>
      <c r="F1117" s="85"/>
      <c r="G1117" s="22"/>
      <c r="H1117" s="88"/>
      <c r="J1117" s="22"/>
      <c r="M1117" s="89"/>
      <c r="N1117" s="60"/>
      <c r="O1117" s="90"/>
      <c r="P1117" s="91"/>
      <c r="Q1117" s="92"/>
      <c r="R1117" s="68" t="str">
        <f t="shared" si="20"/>
        <v/>
      </c>
      <c r="S1117" s="22"/>
    </row>
    <row r="1118" spans="1:19" ht="18" customHeight="1">
      <c r="A1118" s="85"/>
      <c r="B1118" s="86"/>
      <c r="C1118" s="22"/>
      <c r="D1118" s="85"/>
      <c r="E1118" s="87"/>
      <c r="F1118" s="85"/>
      <c r="G1118" s="22"/>
      <c r="H1118" s="88"/>
      <c r="J1118" s="22"/>
      <c r="M1118" s="89"/>
      <c r="N1118" s="60"/>
      <c r="O1118" s="90"/>
      <c r="P1118" s="91"/>
      <c r="Q1118" s="92"/>
      <c r="R1118" s="68" t="str">
        <f t="shared" si="20"/>
        <v/>
      </c>
      <c r="S1118" s="22"/>
    </row>
    <row r="1119" spans="1:19" ht="18" customHeight="1">
      <c r="A1119" s="85"/>
      <c r="B1119" s="86"/>
      <c r="C1119" s="22"/>
      <c r="D1119" s="85"/>
      <c r="E1119" s="87"/>
      <c r="F1119" s="85"/>
      <c r="G1119" s="22"/>
      <c r="H1119" s="88"/>
      <c r="J1119" s="22"/>
      <c r="M1119" s="89"/>
      <c r="N1119" s="60"/>
      <c r="O1119" s="90"/>
      <c r="P1119" s="91"/>
      <c r="Q1119" s="92"/>
      <c r="R1119" s="68" t="str">
        <f t="shared" si="20"/>
        <v/>
      </c>
      <c r="S1119" s="22"/>
    </row>
    <row r="1120" spans="1:19" ht="18" customHeight="1">
      <c r="A1120" s="85"/>
      <c r="B1120" s="86"/>
      <c r="C1120" s="22"/>
      <c r="D1120" s="85"/>
      <c r="E1120" s="87"/>
      <c r="F1120" s="85"/>
      <c r="G1120" s="22"/>
      <c r="H1120" s="88"/>
      <c r="J1120" s="22"/>
      <c r="M1120" s="89"/>
      <c r="N1120" s="60"/>
      <c r="O1120" s="90"/>
      <c r="P1120" s="91"/>
      <c r="Q1120" s="92"/>
      <c r="R1120" s="68" t="str">
        <f t="shared" si="20"/>
        <v/>
      </c>
      <c r="S1120" s="22"/>
    </row>
    <row r="1121" spans="1:19" ht="18" customHeight="1">
      <c r="A1121" s="85"/>
      <c r="B1121" s="86"/>
      <c r="C1121" s="22"/>
      <c r="D1121" s="85"/>
      <c r="E1121" s="87"/>
      <c r="F1121" s="85"/>
      <c r="G1121" s="22"/>
      <c r="H1121" s="88"/>
      <c r="J1121" s="22"/>
      <c r="M1121" s="89"/>
      <c r="N1121" s="60"/>
      <c r="O1121" s="90"/>
      <c r="P1121" s="91"/>
      <c r="Q1121" s="92"/>
      <c r="R1121" s="68" t="str">
        <f t="shared" si="20"/>
        <v/>
      </c>
      <c r="S1121" s="22"/>
    </row>
    <row r="1122" spans="1:19" ht="18" customHeight="1">
      <c r="A1122" s="85"/>
      <c r="B1122" s="86"/>
      <c r="C1122" s="22"/>
      <c r="D1122" s="85"/>
      <c r="E1122" s="87"/>
      <c r="F1122" s="85"/>
      <c r="G1122" s="22"/>
      <c r="H1122" s="88"/>
      <c r="J1122" s="22"/>
      <c r="M1122" s="89"/>
      <c r="N1122" s="60"/>
      <c r="O1122" s="90"/>
      <c r="P1122" s="91"/>
      <c r="Q1122" s="92"/>
      <c r="R1122" s="68" t="str">
        <f t="shared" si="20"/>
        <v/>
      </c>
      <c r="S1122" s="22"/>
    </row>
    <row r="1123" spans="1:19" ht="18" customHeight="1">
      <c r="A1123" s="85"/>
      <c r="B1123" s="86"/>
      <c r="C1123" s="22"/>
      <c r="D1123" s="85"/>
      <c r="E1123" s="87"/>
      <c r="F1123" s="85"/>
      <c r="G1123" s="22"/>
      <c r="H1123" s="88"/>
      <c r="J1123" s="22"/>
      <c r="M1123" s="89"/>
      <c r="N1123" s="60"/>
      <c r="O1123" s="90"/>
      <c r="P1123" s="91"/>
      <c r="Q1123" s="92"/>
      <c r="R1123" s="68" t="str">
        <f t="shared" si="20"/>
        <v/>
      </c>
      <c r="S1123" s="22"/>
    </row>
    <row r="1124" spans="1:19" ht="18" customHeight="1">
      <c r="A1124" s="85"/>
      <c r="B1124" s="86"/>
      <c r="C1124" s="22"/>
      <c r="D1124" s="85"/>
      <c r="E1124" s="87"/>
      <c r="F1124" s="85"/>
      <c r="G1124" s="22"/>
      <c r="H1124" s="88"/>
      <c r="J1124" s="22"/>
      <c r="M1124" s="89"/>
      <c r="N1124" s="60"/>
      <c r="O1124" s="90"/>
      <c r="P1124" s="91"/>
      <c r="Q1124" s="92"/>
      <c r="R1124" s="68" t="str">
        <f t="shared" si="20"/>
        <v/>
      </c>
      <c r="S1124" s="22"/>
    </row>
    <row r="1125" spans="1:19" ht="18" customHeight="1">
      <c r="A1125" s="85"/>
      <c r="B1125" s="86"/>
      <c r="C1125" s="22"/>
      <c r="D1125" s="85"/>
      <c r="E1125" s="87"/>
      <c r="F1125" s="85"/>
      <c r="G1125" s="22"/>
      <c r="H1125" s="88"/>
      <c r="J1125" s="22"/>
      <c r="M1125" s="89"/>
      <c r="N1125" s="60"/>
      <c r="O1125" s="90"/>
      <c r="P1125" s="91"/>
      <c r="Q1125" s="92"/>
      <c r="R1125" s="68" t="str">
        <f t="shared" si="20"/>
        <v/>
      </c>
      <c r="S1125" s="22"/>
    </row>
    <row r="1126" spans="1:19" ht="18" customHeight="1">
      <c r="A1126" s="85"/>
      <c r="B1126" s="86"/>
      <c r="C1126" s="22"/>
      <c r="D1126" s="85"/>
      <c r="E1126" s="87"/>
      <c r="F1126" s="85"/>
      <c r="G1126" s="22"/>
      <c r="H1126" s="88"/>
      <c r="J1126" s="22"/>
      <c r="M1126" s="89"/>
      <c r="N1126" s="60"/>
      <c r="O1126" s="90"/>
      <c r="P1126" s="91"/>
      <c r="Q1126" s="92"/>
      <c r="R1126" s="68" t="str">
        <f t="shared" si="20"/>
        <v/>
      </c>
      <c r="S1126" s="22"/>
    </row>
    <row r="1127" spans="1:19" ht="18" customHeight="1">
      <c r="A1127" s="85"/>
      <c r="B1127" s="86"/>
      <c r="C1127" s="22"/>
      <c r="D1127" s="85"/>
      <c r="E1127" s="87"/>
      <c r="F1127" s="85"/>
      <c r="G1127" s="22"/>
      <c r="H1127" s="88"/>
      <c r="J1127" s="22"/>
      <c r="M1127" s="89"/>
      <c r="N1127" s="60"/>
      <c r="O1127" s="90"/>
      <c r="P1127" s="91"/>
      <c r="Q1127" s="92"/>
      <c r="R1127" s="68" t="str">
        <f t="shared" si="20"/>
        <v/>
      </c>
      <c r="S1127" s="22"/>
    </row>
    <row r="1128" spans="1:19" ht="18" customHeight="1">
      <c r="A1128" s="85"/>
      <c r="B1128" s="86"/>
      <c r="C1128" s="22"/>
      <c r="D1128" s="85"/>
      <c r="E1128" s="87"/>
      <c r="F1128" s="85"/>
      <c r="G1128" s="22"/>
      <c r="H1128" s="88"/>
      <c r="J1128" s="22"/>
      <c r="M1128" s="89"/>
      <c r="N1128" s="60"/>
      <c r="O1128" s="90"/>
      <c r="P1128" s="91"/>
      <c r="Q1128" s="92"/>
      <c r="R1128" s="68" t="str">
        <f t="shared" si="20"/>
        <v/>
      </c>
      <c r="S1128" s="22"/>
    </row>
    <row r="1129" spans="1:19" ht="18" customHeight="1">
      <c r="A1129" s="85"/>
      <c r="B1129" s="86"/>
      <c r="C1129" s="22"/>
      <c r="D1129" s="85"/>
      <c r="E1129" s="87"/>
      <c r="F1129" s="85"/>
      <c r="G1129" s="22"/>
      <c r="H1129" s="88"/>
      <c r="J1129" s="22"/>
      <c r="M1129" s="89"/>
      <c r="N1129" s="60"/>
      <c r="O1129" s="90"/>
      <c r="P1129" s="91"/>
      <c r="Q1129" s="92"/>
      <c r="R1129" s="68" t="str">
        <f t="shared" si="20"/>
        <v/>
      </c>
      <c r="S1129" s="22"/>
    </row>
    <row r="1130" spans="1:19" ht="18" customHeight="1">
      <c r="A1130" s="85"/>
      <c r="B1130" s="86"/>
      <c r="C1130" s="22"/>
      <c r="D1130" s="85"/>
      <c r="E1130" s="87"/>
      <c r="F1130" s="85"/>
      <c r="G1130" s="22"/>
      <c r="H1130" s="88"/>
      <c r="J1130" s="22"/>
      <c r="M1130" s="89"/>
      <c r="N1130" s="60"/>
      <c r="O1130" s="90"/>
      <c r="P1130" s="91"/>
      <c r="Q1130" s="92"/>
      <c r="R1130" s="68" t="str">
        <f t="shared" si="20"/>
        <v/>
      </c>
      <c r="S1130" s="22"/>
    </row>
    <row r="1131" spans="1:19" ht="18" customHeight="1">
      <c r="A1131" s="85"/>
      <c r="B1131" s="86"/>
      <c r="C1131" s="22"/>
      <c r="D1131" s="85"/>
      <c r="E1131" s="87"/>
      <c r="F1131" s="85"/>
      <c r="G1131" s="22"/>
      <c r="H1131" s="88"/>
      <c r="J1131" s="22"/>
      <c r="M1131" s="89"/>
      <c r="N1131" s="60"/>
      <c r="O1131" s="90"/>
      <c r="P1131" s="91"/>
      <c r="Q1131" s="92"/>
      <c r="R1131" s="68" t="str">
        <f t="shared" si="20"/>
        <v/>
      </c>
      <c r="S1131" s="22"/>
    </row>
    <row r="1132" spans="1:19" ht="18" customHeight="1">
      <c r="A1132" s="85"/>
      <c r="B1132" s="86"/>
      <c r="C1132" s="22"/>
      <c r="D1132" s="85"/>
      <c r="E1132" s="87"/>
      <c r="F1132" s="85"/>
      <c r="G1132" s="22"/>
      <c r="H1132" s="88"/>
      <c r="J1132" s="22"/>
      <c r="M1132" s="89"/>
      <c r="N1132" s="60"/>
      <c r="O1132" s="90"/>
      <c r="P1132" s="91"/>
      <c r="Q1132" s="92"/>
      <c r="R1132" s="68" t="str">
        <f t="shared" si="20"/>
        <v/>
      </c>
      <c r="S1132" s="22"/>
    </row>
    <row r="1133" spans="1:19" ht="18" customHeight="1">
      <c r="A1133" s="85"/>
      <c r="B1133" s="86"/>
      <c r="C1133" s="22"/>
      <c r="D1133" s="85"/>
      <c r="E1133" s="87"/>
      <c r="F1133" s="85"/>
      <c r="G1133" s="22"/>
      <c r="H1133" s="88"/>
      <c r="J1133" s="22"/>
      <c r="M1133" s="89"/>
      <c r="N1133" s="60"/>
      <c r="O1133" s="90"/>
      <c r="P1133" s="91"/>
      <c r="Q1133" s="92"/>
      <c r="R1133" s="68" t="str">
        <f t="shared" si="20"/>
        <v/>
      </c>
      <c r="S1133" s="22"/>
    </row>
    <row r="1134" spans="1:19" ht="18" customHeight="1">
      <c r="A1134" s="85"/>
      <c r="B1134" s="86"/>
      <c r="C1134" s="22"/>
      <c r="D1134" s="85"/>
      <c r="E1134" s="87"/>
      <c r="F1134" s="85"/>
      <c r="G1134" s="22"/>
      <c r="H1134" s="88"/>
      <c r="J1134" s="22"/>
      <c r="M1134" s="89"/>
      <c r="N1134" s="60"/>
      <c r="O1134" s="90"/>
      <c r="P1134" s="91"/>
      <c r="Q1134" s="92"/>
      <c r="R1134" s="68" t="str">
        <f t="shared" si="20"/>
        <v/>
      </c>
      <c r="S1134" s="22"/>
    </row>
    <row r="1135" spans="1:19" ht="18" customHeight="1">
      <c r="A1135" s="85"/>
      <c r="B1135" s="86"/>
      <c r="C1135" s="22"/>
      <c r="D1135" s="85"/>
      <c r="E1135" s="87"/>
      <c r="F1135" s="85"/>
      <c r="G1135" s="22"/>
      <c r="H1135" s="88"/>
      <c r="J1135" s="22"/>
      <c r="M1135" s="89"/>
      <c r="N1135" s="60"/>
      <c r="O1135" s="90"/>
      <c r="P1135" s="91"/>
      <c r="Q1135" s="92"/>
      <c r="R1135" s="68" t="str">
        <f t="shared" si="20"/>
        <v/>
      </c>
      <c r="S1135" s="22"/>
    </row>
    <row r="1136" spans="1:19" ht="18" customHeight="1">
      <c r="A1136" s="85"/>
      <c r="B1136" s="86"/>
      <c r="C1136" s="22"/>
      <c r="D1136" s="85"/>
      <c r="E1136" s="87"/>
      <c r="F1136" s="85"/>
      <c r="G1136" s="22"/>
      <c r="H1136" s="88"/>
      <c r="J1136" s="22"/>
      <c r="M1136" s="89"/>
      <c r="N1136" s="60"/>
      <c r="O1136" s="90"/>
      <c r="P1136" s="91"/>
      <c r="Q1136" s="92"/>
      <c r="R1136" s="68" t="str">
        <f t="shared" si="20"/>
        <v/>
      </c>
      <c r="S1136" s="22"/>
    </row>
    <row r="1137" spans="1:19" ht="18" customHeight="1">
      <c r="A1137" s="85"/>
      <c r="B1137" s="86"/>
      <c r="C1137" s="22"/>
      <c r="D1137" s="85"/>
      <c r="E1137" s="87"/>
      <c r="F1137" s="85"/>
      <c r="G1137" s="22"/>
      <c r="H1137" s="88"/>
      <c r="J1137" s="22"/>
      <c r="M1137" s="89"/>
      <c r="N1137" s="60"/>
      <c r="O1137" s="90"/>
      <c r="P1137" s="91"/>
      <c r="Q1137" s="92"/>
      <c r="R1137" s="68" t="str">
        <f t="shared" si="20"/>
        <v/>
      </c>
      <c r="S1137" s="22"/>
    </row>
    <row r="1138" spans="1:19" ht="18" customHeight="1">
      <c r="A1138" s="85"/>
      <c r="B1138" s="86"/>
      <c r="C1138" s="22"/>
      <c r="D1138" s="85"/>
      <c r="E1138" s="87"/>
      <c r="F1138" s="85"/>
      <c r="G1138" s="22"/>
      <c r="H1138" s="88"/>
      <c r="J1138" s="22"/>
      <c r="M1138" s="89"/>
      <c r="N1138" s="60"/>
      <c r="O1138" s="90"/>
      <c r="P1138" s="91"/>
      <c r="Q1138" s="92"/>
      <c r="R1138" s="68" t="str">
        <f t="shared" si="20"/>
        <v/>
      </c>
      <c r="S1138" s="22"/>
    </row>
    <row r="1139" spans="1:19" ht="18" customHeight="1">
      <c r="A1139" s="85"/>
      <c r="B1139" s="86"/>
      <c r="C1139" s="22"/>
      <c r="D1139" s="85"/>
      <c r="E1139" s="87"/>
      <c r="F1139" s="85"/>
      <c r="G1139" s="22"/>
      <c r="H1139" s="88"/>
      <c r="J1139" s="22"/>
      <c r="M1139" s="89"/>
      <c r="N1139" s="60"/>
      <c r="O1139" s="90"/>
      <c r="P1139" s="91"/>
      <c r="Q1139" s="92"/>
      <c r="R1139" s="68" t="str">
        <f t="shared" si="20"/>
        <v/>
      </c>
      <c r="S1139" s="22"/>
    </row>
    <row r="1140" spans="1:19" ht="18" customHeight="1">
      <c r="A1140" s="85"/>
      <c r="B1140" s="86"/>
      <c r="C1140" s="22"/>
      <c r="D1140" s="85"/>
      <c r="E1140" s="87"/>
      <c r="F1140" s="85"/>
      <c r="G1140" s="22"/>
      <c r="H1140" s="88"/>
      <c r="J1140" s="22"/>
      <c r="M1140" s="89"/>
      <c r="N1140" s="60"/>
      <c r="O1140" s="90"/>
      <c r="P1140" s="91"/>
      <c r="Q1140" s="92"/>
      <c r="R1140" s="68" t="str">
        <f t="shared" ref="R1140:R1203" si="21">IF(SUM(Q1140)&gt;0,SUM(Q1140-P1140),"")</f>
        <v/>
      </c>
      <c r="S1140" s="22"/>
    </row>
    <row r="1141" spans="1:19" ht="18" customHeight="1">
      <c r="A1141" s="85"/>
      <c r="B1141" s="86"/>
      <c r="C1141" s="22"/>
      <c r="D1141" s="85"/>
      <c r="E1141" s="87"/>
      <c r="F1141" s="85"/>
      <c r="G1141" s="22"/>
      <c r="H1141" s="88"/>
      <c r="J1141" s="22"/>
      <c r="M1141" s="89"/>
      <c r="N1141" s="60"/>
      <c r="O1141" s="90"/>
      <c r="P1141" s="91"/>
      <c r="Q1141" s="92"/>
      <c r="R1141" s="68" t="str">
        <f t="shared" si="21"/>
        <v/>
      </c>
      <c r="S1141" s="22"/>
    </row>
    <row r="1142" spans="1:19" ht="18" customHeight="1">
      <c r="A1142" s="85"/>
      <c r="B1142" s="86"/>
      <c r="C1142" s="22"/>
      <c r="D1142" s="85"/>
      <c r="E1142" s="87"/>
      <c r="F1142" s="85"/>
      <c r="G1142" s="22"/>
      <c r="H1142" s="88"/>
      <c r="J1142" s="22"/>
      <c r="M1142" s="89"/>
      <c r="N1142" s="60"/>
      <c r="O1142" s="90"/>
      <c r="P1142" s="91"/>
      <c r="Q1142" s="92"/>
      <c r="R1142" s="68" t="str">
        <f t="shared" si="21"/>
        <v/>
      </c>
      <c r="S1142" s="22"/>
    </row>
    <row r="1143" spans="1:19" ht="18" customHeight="1">
      <c r="A1143" s="85"/>
      <c r="B1143" s="86"/>
      <c r="C1143" s="22"/>
      <c r="D1143" s="85"/>
      <c r="E1143" s="87"/>
      <c r="F1143" s="85"/>
      <c r="G1143" s="22"/>
      <c r="H1143" s="88"/>
      <c r="J1143" s="22"/>
      <c r="M1143" s="89"/>
      <c r="N1143" s="60"/>
      <c r="O1143" s="90"/>
      <c r="P1143" s="91"/>
      <c r="Q1143" s="92"/>
      <c r="R1143" s="68" t="str">
        <f t="shared" si="21"/>
        <v/>
      </c>
      <c r="S1143" s="22"/>
    </row>
    <row r="1144" spans="1:19" ht="18" customHeight="1">
      <c r="A1144" s="85"/>
      <c r="B1144" s="86"/>
      <c r="C1144" s="22"/>
      <c r="D1144" s="85"/>
      <c r="E1144" s="87"/>
      <c r="F1144" s="85"/>
      <c r="G1144" s="22"/>
      <c r="H1144" s="88"/>
      <c r="J1144" s="22"/>
      <c r="M1144" s="89"/>
      <c r="N1144" s="60"/>
      <c r="O1144" s="90"/>
      <c r="P1144" s="91"/>
      <c r="Q1144" s="92"/>
      <c r="R1144" s="68" t="str">
        <f t="shared" si="21"/>
        <v/>
      </c>
      <c r="S1144" s="22"/>
    </row>
    <row r="1145" spans="1:19" ht="18" customHeight="1">
      <c r="A1145" s="85"/>
      <c r="B1145" s="86"/>
      <c r="C1145" s="22"/>
      <c r="D1145" s="85"/>
      <c r="E1145" s="87"/>
      <c r="F1145" s="85"/>
      <c r="G1145" s="22"/>
      <c r="H1145" s="88"/>
      <c r="J1145" s="22"/>
      <c r="M1145" s="89"/>
      <c r="N1145" s="60"/>
      <c r="O1145" s="90"/>
      <c r="P1145" s="91"/>
      <c r="Q1145" s="92"/>
      <c r="R1145" s="68" t="str">
        <f t="shared" si="21"/>
        <v/>
      </c>
      <c r="S1145" s="22"/>
    </row>
    <row r="1146" spans="1:19" ht="18" customHeight="1">
      <c r="A1146" s="85"/>
      <c r="B1146" s="86"/>
      <c r="C1146" s="22"/>
      <c r="D1146" s="85"/>
      <c r="E1146" s="87"/>
      <c r="F1146" s="85"/>
      <c r="G1146" s="22"/>
      <c r="H1146" s="88"/>
      <c r="J1146" s="22"/>
      <c r="M1146" s="89"/>
      <c r="N1146" s="60"/>
      <c r="O1146" s="90"/>
      <c r="P1146" s="91"/>
      <c r="Q1146" s="92"/>
      <c r="R1146" s="68" t="str">
        <f t="shared" si="21"/>
        <v/>
      </c>
      <c r="S1146" s="22"/>
    </row>
    <row r="1147" spans="1:19" ht="18" customHeight="1">
      <c r="A1147" s="85"/>
      <c r="B1147" s="86"/>
      <c r="C1147" s="22"/>
      <c r="D1147" s="85"/>
      <c r="E1147" s="87"/>
      <c r="F1147" s="85"/>
      <c r="G1147" s="22"/>
      <c r="H1147" s="88"/>
      <c r="J1147" s="22"/>
      <c r="M1147" s="89"/>
      <c r="N1147" s="60"/>
      <c r="O1147" s="90"/>
      <c r="P1147" s="91"/>
      <c r="Q1147" s="92"/>
      <c r="R1147" s="68" t="str">
        <f t="shared" si="21"/>
        <v/>
      </c>
      <c r="S1147" s="22"/>
    </row>
    <row r="1148" spans="1:19" ht="18" customHeight="1">
      <c r="A1148" s="85"/>
      <c r="B1148" s="86"/>
      <c r="C1148" s="22"/>
      <c r="D1148" s="85"/>
      <c r="E1148" s="87"/>
      <c r="F1148" s="85"/>
      <c r="G1148" s="22"/>
      <c r="H1148" s="88"/>
      <c r="J1148" s="22"/>
      <c r="M1148" s="89"/>
      <c r="N1148" s="60"/>
      <c r="O1148" s="90"/>
      <c r="P1148" s="91"/>
      <c r="Q1148" s="92"/>
      <c r="R1148" s="68" t="str">
        <f t="shared" si="21"/>
        <v/>
      </c>
      <c r="S1148" s="22"/>
    </row>
    <row r="1149" spans="1:19" ht="18" customHeight="1">
      <c r="A1149" s="85"/>
      <c r="B1149" s="86"/>
      <c r="C1149" s="22"/>
      <c r="D1149" s="85"/>
      <c r="E1149" s="87"/>
      <c r="F1149" s="85"/>
      <c r="G1149" s="22"/>
      <c r="H1149" s="88"/>
      <c r="J1149" s="22"/>
      <c r="M1149" s="89"/>
      <c r="N1149" s="60"/>
      <c r="O1149" s="90"/>
      <c r="P1149" s="91"/>
      <c r="Q1149" s="92"/>
      <c r="R1149" s="68" t="str">
        <f t="shared" si="21"/>
        <v/>
      </c>
      <c r="S1149" s="22"/>
    </row>
    <row r="1150" spans="1:19" ht="18" customHeight="1">
      <c r="A1150" s="85"/>
      <c r="B1150" s="86"/>
      <c r="C1150" s="22"/>
      <c r="D1150" s="85"/>
      <c r="E1150" s="87"/>
      <c r="F1150" s="85"/>
      <c r="G1150" s="22"/>
      <c r="H1150" s="88"/>
      <c r="J1150" s="22"/>
      <c r="M1150" s="89"/>
      <c r="N1150" s="60"/>
      <c r="O1150" s="90"/>
      <c r="P1150" s="91"/>
      <c r="Q1150" s="92"/>
      <c r="R1150" s="68" t="str">
        <f t="shared" si="21"/>
        <v/>
      </c>
      <c r="S1150" s="22"/>
    </row>
    <row r="1151" spans="1:19" ht="18" customHeight="1">
      <c r="A1151" s="85"/>
      <c r="B1151" s="86"/>
      <c r="C1151" s="22"/>
      <c r="D1151" s="85"/>
      <c r="E1151" s="87"/>
      <c r="F1151" s="85"/>
      <c r="G1151" s="22"/>
      <c r="H1151" s="88"/>
      <c r="J1151" s="22"/>
      <c r="M1151" s="89"/>
      <c r="N1151" s="60"/>
      <c r="O1151" s="90"/>
      <c r="P1151" s="91"/>
      <c r="Q1151" s="92"/>
      <c r="R1151" s="68" t="str">
        <f t="shared" si="21"/>
        <v/>
      </c>
      <c r="S1151" s="22"/>
    </row>
    <row r="1152" spans="1:19" ht="18" customHeight="1">
      <c r="A1152" s="85"/>
      <c r="B1152" s="86"/>
      <c r="C1152" s="22"/>
      <c r="D1152" s="85"/>
      <c r="E1152" s="87"/>
      <c r="F1152" s="85"/>
      <c r="G1152" s="22"/>
      <c r="H1152" s="88"/>
      <c r="J1152" s="22"/>
      <c r="M1152" s="89"/>
      <c r="N1152" s="60"/>
      <c r="O1152" s="90"/>
      <c r="P1152" s="91"/>
      <c r="Q1152" s="92"/>
      <c r="R1152" s="68" t="str">
        <f t="shared" si="21"/>
        <v/>
      </c>
      <c r="S1152" s="22"/>
    </row>
    <row r="1153" spans="1:19" ht="18" customHeight="1">
      <c r="A1153" s="85"/>
      <c r="B1153" s="86"/>
      <c r="C1153" s="22"/>
      <c r="D1153" s="85"/>
      <c r="E1153" s="87"/>
      <c r="F1153" s="85"/>
      <c r="G1153" s="22"/>
      <c r="H1153" s="88"/>
      <c r="J1153" s="22"/>
      <c r="M1153" s="89"/>
      <c r="N1153" s="60"/>
      <c r="O1153" s="90"/>
      <c r="P1153" s="91"/>
      <c r="Q1153" s="92"/>
      <c r="R1153" s="68" t="str">
        <f t="shared" si="21"/>
        <v/>
      </c>
      <c r="S1153" s="22"/>
    </row>
    <row r="1154" spans="1:19" ht="18" customHeight="1">
      <c r="A1154" s="85"/>
      <c r="B1154" s="86"/>
      <c r="C1154" s="22"/>
      <c r="D1154" s="85"/>
      <c r="E1154" s="87"/>
      <c r="F1154" s="85"/>
      <c r="G1154" s="22"/>
      <c r="H1154" s="88"/>
      <c r="J1154" s="22"/>
      <c r="M1154" s="89"/>
      <c r="N1154" s="60"/>
      <c r="O1154" s="90"/>
      <c r="P1154" s="91"/>
      <c r="Q1154" s="92"/>
      <c r="R1154" s="68" t="str">
        <f t="shared" si="21"/>
        <v/>
      </c>
      <c r="S1154" s="22"/>
    </row>
    <row r="1155" spans="1:19" ht="18" customHeight="1">
      <c r="A1155" s="85"/>
      <c r="B1155" s="86"/>
      <c r="C1155" s="22"/>
      <c r="D1155" s="85"/>
      <c r="E1155" s="87"/>
      <c r="F1155" s="85"/>
      <c r="G1155" s="22"/>
      <c r="H1155" s="88"/>
      <c r="J1155" s="22"/>
      <c r="M1155" s="89"/>
      <c r="N1155" s="60"/>
      <c r="O1155" s="90"/>
      <c r="P1155" s="91"/>
      <c r="Q1155" s="92"/>
      <c r="R1155" s="68" t="str">
        <f t="shared" si="21"/>
        <v/>
      </c>
      <c r="S1155" s="22"/>
    </row>
    <row r="1156" spans="1:19" ht="18" customHeight="1">
      <c r="A1156" s="85"/>
      <c r="B1156" s="86"/>
      <c r="C1156" s="22"/>
      <c r="D1156" s="85"/>
      <c r="E1156" s="87"/>
      <c r="F1156" s="85"/>
      <c r="G1156" s="22"/>
      <c r="H1156" s="88"/>
      <c r="J1156" s="22"/>
      <c r="M1156" s="89"/>
      <c r="N1156" s="60"/>
      <c r="O1156" s="90"/>
      <c r="P1156" s="91"/>
      <c r="Q1156" s="92"/>
      <c r="R1156" s="68" t="str">
        <f t="shared" si="21"/>
        <v/>
      </c>
      <c r="S1156" s="22"/>
    </row>
    <row r="1157" spans="1:19" ht="18" customHeight="1">
      <c r="A1157" s="85"/>
      <c r="B1157" s="86"/>
      <c r="C1157" s="22"/>
      <c r="D1157" s="85"/>
      <c r="E1157" s="87"/>
      <c r="F1157" s="85"/>
      <c r="G1157" s="22"/>
      <c r="H1157" s="88"/>
      <c r="J1157" s="22"/>
      <c r="M1157" s="89"/>
      <c r="N1157" s="60"/>
      <c r="O1157" s="90"/>
      <c r="P1157" s="91"/>
      <c r="Q1157" s="92"/>
      <c r="R1157" s="68" t="str">
        <f t="shared" si="21"/>
        <v/>
      </c>
      <c r="S1157" s="22"/>
    </row>
    <row r="1158" spans="1:19" ht="18" customHeight="1">
      <c r="A1158" s="85"/>
      <c r="B1158" s="86"/>
      <c r="C1158" s="22"/>
      <c r="D1158" s="85"/>
      <c r="E1158" s="87"/>
      <c r="F1158" s="85"/>
      <c r="G1158" s="22"/>
      <c r="H1158" s="88"/>
      <c r="J1158" s="22"/>
      <c r="M1158" s="89"/>
      <c r="N1158" s="60"/>
      <c r="O1158" s="90"/>
      <c r="P1158" s="91"/>
      <c r="Q1158" s="92"/>
      <c r="R1158" s="68" t="str">
        <f t="shared" si="21"/>
        <v/>
      </c>
      <c r="S1158" s="22"/>
    </row>
    <row r="1159" spans="1:19" ht="18" customHeight="1">
      <c r="A1159" s="85"/>
      <c r="B1159" s="86"/>
      <c r="C1159" s="22"/>
      <c r="D1159" s="85"/>
      <c r="E1159" s="87"/>
      <c r="F1159" s="85"/>
      <c r="G1159" s="22"/>
      <c r="H1159" s="88"/>
      <c r="J1159" s="22"/>
      <c r="M1159" s="89"/>
      <c r="N1159" s="60"/>
      <c r="O1159" s="90"/>
      <c r="P1159" s="91"/>
      <c r="Q1159" s="92"/>
      <c r="R1159" s="68" t="str">
        <f t="shared" si="21"/>
        <v/>
      </c>
      <c r="S1159" s="22"/>
    </row>
    <row r="1160" spans="1:19" ht="18" customHeight="1">
      <c r="A1160" s="85"/>
      <c r="B1160" s="86"/>
      <c r="C1160" s="22"/>
      <c r="D1160" s="85"/>
      <c r="E1160" s="87"/>
      <c r="F1160" s="85"/>
      <c r="G1160" s="22"/>
      <c r="H1160" s="88"/>
      <c r="J1160" s="22"/>
      <c r="M1160" s="89"/>
      <c r="N1160" s="60"/>
      <c r="O1160" s="90"/>
      <c r="P1160" s="91"/>
      <c r="Q1160" s="92"/>
      <c r="R1160" s="68" t="str">
        <f t="shared" si="21"/>
        <v/>
      </c>
      <c r="S1160" s="22"/>
    </row>
    <row r="1161" spans="1:19" ht="18" customHeight="1">
      <c r="A1161" s="85"/>
      <c r="B1161" s="86"/>
      <c r="C1161" s="22"/>
      <c r="D1161" s="85"/>
      <c r="E1161" s="87"/>
      <c r="F1161" s="85"/>
      <c r="G1161" s="22"/>
      <c r="H1161" s="88"/>
      <c r="J1161" s="22"/>
      <c r="M1161" s="89"/>
      <c r="N1161" s="60"/>
      <c r="O1161" s="90"/>
      <c r="P1161" s="91"/>
      <c r="Q1161" s="92"/>
      <c r="R1161" s="68" t="str">
        <f t="shared" si="21"/>
        <v/>
      </c>
      <c r="S1161" s="22"/>
    </row>
    <row r="1162" spans="1:19" ht="18" customHeight="1">
      <c r="A1162" s="85"/>
      <c r="B1162" s="86"/>
      <c r="C1162" s="22"/>
      <c r="D1162" s="85"/>
      <c r="E1162" s="87"/>
      <c r="F1162" s="85"/>
      <c r="G1162" s="22"/>
      <c r="H1162" s="88"/>
      <c r="J1162" s="22"/>
      <c r="M1162" s="89"/>
      <c r="N1162" s="60"/>
      <c r="O1162" s="90"/>
      <c r="P1162" s="91"/>
      <c r="Q1162" s="92"/>
      <c r="R1162" s="68" t="str">
        <f t="shared" si="21"/>
        <v/>
      </c>
      <c r="S1162" s="22"/>
    </row>
    <row r="1163" spans="1:19" ht="18" customHeight="1">
      <c r="A1163" s="85"/>
      <c r="B1163" s="86"/>
      <c r="C1163" s="22"/>
      <c r="D1163" s="85"/>
      <c r="E1163" s="87"/>
      <c r="F1163" s="85"/>
      <c r="G1163" s="22"/>
      <c r="H1163" s="88"/>
      <c r="J1163" s="22"/>
      <c r="M1163" s="89"/>
      <c r="N1163" s="60"/>
      <c r="O1163" s="90"/>
      <c r="P1163" s="91"/>
      <c r="Q1163" s="92"/>
      <c r="R1163" s="68" t="str">
        <f t="shared" si="21"/>
        <v/>
      </c>
      <c r="S1163" s="22"/>
    </row>
    <row r="1164" spans="1:19" ht="18" customHeight="1">
      <c r="A1164" s="85"/>
      <c r="B1164" s="86"/>
      <c r="C1164" s="22"/>
      <c r="D1164" s="85"/>
      <c r="E1164" s="87"/>
      <c r="F1164" s="85"/>
      <c r="G1164" s="22"/>
      <c r="H1164" s="88"/>
      <c r="J1164" s="22"/>
      <c r="M1164" s="89"/>
      <c r="N1164" s="60"/>
      <c r="O1164" s="90"/>
      <c r="P1164" s="91"/>
      <c r="Q1164" s="92"/>
      <c r="R1164" s="68" t="str">
        <f t="shared" si="21"/>
        <v/>
      </c>
      <c r="S1164" s="22"/>
    </row>
    <row r="1165" spans="1:19" ht="18" customHeight="1">
      <c r="A1165" s="85"/>
      <c r="B1165" s="86"/>
      <c r="C1165" s="22"/>
      <c r="D1165" s="85"/>
      <c r="E1165" s="87"/>
      <c r="F1165" s="85"/>
      <c r="G1165" s="22"/>
      <c r="H1165" s="88"/>
      <c r="J1165" s="22"/>
      <c r="M1165" s="89"/>
      <c r="N1165" s="60"/>
      <c r="O1165" s="90"/>
      <c r="P1165" s="91"/>
      <c r="Q1165" s="92"/>
      <c r="R1165" s="68" t="str">
        <f t="shared" si="21"/>
        <v/>
      </c>
      <c r="S1165" s="22"/>
    </row>
    <row r="1166" spans="1:19" ht="18" customHeight="1">
      <c r="A1166" s="85"/>
      <c r="B1166" s="86"/>
      <c r="C1166" s="22"/>
      <c r="D1166" s="85"/>
      <c r="E1166" s="87"/>
      <c r="F1166" s="85"/>
      <c r="G1166" s="22"/>
      <c r="H1166" s="88"/>
      <c r="J1166" s="22"/>
      <c r="M1166" s="89"/>
      <c r="N1166" s="60"/>
      <c r="O1166" s="90"/>
      <c r="P1166" s="91"/>
      <c r="Q1166" s="92"/>
      <c r="R1166" s="68" t="str">
        <f t="shared" si="21"/>
        <v/>
      </c>
      <c r="S1166" s="22"/>
    </row>
    <row r="1167" spans="1:19" ht="18" customHeight="1">
      <c r="A1167" s="85"/>
      <c r="B1167" s="86"/>
      <c r="C1167" s="22"/>
      <c r="D1167" s="85"/>
      <c r="E1167" s="87"/>
      <c r="F1167" s="85"/>
      <c r="G1167" s="22"/>
      <c r="H1167" s="88"/>
      <c r="J1167" s="22"/>
      <c r="M1167" s="89"/>
      <c r="N1167" s="60"/>
      <c r="O1167" s="90"/>
      <c r="P1167" s="91"/>
      <c r="Q1167" s="92"/>
      <c r="R1167" s="68" t="str">
        <f t="shared" si="21"/>
        <v/>
      </c>
      <c r="S1167" s="22"/>
    </row>
    <row r="1168" spans="1:19" ht="18" customHeight="1">
      <c r="A1168" s="85"/>
      <c r="B1168" s="86"/>
      <c r="C1168" s="22"/>
      <c r="D1168" s="85"/>
      <c r="E1168" s="87"/>
      <c r="F1168" s="85"/>
      <c r="G1168" s="22"/>
      <c r="H1168" s="88"/>
      <c r="J1168" s="22"/>
      <c r="M1168" s="89"/>
      <c r="N1168" s="60"/>
      <c r="O1168" s="90"/>
      <c r="P1168" s="91"/>
      <c r="Q1168" s="92"/>
      <c r="R1168" s="68" t="str">
        <f t="shared" si="21"/>
        <v/>
      </c>
      <c r="S1168" s="22"/>
    </row>
    <row r="1169" spans="1:19" ht="18" customHeight="1">
      <c r="A1169" s="85"/>
      <c r="B1169" s="86"/>
      <c r="C1169" s="22"/>
      <c r="D1169" s="85"/>
      <c r="E1169" s="87"/>
      <c r="F1169" s="85"/>
      <c r="G1169" s="22"/>
      <c r="H1169" s="88"/>
      <c r="J1169" s="22"/>
      <c r="M1169" s="89"/>
      <c r="N1169" s="60"/>
      <c r="O1169" s="90"/>
      <c r="P1169" s="91"/>
      <c r="Q1169" s="92"/>
      <c r="R1169" s="68" t="str">
        <f t="shared" si="21"/>
        <v/>
      </c>
      <c r="S1169" s="22"/>
    </row>
    <row r="1170" spans="1:19" ht="18" customHeight="1">
      <c r="A1170" s="85"/>
      <c r="B1170" s="86"/>
      <c r="C1170" s="22"/>
      <c r="D1170" s="85"/>
      <c r="E1170" s="87"/>
      <c r="F1170" s="85"/>
      <c r="G1170" s="22"/>
      <c r="H1170" s="88"/>
      <c r="J1170" s="22"/>
      <c r="M1170" s="89"/>
      <c r="N1170" s="60"/>
      <c r="O1170" s="90"/>
      <c r="P1170" s="91"/>
      <c r="Q1170" s="92"/>
      <c r="R1170" s="68" t="str">
        <f t="shared" si="21"/>
        <v/>
      </c>
      <c r="S1170" s="22"/>
    </row>
    <row r="1171" spans="1:19" ht="18" customHeight="1">
      <c r="A1171" s="85"/>
      <c r="B1171" s="86"/>
      <c r="C1171" s="22"/>
      <c r="D1171" s="85"/>
      <c r="E1171" s="87"/>
      <c r="F1171" s="85"/>
      <c r="G1171" s="22"/>
      <c r="H1171" s="88"/>
      <c r="J1171" s="22"/>
      <c r="M1171" s="89"/>
      <c r="N1171" s="60"/>
      <c r="O1171" s="90"/>
      <c r="P1171" s="91"/>
      <c r="Q1171" s="92"/>
      <c r="R1171" s="68" t="str">
        <f t="shared" si="21"/>
        <v/>
      </c>
      <c r="S1171" s="22"/>
    </row>
    <row r="1172" spans="1:19" ht="18" customHeight="1">
      <c r="A1172" s="85"/>
      <c r="B1172" s="86"/>
      <c r="C1172" s="22"/>
      <c r="D1172" s="85"/>
      <c r="E1172" s="87"/>
      <c r="F1172" s="85"/>
      <c r="G1172" s="22"/>
      <c r="H1172" s="88"/>
      <c r="J1172" s="22"/>
      <c r="M1172" s="89"/>
      <c r="N1172" s="60"/>
      <c r="O1172" s="90"/>
      <c r="P1172" s="91"/>
      <c r="Q1172" s="92"/>
      <c r="R1172" s="68" t="str">
        <f t="shared" si="21"/>
        <v/>
      </c>
      <c r="S1172" s="22"/>
    </row>
    <row r="1173" spans="1:19" ht="18" customHeight="1">
      <c r="A1173" s="85"/>
      <c r="B1173" s="86"/>
      <c r="C1173" s="22"/>
      <c r="D1173" s="85"/>
      <c r="E1173" s="87"/>
      <c r="F1173" s="85"/>
      <c r="G1173" s="22"/>
      <c r="H1173" s="88"/>
      <c r="J1173" s="22"/>
      <c r="M1173" s="89"/>
      <c r="N1173" s="60"/>
      <c r="O1173" s="90"/>
      <c r="P1173" s="91"/>
      <c r="Q1173" s="92"/>
      <c r="R1173" s="68" t="str">
        <f t="shared" si="21"/>
        <v/>
      </c>
      <c r="S1173" s="22"/>
    </row>
    <row r="1174" spans="1:19" ht="18" customHeight="1">
      <c r="A1174" s="85"/>
      <c r="B1174" s="86"/>
      <c r="C1174" s="22"/>
      <c r="D1174" s="85"/>
      <c r="E1174" s="87"/>
      <c r="F1174" s="85"/>
      <c r="G1174" s="22"/>
      <c r="H1174" s="88"/>
      <c r="J1174" s="22"/>
      <c r="M1174" s="89"/>
      <c r="N1174" s="60"/>
      <c r="O1174" s="90"/>
      <c r="P1174" s="91"/>
      <c r="Q1174" s="92"/>
      <c r="R1174" s="68" t="str">
        <f t="shared" si="21"/>
        <v/>
      </c>
      <c r="S1174" s="22"/>
    </row>
    <row r="1175" spans="1:19" ht="18" customHeight="1">
      <c r="A1175" s="85"/>
      <c r="B1175" s="86"/>
      <c r="C1175" s="22"/>
      <c r="D1175" s="85"/>
      <c r="E1175" s="87"/>
      <c r="F1175" s="85"/>
      <c r="G1175" s="22"/>
      <c r="H1175" s="88"/>
      <c r="J1175" s="22"/>
      <c r="M1175" s="89"/>
      <c r="N1175" s="60"/>
      <c r="O1175" s="90"/>
      <c r="P1175" s="91"/>
      <c r="Q1175" s="92"/>
      <c r="R1175" s="68" t="str">
        <f t="shared" si="21"/>
        <v/>
      </c>
      <c r="S1175" s="22"/>
    </row>
    <row r="1176" spans="1:19" ht="18" customHeight="1">
      <c r="A1176" s="85"/>
      <c r="B1176" s="86"/>
      <c r="C1176" s="22"/>
      <c r="D1176" s="85"/>
      <c r="E1176" s="87"/>
      <c r="F1176" s="85"/>
      <c r="G1176" s="22"/>
      <c r="H1176" s="88"/>
      <c r="J1176" s="22"/>
      <c r="M1176" s="89"/>
      <c r="N1176" s="60"/>
      <c r="O1176" s="90"/>
      <c r="P1176" s="91"/>
      <c r="Q1176" s="92"/>
      <c r="R1176" s="68" t="str">
        <f t="shared" si="21"/>
        <v/>
      </c>
      <c r="S1176" s="22"/>
    </row>
    <row r="1177" spans="1:19" ht="18" customHeight="1">
      <c r="A1177" s="85"/>
      <c r="B1177" s="86"/>
      <c r="C1177" s="22"/>
      <c r="D1177" s="85"/>
      <c r="E1177" s="87"/>
      <c r="F1177" s="85"/>
      <c r="G1177" s="22"/>
      <c r="H1177" s="88"/>
      <c r="J1177" s="22"/>
      <c r="M1177" s="89"/>
      <c r="N1177" s="60"/>
      <c r="O1177" s="90"/>
      <c r="P1177" s="91"/>
      <c r="Q1177" s="92"/>
      <c r="R1177" s="68" t="str">
        <f t="shared" si="21"/>
        <v/>
      </c>
      <c r="S1177" s="22"/>
    </row>
    <row r="1178" spans="1:19" ht="18" customHeight="1">
      <c r="A1178" s="85"/>
      <c r="B1178" s="86"/>
      <c r="C1178" s="22"/>
      <c r="D1178" s="85"/>
      <c r="E1178" s="87"/>
      <c r="F1178" s="85"/>
      <c r="G1178" s="22"/>
      <c r="H1178" s="88"/>
      <c r="J1178" s="22"/>
      <c r="M1178" s="89"/>
      <c r="N1178" s="60"/>
      <c r="O1178" s="90"/>
      <c r="P1178" s="91"/>
      <c r="Q1178" s="92"/>
      <c r="R1178" s="68" t="str">
        <f t="shared" si="21"/>
        <v/>
      </c>
      <c r="S1178" s="22"/>
    </row>
    <row r="1179" spans="1:19" ht="18" customHeight="1">
      <c r="A1179" s="85"/>
      <c r="B1179" s="86"/>
      <c r="C1179" s="22"/>
      <c r="D1179" s="85"/>
      <c r="E1179" s="87"/>
      <c r="F1179" s="85"/>
      <c r="G1179" s="22"/>
      <c r="H1179" s="88"/>
      <c r="J1179" s="22"/>
      <c r="M1179" s="89"/>
      <c r="N1179" s="60"/>
      <c r="O1179" s="90"/>
      <c r="P1179" s="91"/>
      <c r="Q1179" s="92"/>
      <c r="R1179" s="68" t="str">
        <f t="shared" si="21"/>
        <v/>
      </c>
      <c r="S1179" s="22"/>
    </row>
    <row r="1180" spans="1:19" ht="18" customHeight="1">
      <c r="A1180" s="85"/>
      <c r="B1180" s="86"/>
      <c r="C1180" s="22"/>
      <c r="D1180" s="85"/>
      <c r="E1180" s="87"/>
      <c r="F1180" s="85"/>
      <c r="G1180" s="22"/>
      <c r="H1180" s="88"/>
      <c r="J1180" s="22"/>
      <c r="M1180" s="89"/>
      <c r="N1180" s="60"/>
      <c r="O1180" s="90"/>
      <c r="P1180" s="91"/>
      <c r="Q1180" s="92"/>
      <c r="R1180" s="68" t="str">
        <f t="shared" si="21"/>
        <v/>
      </c>
      <c r="S1180" s="22"/>
    </row>
    <row r="1181" spans="1:19" ht="18" customHeight="1">
      <c r="A1181" s="85"/>
      <c r="B1181" s="86"/>
      <c r="C1181" s="22"/>
      <c r="D1181" s="85"/>
      <c r="E1181" s="87"/>
      <c r="F1181" s="85"/>
      <c r="G1181" s="22"/>
      <c r="H1181" s="88"/>
      <c r="J1181" s="22"/>
      <c r="M1181" s="89"/>
      <c r="N1181" s="60"/>
      <c r="O1181" s="90"/>
      <c r="P1181" s="91"/>
      <c r="Q1181" s="92"/>
      <c r="R1181" s="68" t="str">
        <f t="shared" si="21"/>
        <v/>
      </c>
      <c r="S1181" s="22"/>
    </row>
    <row r="1182" spans="1:19" ht="18" customHeight="1">
      <c r="A1182" s="85"/>
      <c r="B1182" s="86"/>
      <c r="C1182" s="22"/>
      <c r="D1182" s="85"/>
      <c r="E1182" s="87"/>
      <c r="F1182" s="85"/>
      <c r="G1182" s="22"/>
      <c r="H1182" s="88"/>
      <c r="J1182" s="22"/>
      <c r="M1182" s="89"/>
      <c r="N1182" s="60"/>
      <c r="O1182" s="90"/>
      <c r="P1182" s="91"/>
      <c r="Q1182" s="92"/>
      <c r="R1182" s="68" t="str">
        <f t="shared" si="21"/>
        <v/>
      </c>
      <c r="S1182" s="22"/>
    </row>
    <row r="1183" spans="1:19" ht="18" customHeight="1">
      <c r="A1183" s="85"/>
      <c r="B1183" s="86"/>
      <c r="C1183" s="22"/>
      <c r="D1183" s="85"/>
      <c r="E1183" s="87"/>
      <c r="F1183" s="85"/>
      <c r="G1183" s="22"/>
      <c r="H1183" s="88"/>
      <c r="J1183" s="22"/>
      <c r="M1183" s="89"/>
      <c r="N1183" s="60"/>
      <c r="O1183" s="90"/>
      <c r="P1183" s="91"/>
      <c r="Q1183" s="92"/>
      <c r="R1183" s="68" t="str">
        <f t="shared" si="21"/>
        <v/>
      </c>
      <c r="S1183" s="22"/>
    </row>
    <row r="1184" spans="1:19" ht="18" customHeight="1">
      <c r="A1184" s="85"/>
      <c r="B1184" s="86"/>
      <c r="C1184" s="22"/>
      <c r="D1184" s="85"/>
      <c r="E1184" s="87"/>
      <c r="F1184" s="85"/>
      <c r="G1184" s="22"/>
      <c r="H1184" s="88"/>
      <c r="J1184" s="22"/>
      <c r="M1184" s="89"/>
      <c r="N1184" s="60"/>
      <c r="O1184" s="90"/>
      <c r="P1184" s="91"/>
      <c r="Q1184" s="92"/>
      <c r="R1184" s="68" t="str">
        <f t="shared" si="21"/>
        <v/>
      </c>
      <c r="S1184" s="22"/>
    </row>
    <row r="1185" spans="1:19" ht="18" customHeight="1">
      <c r="A1185" s="85"/>
      <c r="B1185" s="86"/>
      <c r="C1185" s="22"/>
      <c r="D1185" s="85"/>
      <c r="E1185" s="87"/>
      <c r="F1185" s="85"/>
      <c r="G1185" s="22"/>
      <c r="H1185" s="88"/>
      <c r="J1185" s="22"/>
      <c r="M1185" s="89"/>
      <c r="N1185" s="60"/>
      <c r="O1185" s="90"/>
      <c r="P1185" s="91"/>
      <c r="Q1185" s="92"/>
      <c r="R1185" s="68" t="str">
        <f t="shared" si="21"/>
        <v/>
      </c>
      <c r="S1185" s="22"/>
    </row>
    <row r="1186" spans="1:19" ht="18" customHeight="1">
      <c r="A1186" s="85"/>
      <c r="B1186" s="86"/>
      <c r="C1186" s="22"/>
      <c r="D1186" s="85"/>
      <c r="E1186" s="87"/>
      <c r="F1186" s="85"/>
      <c r="G1186" s="22"/>
      <c r="H1186" s="88"/>
      <c r="J1186" s="22"/>
      <c r="M1186" s="89"/>
      <c r="N1186" s="60"/>
      <c r="O1186" s="90"/>
      <c r="P1186" s="91"/>
      <c r="Q1186" s="92"/>
      <c r="R1186" s="68" t="str">
        <f t="shared" si="21"/>
        <v/>
      </c>
      <c r="S1186" s="22"/>
    </row>
    <row r="1187" spans="1:19" ht="18" customHeight="1">
      <c r="A1187" s="85"/>
      <c r="B1187" s="86"/>
      <c r="C1187" s="22"/>
      <c r="D1187" s="85"/>
      <c r="E1187" s="87"/>
      <c r="F1187" s="85"/>
      <c r="G1187" s="22"/>
      <c r="H1187" s="88"/>
      <c r="J1187" s="22"/>
      <c r="M1187" s="89"/>
      <c r="N1187" s="60"/>
      <c r="O1187" s="90"/>
      <c r="P1187" s="91"/>
      <c r="Q1187" s="92"/>
      <c r="R1187" s="68" t="str">
        <f t="shared" si="21"/>
        <v/>
      </c>
      <c r="S1187" s="22"/>
    </row>
    <row r="1188" spans="1:19" ht="18" customHeight="1">
      <c r="A1188" s="85"/>
      <c r="B1188" s="86"/>
      <c r="C1188" s="22"/>
      <c r="D1188" s="85"/>
      <c r="E1188" s="87"/>
      <c r="F1188" s="85"/>
      <c r="G1188" s="22"/>
      <c r="H1188" s="88"/>
      <c r="J1188" s="22"/>
      <c r="M1188" s="89"/>
      <c r="N1188" s="60"/>
      <c r="O1188" s="90"/>
      <c r="P1188" s="91"/>
      <c r="Q1188" s="92"/>
      <c r="R1188" s="68" t="str">
        <f t="shared" si="21"/>
        <v/>
      </c>
      <c r="S1188" s="22"/>
    </row>
    <row r="1189" spans="1:19" ht="18" customHeight="1">
      <c r="A1189" s="85"/>
      <c r="B1189" s="86"/>
      <c r="C1189" s="22"/>
      <c r="D1189" s="85"/>
      <c r="E1189" s="87"/>
      <c r="F1189" s="85"/>
      <c r="G1189" s="22"/>
      <c r="H1189" s="88"/>
      <c r="J1189" s="22"/>
      <c r="M1189" s="89"/>
      <c r="N1189" s="60"/>
      <c r="O1189" s="90"/>
      <c r="P1189" s="91"/>
      <c r="Q1189" s="92"/>
      <c r="R1189" s="68" t="str">
        <f t="shared" si="21"/>
        <v/>
      </c>
      <c r="S1189" s="22"/>
    </row>
    <row r="1190" spans="1:19" ht="18" customHeight="1">
      <c r="A1190" s="85"/>
      <c r="B1190" s="86"/>
      <c r="C1190" s="22"/>
      <c r="D1190" s="85"/>
      <c r="E1190" s="87"/>
      <c r="F1190" s="85"/>
      <c r="G1190" s="22"/>
      <c r="H1190" s="88"/>
      <c r="J1190" s="22"/>
      <c r="M1190" s="89"/>
      <c r="N1190" s="60"/>
      <c r="O1190" s="90"/>
      <c r="P1190" s="91"/>
      <c r="Q1190" s="92"/>
      <c r="R1190" s="68" t="str">
        <f t="shared" si="21"/>
        <v/>
      </c>
      <c r="S1190" s="22"/>
    </row>
    <row r="1191" spans="1:19" ht="18" customHeight="1">
      <c r="A1191" s="85"/>
      <c r="B1191" s="86"/>
      <c r="C1191" s="22"/>
      <c r="D1191" s="85"/>
      <c r="E1191" s="87"/>
      <c r="F1191" s="85"/>
      <c r="G1191" s="22"/>
      <c r="H1191" s="88"/>
      <c r="J1191" s="22"/>
      <c r="M1191" s="89"/>
      <c r="N1191" s="60"/>
      <c r="O1191" s="90"/>
      <c r="P1191" s="91"/>
      <c r="Q1191" s="92"/>
      <c r="R1191" s="68" t="str">
        <f t="shared" si="21"/>
        <v/>
      </c>
      <c r="S1191" s="22"/>
    </row>
    <row r="1192" spans="1:19" ht="18" customHeight="1">
      <c r="A1192" s="85"/>
      <c r="B1192" s="86"/>
      <c r="C1192" s="22"/>
      <c r="D1192" s="85"/>
      <c r="E1192" s="87"/>
      <c r="F1192" s="85"/>
      <c r="G1192" s="22"/>
      <c r="H1192" s="88"/>
      <c r="J1192" s="22"/>
      <c r="M1192" s="89"/>
      <c r="N1192" s="60"/>
      <c r="O1192" s="90"/>
      <c r="P1192" s="91"/>
      <c r="Q1192" s="92"/>
      <c r="R1192" s="68" t="str">
        <f t="shared" si="21"/>
        <v/>
      </c>
      <c r="S1192" s="22"/>
    </row>
    <row r="1193" spans="1:19" ht="18" customHeight="1">
      <c r="A1193" s="85"/>
      <c r="B1193" s="86"/>
      <c r="C1193" s="22"/>
      <c r="D1193" s="85"/>
      <c r="E1193" s="87"/>
      <c r="F1193" s="85"/>
      <c r="G1193" s="22"/>
      <c r="H1193" s="88"/>
      <c r="J1193" s="22"/>
      <c r="M1193" s="89"/>
      <c r="N1193" s="60"/>
      <c r="O1193" s="90"/>
      <c r="P1193" s="91"/>
      <c r="Q1193" s="92"/>
      <c r="R1193" s="68" t="str">
        <f t="shared" si="21"/>
        <v/>
      </c>
      <c r="S1193" s="22"/>
    </row>
    <row r="1194" spans="1:19" ht="18" customHeight="1">
      <c r="A1194" s="85"/>
      <c r="B1194" s="86"/>
      <c r="C1194" s="22"/>
      <c r="D1194" s="85"/>
      <c r="E1194" s="87"/>
      <c r="F1194" s="85"/>
      <c r="G1194" s="22"/>
      <c r="H1194" s="88"/>
      <c r="J1194" s="22"/>
      <c r="M1194" s="89"/>
      <c r="N1194" s="60"/>
      <c r="O1194" s="90"/>
      <c r="P1194" s="91"/>
      <c r="Q1194" s="92"/>
      <c r="R1194" s="68" t="str">
        <f t="shared" si="21"/>
        <v/>
      </c>
      <c r="S1194" s="22"/>
    </row>
    <row r="1195" spans="1:19" ht="18" customHeight="1">
      <c r="A1195" s="85"/>
      <c r="B1195" s="86"/>
      <c r="C1195" s="22"/>
      <c r="D1195" s="85"/>
      <c r="E1195" s="87"/>
      <c r="F1195" s="85"/>
      <c r="G1195" s="22"/>
      <c r="H1195" s="88"/>
      <c r="J1195" s="22"/>
      <c r="M1195" s="89"/>
      <c r="N1195" s="60"/>
      <c r="O1195" s="90"/>
      <c r="P1195" s="91"/>
      <c r="Q1195" s="92"/>
      <c r="R1195" s="68" t="str">
        <f t="shared" si="21"/>
        <v/>
      </c>
      <c r="S1195" s="22"/>
    </row>
    <row r="1196" spans="1:19" ht="18" customHeight="1">
      <c r="A1196" s="85"/>
      <c r="B1196" s="86"/>
      <c r="C1196" s="22"/>
      <c r="D1196" s="85"/>
      <c r="E1196" s="87"/>
      <c r="F1196" s="85"/>
      <c r="G1196" s="22"/>
      <c r="H1196" s="88"/>
      <c r="J1196" s="22"/>
      <c r="M1196" s="89"/>
      <c r="N1196" s="60"/>
      <c r="O1196" s="90"/>
      <c r="P1196" s="91"/>
      <c r="Q1196" s="92"/>
      <c r="R1196" s="68" t="str">
        <f t="shared" si="21"/>
        <v/>
      </c>
      <c r="S1196" s="22"/>
    </row>
    <row r="1197" spans="1:19" ht="18" customHeight="1">
      <c r="A1197" s="85"/>
      <c r="B1197" s="86"/>
      <c r="C1197" s="22"/>
      <c r="D1197" s="85"/>
      <c r="E1197" s="87"/>
      <c r="F1197" s="85"/>
      <c r="G1197" s="22"/>
      <c r="H1197" s="88"/>
      <c r="J1197" s="22"/>
      <c r="M1197" s="89"/>
      <c r="N1197" s="60"/>
      <c r="O1197" s="90"/>
      <c r="P1197" s="91"/>
      <c r="Q1197" s="92"/>
      <c r="R1197" s="68" t="str">
        <f t="shared" si="21"/>
        <v/>
      </c>
      <c r="S1197" s="22"/>
    </row>
    <row r="1198" spans="1:19" ht="18" customHeight="1">
      <c r="A1198" s="85"/>
      <c r="B1198" s="86"/>
      <c r="C1198" s="22"/>
      <c r="D1198" s="85"/>
      <c r="E1198" s="87"/>
      <c r="F1198" s="85"/>
      <c r="G1198" s="22"/>
      <c r="H1198" s="88"/>
      <c r="J1198" s="22"/>
      <c r="M1198" s="89"/>
      <c r="N1198" s="60"/>
      <c r="O1198" s="90"/>
      <c r="P1198" s="91"/>
      <c r="Q1198" s="92"/>
      <c r="R1198" s="68" t="str">
        <f t="shared" si="21"/>
        <v/>
      </c>
      <c r="S1198" s="22"/>
    </row>
    <row r="1199" spans="1:19" ht="18" customHeight="1">
      <c r="A1199" s="85"/>
      <c r="B1199" s="86"/>
      <c r="C1199" s="22"/>
      <c r="D1199" s="85"/>
      <c r="E1199" s="87"/>
      <c r="F1199" s="85"/>
      <c r="G1199" s="22"/>
      <c r="H1199" s="88"/>
      <c r="J1199" s="22"/>
      <c r="M1199" s="89"/>
      <c r="N1199" s="60"/>
      <c r="O1199" s="90"/>
      <c r="P1199" s="91"/>
      <c r="Q1199" s="92"/>
      <c r="R1199" s="68" t="str">
        <f t="shared" si="21"/>
        <v/>
      </c>
      <c r="S1199" s="22"/>
    </row>
    <row r="1200" spans="1:19" ht="18" customHeight="1">
      <c r="A1200" s="85"/>
      <c r="B1200" s="86"/>
      <c r="C1200" s="22"/>
      <c r="D1200" s="85"/>
      <c r="E1200" s="87"/>
      <c r="F1200" s="85"/>
      <c r="G1200" s="22"/>
      <c r="H1200" s="88"/>
      <c r="J1200" s="22"/>
      <c r="M1200" s="89"/>
      <c r="N1200" s="60"/>
      <c r="O1200" s="90"/>
      <c r="P1200" s="91"/>
      <c r="Q1200" s="92"/>
      <c r="R1200" s="68" t="str">
        <f t="shared" si="21"/>
        <v/>
      </c>
      <c r="S1200" s="22"/>
    </row>
    <row r="1201" spans="1:19" ht="18" customHeight="1">
      <c r="A1201" s="85"/>
      <c r="B1201" s="86"/>
      <c r="C1201" s="22"/>
      <c r="D1201" s="85"/>
      <c r="E1201" s="87"/>
      <c r="F1201" s="85"/>
      <c r="G1201" s="22"/>
      <c r="H1201" s="88"/>
      <c r="J1201" s="22"/>
      <c r="M1201" s="89"/>
      <c r="N1201" s="60"/>
      <c r="O1201" s="90"/>
      <c r="P1201" s="91"/>
      <c r="Q1201" s="92"/>
      <c r="R1201" s="68" t="str">
        <f t="shared" si="21"/>
        <v/>
      </c>
      <c r="S1201" s="22"/>
    </row>
    <row r="1202" spans="1:19" ht="18" customHeight="1">
      <c r="A1202" s="85"/>
      <c r="B1202" s="86"/>
      <c r="C1202" s="22"/>
      <c r="D1202" s="85"/>
      <c r="E1202" s="87"/>
      <c r="F1202" s="85"/>
      <c r="G1202" s="22"/>
      <c r="H1202" s="88"/>
      <c r="J1202" s="22"/>
      <c r="M1202" s="89"/>
      <c r="N1202" s="60"/>
      <c r="O1202" s="90"/>
      <c r="P1202" s="91"/>
      <c r="Q1202" s="92"/>
      <c r="R1202" s="68" t="str">
        <f t="shared" si="21"/>
        <v/>
      </c>
      <c r="S1202" s="22"/>
    </row>
    <row r="1203" spans="1:19" ht="18" customHeight="1">
      <c r="A1203" s="85"/>
      <c r="B1203" s="86"/>
      <c r="C1203" s="22"/>
      <c r="D1203" s="85"/>
      <c r="E1203" s="87"/>
      <c r="F1203" s="85"/>
      <c r="G1203" s="22"/>
      <c r="H1203" s="88"/>
      <c r="J1203" s="22"/>
      <c r="M1203" s="89"/>
      <c r="N1203" s="60"/>
      <c r="O1203" s="90"/>
      <c r="P1203" s="91"/>
      <c r="Q1203" s="92"/>
      <c r="R1203" s="68" t="str">
        <f t="shared" si="21"/>
        <v/>
      </c>
      <c r="S1203" s="22"/>
    </row>
    <row r="1204" spans="1:19" ht="18" customHeight="1">
      <c r="A1204" s="85"/>
      <c r="B1204" s="86"/>
      <c r="C1204" s="22"/>
      <c r="D1204" s="85"/>
      <c r="E1204" s="87"/>
      <c r="F1204" s="85"/>
      <c r="G1204" s="22"/>
      <c r="H1204" s="88"/>
      <c r="J1204" s="22"/>
      <c r="M1204" s="89"/>
      <c r="N1204" s="60"/>
      <c r="O1204" s="90"/>
      <c r="P1204" s="91"/>
      <c r="Q1204" s="92"/>
      <c r="R1204" s="68" t="str">
        <f t="shared" ref="R1204:R1267" si="22">IF(SUM(Q1204)&gt;0,SUM(Q1204-P1204),"")</f>
        <v/>
      </c>
      <c r="S1204" s="22"/>
    </row>
    <row r="1205" spans="1:19" ht="18" customHeight="1">
      <c r="A1205" s="85"/>
      <c r="B1205" s="86"/>
      <c r="C1205" s="22"/>
      <c r="D1205" s="85"/>
      <c r="E1205" s="87"/>
      <c r="F1205" s="85"/>
      <c r="G1205" s="22"/>
      <c r="H1205" s="88"/>
      <c r="J1205" s="22"/>
      <c r="M1205" s="89"/>
      <c r="N1205" s="60"/>
      <c r="O1205" s="90"/>
      <c r="P1205" s="91"/>
      <c r="Q1205" s="92"/>
      <c r="R1205" s="68" t="str">
        <f t="shared" si="22"/>
        <v/>
      </c>
      <c r="S1205" s="22"/>
    </row>
    <row r="1206" spans="1:19" ht="18" customHeight="1">
      <c r="A1206" s="85"/>
      <c r="B1206" s="86"/>
      <c r="C1206" s="22"/>
      <c r="D1206" s="85"/>
      <c r="E1206" s="87"/>
      <c r="F1206" s="85"/>
      <c r="G1206" s="22"/>
      <c r="H1206" s="88"/>
      <c r="J1206" s="22"/>
      <c r="M1206" s="89"/>
      <c r="N1206" s="60"/>
      <c r="O1206" s="90"/>
      <c r="P1206" s="91"/>
      <c r="Q1206" s="92"/>
      <c r="R1206" s="68" t="str">
        <f t="shared" si="22"/>
        <v/>
      </c>
      <c r="S1206" s="22"/>
    </row>
    <row r="1207" spans="1:19" ht="18" customHeight="1">
      <c r="A1207" s="85"/>
      <c r="B1207" s="86"/>
      <c r="C1207" s="22"/>
      <c r="D1207" s="85"/>
      <c r="E1207" s="87"/>
      <c r="F1207" s="85"/>
      <c r="G1207" s="22"/>
      <c r="H1207" s="88"/>
      <c r="J1207" s="22"/>
      <c r="M1207" s="89"/>
      <c r="N1207" s="60"/>
      <c r="O1207" s="90"/>
      <c r="P1207" s="91"/>
      <c r="Q1207" s="92"/>
      <c r="R1207" s="68" t="str">
        <f t="shared" si="22"/>
        <v/>
      </c>
      <c r="S1207" s="22"/>
    </row>
    <row r="1208" spans="1:19" ht="18" customHeight="1">
      <c r="A1208" s="85"/>
      <c r="B1208" s="86"/>
      <c r="C1208" s="22"/>
      <c r="D1208" s="85"/>
      <c r="E1208" s="87"/>
      <c r="F1208" s="85"/>
      <c r="G1208" s="22"/>
      <c r="H1208" s="88"/>
      <c r="J1208" s="22"/>
      <c r="M1208" s="89"/>
      <c r="N1208" s="60"/>
      <c r="O1208" s="90"/>
      <c r="P1208" s="91"/>
      <c r="Q1208" s="92"/>
      <c r="R1208" s="68" t="str">
        <f t="shared" si="22"/>
        <v/>
      </c>
      <c r="S1208" s="22"/>
    </row>
    <row r="1209" spans="1:19" ht="18" customHeight="1">
      <c r="A1209" s="85"/>
      <c r="B1209" s="86"/>
      <c r="C1209" s="22"/>
      <c r="D1209" s="85"/>
      <c r="E1209" s="87"/>
      <c r="F1209" s="85"/>
      <c r="G1209" s="22"/>
      <c r="H1209" s="88"/>
      <c r="J1209" s="22"/>
      <c r="M1209" s="89"/>
      <c r="N1209" s="60"/>
      <c r="O1209" s="90"/>
      <c r="P1209" s="91"/>
      <c r="Q1209" s="92"/>
      <c r="R1209" s="68" t="str">
        <f t="shared" si="22"/>
        <v/>
      </c>
      <c r="S1209" s="22"/>
    </row>
    <row r="1210" spans="1:19" ht="18" customHeight="1">
      <c r="A1210" s="85"/>
      <c r="B1210" s="86"/>
      <c r="C1210" s="22"/>
      <c r="D1210" s="85"/>
      <c r="E1210" s="87"/>
      <c r="F1210" s="85"/>
      <c r="G1210" s="22"/>
      <c r="H1210" s="88"/>
      <c r="J1210" s="22"/>
      <c r="M1210" s="89"/>
      <c r="N1210" s="60"/>
      <c r="O1210" s="90"/>
      <c r="P1210" s="91"/>
      <c r="Q1210" s="92"/>
      <c r="R1210" s="68" t="str">
        <f t="shared" si="22"/>
        <v/>
      </c>
      <c r="S1210" s="22"/>
    </row>
    <row r="1211" spans="1:19" ht="18" customHeight="1">
      <c r="A1211" s="85"/>
      <c r="B1211" s="86"/>
      <c r="C1211" s="22"/>
      <c r="D1211" s="85"/>
      <c r="E1211" s="87"/>
      <c r="F1211" s="85"/>
      <c r="G1211" s="22"/>
      <c r="H1211" s="88"/>
      <c r="J1211" s="22"/>
      <c r="M1211" s="89"/>
      <c r="N1211" s="60"/>
      <c r="O1211" s="90"/>
      <c r="P1211" s="91"/>
      <c r="Q1211" s="92"/>
      <c r="R1211" s="68" t="str">
        <f t="shared" si="22"/>
        <v/>
      </c>
      <c r="S1211" s="22"/>
    </row>
    <row r="1212" spans="1:19" ht="18" customHeight="1">
      <c r="A1212" s="85"/>
      <c r="B1212" s="86"/>
      <c r="C1212" s="22"/>
      <c r="D1212" s="85"/>
      <c r="E1212" s="87"/>
      <c r="F1212" s="85"/>
      <c r="G1212" s="22"/>
      <c r="H1212" s="88"/>
      <c r="J1212" s="22"/>
      <c r="M1212" s="89"/>
      <c r="N1212" s="60"/>
      <c r="O1212" s="90"/>
      <c r="P1212" s="91"/>
      <c r="Q1212" s="92"/>
      <c r="R1212" s="68" t="str">
        <f t="shared" si="22"/>
        <v/>
      </c>
      <c r="S1212" s="22"/>
    </row>
    <row r="1213" spans="1:19" ht="18" customHeight="1">
      <c r="A1213" s="85"/>
      <c r="B1213" s="86"/>
      <c r="C1213" s="22"/>
      <c r="D1213" s="85"/>
      <c r="E1213" s="87"/>
      <c r="F1213" s="85"/>
      <c r="G1213" s="22"/>
      <c r="H1213" s="88"/>
      <c r="J1213" s="22"/>
      <c r="M1213" s="89"/>
      <c r="N1213" s="60"/>
      <c r="O1213" s="90"/>
      <c r="P1213" s="91"/>
      <c r="Q1213" s="92"/>
      <c r="R1213" s="68" t="str">
        <f t="shared" si="22"/>
        <v/>
      </c>
      <c r="S1213" s="22"/>
    </row>
    <row r="1214" spans="1:19" ht="18" customHeight="1">
      <c r="A1214" s="85"/>
      <c r="B1214" s="86"/>
      <c r="C1214" s="22"/>
      <c r="D1214" s="85"/>
      <c r="E1214" s="87"/>
      <c r="F1214" s="85"/>
      <c r="G1214" s="22"/>
      <c r="H1214" s="88"/>
      <c r="J1214" s="22"/>
      <c r="M1214" s="89"/>
      <c r="N1214" s="60"/>
      <c r="O1214" s="90"/>
      <c r="P1214" s="91"/>
      <c r="Q1214" s="92"/>
      <c r="R1214" s="68" t="str">
        <f t="shared" si="22"/>
        <v/>
      </c>
      <c r="S1214" s="22"/>
    </row>
    <row r="1215" spans="1:19" ht="18" customHeight="1">
      <c r="A1215" s="85"/>
      <c r="B1215" s="86"/>
      <c r="C1215" s="22"/>
      <c r="D1215" s="85"/>
      <c r="E1215" s="87"/>
      <c r="F1215" s="85"/>
      <c r="G1215" s="22"/>
      <c r="H1215" s="88"/>
      <c r="J1215" s="22"/>
      <c r="M1215" s="89"/>
      <c r="N1215" s="60"/>
      <c r="O1215" s="90"/>
      <c r="P1215" s="91"/>
      <c r="Q1215" s="92"/>
      <c r="R1215" s="68" t="str">
        <f t="shared" si="22"/>
        <v/>
      </c>
      <c r="S1215" s="22"/>
    </row>
    <row r="1216" spans="1:19" ht="18" customHeight="1">
      <c r="A1216" s="85"/>
      <c r="B1216" s="86"/>
      <c r="C1216" s="22"/>
      <c r="D1216" s="85"/>
      <c r="E1216" s="87"/>
      <c r="F1216" s="85"/>
      <c r="G1216" s="22"/>
      <c r="H1216" s="88"/>
      <c r="J1216" s="22"/>
      <c r="M1216" s="89"/>
      <c r="N1216" s="60"/>
      <c r="O1216" s="90"/>
      <c r="P1216" s="91"/>
      <c r="Q1216" s="92"/>
      <c r="R1216" s="68" t="str">
        <f t="shared" si="22"/>
        <v/>
      </c>
      <c r="S1216" s="22"/>
    </row>
    <row r="1217" spans="1:19" ht="18" customHeight="1">
      <c r="A1217" s="85"/>
      <c r="B1217" s="86"/>
      <c r="C1217" s="22"/>
      <c r="D1217" s="85"/>
      <c r="E1217" s="87"/>
      <c r="F1217" s="85"/>
      <c r="G1217" s="22"/>
      <c r="H1217" s="88"/>
      <c r="J1217" s="22"/>
      <c r="M1217" s="89"/>
      <c r="N1217" s="60"/>
      <c r="O1217" s="90"/>
      <c r="P1217" s="91"/>
      <c r="Q1217" s="92"/>
      <c r="R1217" s="68" t="str">
        <f t="shared" si="22"/>
        <v/>
      </c>
      <c r="S1217" s="22"/>
    </row>
    <row r="1218" spans="1:19" ht="18" customHeight="1">
      <c r="A1218" s="85"/>
      <c r="B1218" s="86"/>
      <c r="C1218" s="22"/>
      <c r="D1218" s="85"/>
      <c r="E1218" s="87"/>
      <c r="F1218" s="85"/>
      <c r="G1218" s="22"/>
      <c r="H1218" s="88"/>
      <c r="J1218" s="22"/>
      <c r="M1218" s="89"/>
      <c r="N1218" s="60"/>
      <c r="O1218" s="90"/>
      <c r="P1218" s="91"/>
      <c r="Q1218" s="92"/>
      <c r="R1218" s="68" t="str">
        <f t="shared" si="22"/>
        <v/>
      </c>
      <c r="S1218" s="22"/>
    </row>
    <row r="1219" spans="1:19" ht="18" customHeight="1">
      <c r="A1219" s="85"/>
      <c r="B1219" s="86"/>
      <c r="C1219" s="22"/>
      <c r="D1219" s="85"/>
      <c r="E1219" s="87"/>
      <c r="F1219" s="85"/>
      <c r="G1219" s="22"/>
      <c r="H1219" s="88"/>
      <c r="J1219" s="22"/>
      <c r="M1219" s="89"/>
      <c r="N1219" s="60"/>
      <c r="O1219" s="90"/>
      <c r="P1219" s="91"/>
      <c r="Q1219" s="92"/>
      <c r="R1219" s="68" t="str">
        <f t="shared" si="22"/>
        <v/>
      </c>
      <c r="S1219" s="22"/>
    </row>
    <row r="1220" spans="1:19" ht="18" customHeight="1">
      <c r="A1220" s="85"/>
      <c r="B1220" s="86"/>
      <c r="C1220" s="22"/>
      <c r="D1220" s="85"/>
      <c r="E1220" s="87"/>
      <c r="F1220" s="85"/>
      <c r="G1220" s="22"/>
      <c r="H1220" s="88"/>
      <c r="J1220" s="22"/>
      <c r="M1220" s="89"/>
      <c r="N1220" s="60"/>
      <c r="O1220" s="90"/>
      <c r="P1220" s="91"/>
      <c r="Q1220" s="92"/>
      <c r="R1220" s="68" t="str">
        <f t="shared" si="22"/>
        <v/>
      </c>
      <c r="S1220" s="22"/>
    </row>
    <row r="1221" spans="1:19" ht="18" customHeight="1">
      <c r="A1221" s="85"/>
      <c r="B1221" s="86"/>
      <c r="C1221" s="22"/>
      <c r="D1221" s="85"/>
      <c r="E1221" s="87"/>
      <c r="F1221" s="85"/>
      <c r="G1221" s="22"/>
      <c r="H1221" s="88"/>
      <c r="J1221" s="22"/>
      <c r="M1221" s="89"/>
      <c r="N1221" s="60"/>
      <c r="O1221" s="90"/>
      <c r="P1221" s="91"/>
      <c r="Q1221" s="92"/>
      <c r="R1221" s="68" t="str">
        <f t="shared" si="22"/>
        <v/>
      </c>
      <c r="S1221" s="22"/>
    </row>
    <row r="1222" spans="1:19" ht="18" customHeight="1">
      <c r="A1222" s="85"/>
      <c r="B1222" s="86"/>
      <c r="C1222" s="22"/>
      <c r="D1222" s="85"/>
      <c r="E1222" s="87"/>
      <c r="F1222" s="85"/>
      <c r="G1222" s="22"/>
      <c r="H1222" s="88"/>
      <c r="J1222" s="22"/>
      <c r="M1222" s="89"/>
      <c r="N1222" s="60"/>
      <c r="O1222" s="90"/>
      <c r="P1222" s="91"/>
      <c r="Q1222" s="92"/>
      <c r="R1222" s="68" t="str">
        <f t="shared" si="22"/>
        <v/>
      </c>
      <c r="S1222" s="22"/>
    </row>
    <row r="1223" spans="1:19" ht="18" customHeight="1">
      <c r="A1223" s="85"/>
      <c r="B1223" s="86"/>
      <c r="C1223" s="22"/>
      <c r="D1223" s="85"/>
      <c r="E1223" s="87"/>
      <c r="F1223" s="85"/>
      <c r="G1223" s="22"/>
      <c r="H1223" s="88"/>
      <c r="J1223" s="22"/>
      <c r="M1223" s="89"/>
      <c r="N1223" s="60"/>
      <c r="O1223" s="90"/>
      <c r="P1223" s="91"/>
      <c r="Q1223" s="92"/>
      <c r="R1223" s="68" t="str">
        <f t="shared" si="22"/>
        <v/>
      </c>
      <c r="S1223" s="22"/>
    </row>
    <row r="1224" spans="1:19" ht="18" customHeight="1">
      <c r="A1224" s="85"/>
      <c r="B1224" s="86"/>
      <c r="C1224" s="22"/>
      <c r="D1224" s="85"/>
      <c r="E1224" s="87"/>
      <c r="F1224" s="85"/>
      <c r="G1224" s="22"/>
      <c r="H1224" s="88"/>
      <c r="J1224" s="22"/>
      <c r="M1224" s="89"/>
      <c r="N1224" s="60"/>
      <c r="O1224" s="90"/>
      <c r="P1224" s="91"/>
      <c r="Q1224" s="92"/>
      <c r="R1224" s="68" t="str">
        <f t="shared" si="22"/>
        <v/>
      </c>
      <c r="S1224" s="22"/>
    </row>
    <row r="1225" spans="1:19" ht="18" customHeight="1">
      <c r="A1225" s="85"/>
      <c r="B1225" s="86"/>
      <c r="C1225" s="22"/>
      <c r="D1225" s="85"/>
      <c r="E1225" s="87"/>
      <c r="F1225" s="85"/>
      <c r="G1225" s="22"/>
      <c r="H1225" s="88"/>
      <c r="J1225" s="22"/>
      <c r="M1225" s="89"/>
      <c r="N1225" s="60"/>
      <c r="O1225" s="90"/>
      <c r="P1225" s="91"/>
      <c r="Q1225" s="92"/>
      <c r="R1225" s="68" t="str">
        <f t="shared" si="22"/>
        <v/>
      </c>
      <c r="S1225" s="22"/>
    </row>
    <row r="1226" spans="1:19" ht="18" customHeight="1">
      <c r="A1226" s="85"/>
      <c r="B1226" s="86"/>
      <c r="C1226" s="22"/>
      <c r="D1226" s="85"/>
      <c r="E1226" s="87"/>
      <c r="F1226" s="85"/>
      <c r="G1226" s="22"/>
      <c r="H1226" s="88"/>
      <c r="J1226" s="22"/>
      <c r="M1226" s="89"/>
      <c r="N1226" s="60"/>
      <c r="O1226" s="90"/>
      <c r="P1226" s="91"/>
      <c r="Q1226" s="92"/>
      <c r="R1226" s="68" t="str">
        <f t="shared" si="22"/>
        <v/>
      </c>
      <c r="S1226" s="22"/>
    </row>
    <row r="1227" spans="1:19" ht="18" customHeight="1">
      <c r="A1227" s="85"/>
      <c r="B1227" s="86"/>
      <c r="C1227" s="22"/>
      <c r="D1227" s="85"/>
      <c r="E1227" s="87"/>
      <c r="F1227" s="85"/>
      <c r="G1227" s="22"/>
      <c r="H1227" s="88"/>
      <c r="J1227" s="22"/>
      <c r="M1227" s="89"/>
      <c r="N1227" s="60"/>
      <c r="O1227" s="90"/>
      <c r="P1227" s="91"/>
      <c r="Q1227" s="92"/>
      <c r="R1227" s="68" t="str">
        <f t="shared" si="22"/>
        <v/>
      </c>
      <c r="S1227" s="22"/>
    </row>
    <row r="1228" spans="1:19" ht="18" customHeight="1">
      <c r="A1228" s="85"/>
      <c r="B1228" s="86"/>
      <c r="C1228" s="22"/>
      <c r="D1228" s="85"/>
      <c r="E1228" s="87"/>
      <c r="F1228" s="85"/>
      <c r="G1228" s="22"/>
      <c r="H1228" s="88"/>
      <c r="J1228" s="22"/>
      <c r="M1228" s="89"/>
      <c r="N1228" s="60"/>
      <c r="O1228" s="90"/>
      <c r="P1228" s="91"/>
      <c r="Q1228" s="92"/>
      <c r="R1228" s="68" t="str">
        <f t="shared" si="22"/>
        <v/>
      </c>
      <c r="S1228" s="22"/>
    </row>
    <row r="1229" spans="1:19" ht="18" customHeight="1">
      <c r="A1229" s="85"/>
      <c r="B1229" s="86"/>
      <c r="C1229" s="22"/>
      <c r="D1229" s="85"/>
      <c r="E1229" s="87"/>
      <c r="F1229" s="85"/>
      <c r="G1229" s="22"/>
      <c r="H1229" s="88"/>
      <c r="J1229" s="22"/>
      <c r="M1229" s="89"/>
      <c r="N1229" s="60"/>
      <c r="O1229" s="90"/>
      <c r="P1229" s="91"/>
      <c r="Q1229" s="92"/>
      <c r="R1229" s="68" t="str">
        <f t="shared" si="22"/>
        <v/>
      </c>
      <c r="S1229" s="22"/>
    </row>
    <row r="1230" spans="1:19" ht="18" customHeight="1">
      <c r="A1230" s="85"/>
      <c r="B1230" s="86"/>
      <c r="C1230" s="22"/>
      <c r="D1230" s="85"/>
      <c r="E1230" s="87"/>
      <c r="F1230" s="85"/>
      <c r="G1230" s="22"/>
      <c r="H1230" s="88"/>
      <c r="J1230" s="22"/>
      <c r="M1230" s="89"/>
      <c r="N1230" s="60"/>
      <c r="O1230" s="90"/>
      <c r="P1230" s="91"/>
      <c r="Q1230" s="92"/>
      <c r="R1230" s="68" t="str">
        <f t="shared" si="22"/>
        <v/>
      </c>
      <c r="S1230" s="22"/>
    </row>
    <row r="1231" spans="1:19" ht="18" customHeight="1">
      <c r="A1231" s="85"/>
      <c r="B1231" s="86"/>
      <c r="C1231" s="22"/>
      <c r="D1231" s="85"/>
      <c r="E1231" s="87"/>
      <c r="F1231" s="85"/>
      <c r="G1231" s="22"/>
      <c r="H1231" s="88"/>
      <c r="J1231" s="22"/>
      <c r="M1231" s="89"/>
      <c r="N1231" s="60"/>
      <c r="O1231" s="90"/>
      <c r="P1231" s="91"/>
      <c r="Q1231" s="92"/>
      <c r="R1231" s="68" t="str">
        <f t="shared" si="22"/>
        <v/>
      </c>
      <c r="S1231" s="22"/>
    </row>
    <row r="1232" spans="1:19" ht="18" customHeight="1">
      <c r="A1232" s="85"/>
      <c r="B1232" s="86"/>
      <c r="C1232" s="22"/>
      <c r="D1232" s="85"/>
      <c r="E1232" s="87"/>
      <c r="F1232" s="85"/>
      <c r="G1232" s="22"/>
      <c r="H1232" s="88"/>
      <c r="J1232" s="22"/>
      <c r="M1232" s="89"/>
      <c r="N1232" s="60"/>
      <c r="O1232" s="90"/>
      <c r="P1232" s="91"/>
      <c r="Q1232" s="92"/>
      <c r="R1232" s="68" t="str">
        <f t="shared" si="22"/>
        <v/>
      </c>
      <c r="S1232" s="22"/>
    </row>
    <row r="1233" spans="1:19" ht="18" customHeight="1">
      <c r="A1233" s="85"/>
      <c r="B1233" s="86"/>
      <c r="C1233" s="22"/>
      <c r="D1233" s="85"/>
      <c r="E1233" s="87"/>
      <c r="F1233" s="85"/>
      <c r="G1233" s="22"/>
      <c r="H1233" s="88"/>
      <c r="J1233" s="22"/>
      <c r="M1233" s="89"/>
      <c r="N1233" s="60"/>
      <c r="O1233" s="90"/>
      <c r="P1233" s="91"/>
      <c r="Q1233" s="92"/>
      <c r="R1233" s="68" t="str">
        <f t="shared" si="22"/>
        <v/>
      </c>
      <c r="S1233" s="22"/>
    </row>
    <row r="1234" spans="1:19" ht="18" customHeight="1">
      <c r="A1234" s="85"/>
      <c r="B1234" s="86"/>
      <c r="C1234" s="22"/>
      <c r="D1234" s="85"/>
      <c r="E1234" s="87"/>
      <c r="F1234" s="85"/>
      <c r="G1234" s="22"/>
      <c r="H1234" s="88"/>
      <c r="J1234" s="22"/>
      <c r="M1234" s="89"/>
      <c r="N1234" s="60"/>
      <c r="O1234" s="90"/>
      <c r="P1234" s="91"/>
      <c r="Q1234" s="92"/>
      <c r="R1234" s="68" t="str">
        <f t="shared" si="22"/>
        <v/>
      </c>
      <c r="S1234" s="22"/>
    </row>
    <row r="1235" spans="1:19" ht="18" customHeight="1">
      <c r="A1235" s="85"/>
      <c r="B1235" s="86"/>
      <c r="C1235" s="22"/>
      <c r="D1235" s="85"/>
      <c r="E1235" s="87"/>
      <c r="F1235" s="85"/>
      <c r="G1235" s="22"/>
      <c r="H1235" s="88"/>
      <c r="J1235" s="22"/>
      <c r="M1235" s="89"/>
      <c r="N1235" s="60"/>
      <c r="O1235" s="90"/>
      <c r="P1235" s="91"/>
      <c r="Q1235" s="92"/>
      <c r="R1235" s="68" t="str">
        <f t="shared" si="22"/>
        <v/>
      </c>
      <c r="S1235" s="22"/>
    </row>
    <row r="1236" spans="1:19" ht="18" customHeight="1">
      <c r="A1236" s="85"/>
      <c r="B1236" s="86"/>
      <c r="C1236" s="22"/>
      <c r="D1236" s="85"/>
      <c r="E1236" s="87"/>
      <c r="F1236" s="85"/>
      <c r="G1236" s="22"/>
      <c r="H1236" s="88"/>
      <c r="J1236" s="22"/>
      <c r="M1236" s="89"/>
      <c r="N1236" s="60"/>
      <c r="O1236" s="90"/>
      <c r="P1236" s="91"/>
      <c r="Q1236" s="92"/>
      <c r="R1236" s="68" t="str">
        <f t="shared" si="22"/>
        <v/>
      </c>
      <c r="S1236" s="22"/>
    </row>
    <row r="1237" spans="1:19" ht="18" customHeight="1">
      <c r="A1237" s="85"/>
      <c r="B1237" s="86"/>
      <c r="C1237" s="22"/>
      <c r="D1237" s="85"/>
      <c r="E1237" s="87"/>
      <c r="F1237" s="85"/>
      <c r="G1237" s="22"/>
      <c r="H1237" s="88"/>
      <c r="J1237" s="22"/>
      <c r="M1237" s="89"/>
      <c r="N1237" s="60"/>
      <c r="O1237" s="90"/>
      <c r="P1237" s="91"/>
      <c r="Q1237" s="92"/>
      <c r="R1237" s="68" t="str">
        <f t="shared" si="22"/>
        <v/>
      </c>
      <c r="S1237" s="22"/>
    </row>
    <row r="1238" spans="1:19" ht="18" customHeight="1">
      <c r="A1238" s="85"/>
      <c r="B1238" s="86"/>
      <c r="C1238" s="22"/>
      <c r="D1238" s="85"/>
      <c r="E1238" s="87"/>
      <c r="F1238" s="85"/>
      <c r="G1238" s="22"/>
      <c r="H1238" s="88"/>
      <c r="J1238" s="22"/>
      <c r="M1238" s="89"/>
      <c r="N1238" s="60"/>
      <c r="O1238" s="90"/>
      <c r="P1238" s="91"/>
      <c r="Q1238" s="92"/>
      <c r="R1238" s="68" t="str">
        <f t="shared" si="22"/>
        <v/>
      </c>
      <c r="S1238" s="22"/>
    </row>
    <row r="1239" spans="1:19" ht="18" customHeight="1">
      <c r="A1239" s="85"/>
      <c r="B1239" s="86"/>
      <c r="C1239" s="22"/>
      <c r="D1239" s="85"/>
      <c r="E1239" s="87"/>
      <c r="F1239" s="85"/>
      <c r="G1239" s="22"/>
      <c r="H1239" s="88"/>
      <c r="J1239" s="22"/>
      <c r="M1239" s="89"/>
      <c r="N1239" s="60"/>
      <c r="O1239" s="90"/>
      <c r="P1239" s="91"/>
      <c r="Q1239" s="92"/>
      <c r="R1239" s="68" t="str">
        <f t="shared" si="22"/>
        <v/>
      </c>
      <c r="S1239" s="22"/>
    </row>
    <row r="1240" spans="1:19" ht="18" customHeight="1">
      <c r="A1240" s="85"/>
      <c r="B1240" s="86"/>
      <c r="C1240" s="22"/>
      <c r="D1240" s="85"/>
      <c r="E1240" s="87"/>
      <c r="F1240" s="85"/>
      <c r="G1240" s="22"/>
      <c r="H1240" s="88"/>
      <c r="J1240" s="22"/>
      <c r="M1240" s="89"/>
      <c r="N1240" s="60"/>
      <c r="O1240" s="90"/>
      <c r="P1240" s="91"/>
      <c r="Q1240" s="92"/>
      <c r="R1240" s="68" t="str">
        <f t="shared" si="22"/>
        <v/>
      </c>
      <c r="S1240" s="22"/>
    </row>
    <row r="1241" spans="1:19" ht="18" customHeight="1">
      <c r="A1241" s="85"/>
      <c r="B1241" s="86"/>
      <c r="C1241" s="22"/>
      <c r="D1241" s="85"/>
      <c r="E1241" s="87"/>
      <c r="F1241" s="85"/>
      <c r="G1241" s="22"/>
      <c r="H1241" s="88"/>
      <c r="J1241" s="22"/>
      <c r="M1241" s="89"/>
      <c r="N1241" s="60"/>
      <c r="O1241" s="90"/>
      <c r="P1241" s="91"/>
      <c r="Q1241" s="92"/>
      <c r="R1241" s="68" t="str">
        <f t="shared" si="22"/>
        <v/>
      </c>
      <c r="S1241" s="22"/>
    </row>
    <row r="1242" spans="1:19" ht="18" customHeight="1">
      <c r="A1242" s="85"/>
      <c r="B1242" s="86"/>
      <c r="C1242" s="22"/>
      <c r="D1242" s="85"/>
      <c r="E1242" s="87"/>
      <c r="F1242" s="85"/>
      <c r="G1242" s="22"/>
      <c r="H1242" s="88"/>
      <c r="J1242" s="22"/>
      <c r="M1242" s="89"/>
      <c r="N1242" s="60"/>
      <c r="O1242" s="90"/>
      <c r="P1242" s="91"/>
      <c r="Q1242" s="92"/>
      <c r="R1242" s="68" t="str">
        <f t="shared" si="22"/>
        <v/>
      </c>
      <c r="S1242" s="22"/>
    </row>
    <row r="1243" spans="1:19" ht="18" customHeight="1">
      <c r="A1243" s="85"/>
      <c r="B1243" s="86"/>
      <c r="C1243" s="22"/>
      <c r="D1243" s="85"/>
      <c r="E1243" s="87"/>
      <c r="F1243" s="85"/>
      <c r="G1243" s="22"/>
      <c r="H1243" s="88"/>
      <c r="J1243" s="22"/>
      <c r="M1243" s="89"/>
      <c r="N1243" s="60"/>
      <c r="O1243" s="90"/>
      <c r="P1243" s="91"/>
      <c r="Q1243" s="92"/>
      <c r="R1243" s="68" t="str">
        <f t="shared" si="22"/>
        <v/>
      </c>
      <c r="S1243" s="22"/>
    </row>
    <row r="1244" spans="1:19" ht="18" customHeight="1">
      <c r="A1244" s="85"/>
      <c r="B1244" s="86"/>
      <c r="C1244" s="22"/>
      <c r="D1244" s="85"/>
      <c r="E1244" s="87"/>
      <c r="F1244" s="85"/>
      <c r="G1244" s="22"/>
      <c r="H1244" s="88"/>
      <c r="J1244" s="22"/>
      <c r="M1244" s="89"/>
      <c r="N1244" s="60"/>
      <c r="O1244" s="90"/>
      <c r="P1244" s="91"/>
      <c r="Q1244" s="92"/>
      <c r="R1244" s="68" t="str">
        <f t="shared" si="22"/>
        <v/>
      </c>
      <c r="S1244" s="22"/>
    </row>
    <row r="1245" spans="1:19" ht="18" customHeight="1">
      <c r="A1245" s="85"/>
      <c r="B1245" s="86"/>
      <c r="C1245" s="22"/>
      <c r="D1245" s="85"/>
      <c r="E1245" s="87"/>
      <c r="F1245" s="85"/>
      <c r="G1245" s="22"/>
      <c r="H1245" s="88"/>
      <c r="J1245" s="22"/>
      <c r="M1245" s="89"/>
      <c r="N1245" s="60"/>
      <c r="O1245" s="90"/>
      <c r="P1245" s="91"/>
      <c r="Q1245" s="92"/>
      <c r="R1245" s="68" t="str">
        <f t="shared" si="22"/>
        <v/>
      </c>
      <c r="S1245" s="22"/>
    </row>
    <row r="1246" spans="1:19" ht="18" customHeight="1">
      <c r="A1246" s="85"/>
      <c r="B1246" s="86"/>
      <c r="C1246" s="22"/>
      <c r="D1246" s="85"/>
      <c r="E1246" s="87"/>
      <c r="F1246" s="85"/>
      <c r="G1246" s="22"/>
      <c r="H1246" s="88"/>
      <c r="J1246" s="22"/>
      <c r="M1246" s="89"/>
      <c r="N1246" s="60"/>
      <c r="O1246" s="90"/>
      <c r="P1246" s="91"/>
      <c r="Q1246" s="92"/>
      <c r="R1246" s="68" t="str">
        <f t="shared" si="22"/>
        <v/>
      </c>
      <c r="S1246" s="22"/>
    </row>
    <row r="1247" spans="1:19" ht="18" customHeight="1">
      <c r="A1247" s="85"/>
      <c r="B1247" s="86"/>
      <c r="C1247" s="22"/>
      <c r="D1247" s="85"/>
      <c r="E1247" s="87"/>
      <c r="F1247" s="85"/>
      <c r="G1247" s="22"/>
      <c r="H1247" s="88"/>
      <c r="J1247" s="22"/>
      <c r="M1247" s="89"/>
      <c r="N1247" s="60"/>
      <c r="O1247" s="90"/>
      <c r="P1247" s="91"/>
      <c r="Q1247" s="92"/>
      <c r="R1247" s="68" t="str">
        <f t="shared" si="22"/>
        <v/>
      </c>
      <c r="S1247" s="22"/>
    </row>
    <row r="1248" spans="1:19" ht="18" customHeight="1">
      <c r="A1248" s="85"/>
      <c r="B1248" s="86"/>
      <c r="C1248" s="22"/>
      <c r="D1248" s="85"/>
      <c r="E1248" s="87"/>
      <c r="F1248" s="85"/>
      <c r="G1248" s="22"/>
      <c r="H1248" s="88"/>
      <c r="J1248" s="22"/>
      <c r="M1248" s="89"/>
      <c r="N1248" s="60"/>
      <c r="O1248" s="90"/>
      <c r="P1248" s="91"/>
      <c r="Q1248" s="92"/>
      <c r="R1248" s="68" t="str">
        <f t="shared" si="22"/>
        <v/>
      </c>
      <c r="S1248" s="22"/>
    </row>
    <row r="1249" spans="1:19" ht="18" customHeight="1">
      <c r="A1249" s="85"/>
      <c r="B1249" s="86"/>
      <c r="C1249" s="22"/>
      <c r="D1249" s="85"/>
      <c r="E1249" s="87"/>
      <c r="F1249" s="85"/>
      <c r="G1249" s="22"/>
      <c r="H1249" s="88"/>
      <c r="J1249" s="22"/>
      <c r="M1249" s="89"/>
      <c r="N1249" s="60"/>
      <c r="O1249" s="90"/>
      <c r="P1249" s="91"/>
      <c r="Q1249" s="92"/>
      <c r="R1249" s="68" t="str">
        <f t="shared" si="22"/>
        <v/>
      </c>
      <c r="S1249" s="22"/>
    </row>
    <row r="1250" spans="1:19" ht="18" customHeight="1">
      <c r="A1250" s="85"/>
      <c r="B1250" s="86"/>
      <c r="C1250" s="22"/>
      <c r="D1250" s="85"/>
      <c r="E1250" s="87"/>
      <c r="F1250" s="85"/>
      <c r="G1250" s="22"/>
      <c r="H1250" s="88"/>
      <c r="J1250" s="22"/>
      <c r="M1250" s="89"/>
      <c r="N1250" s="60"/>
      <c r="O1250" s="90"/>
      <c r="P1250" s="91"/>
      <c r="Q1250" s="92"/>
      <c r="R1250" s="68" t="str">
        <f t="shared" si="22"/>
        <v/>
      </c>
      <c r="S1250" s="22"/>
    </row>
    <row r="1251" spans="1:19" ht="18" customHeight="1">
      <c r="A1251" s="85"/>
      <c r="B1251" s="86"/>
      <c r="C1251" s="22"/>
      <c r="D1251" s="85"/>
      <c r="E1251" s="87"/>
      <c r="F1251" s="85"/>
      <c r="G1251" s="22"/>
      <c r="H1251" s="88"/>
      <c r="J1251" s="22"/>
      <c r="M1251" s="89"/>
      <c r="N1251" s="60"/>
      <c r="O1251" s="90"/>
      <c r="P1251" s="91"/>
      <c r="Q1251" s="92"/>
      <c r="R1251" s="68" t="str">
        <f t="shared" si="22"/>
        <v/>
      </c>
      <c r="S1251" s="22"/>
    </row>
    <row r="1252" spans="1:19" ht="18" customHeight="1">
      <c r="A1252" s="85"/>
      <c r="B1252" s="86"/>
      <c r="C1252" s="22"/>
      <c r="D1252" s="85"/>
      <c r="E1252" s="87"/>
      <c r="F1252" s="85"/>
      <c r="G1252" s="22"/>
      <c r="H1252" s="88"/>
      <c r="J1252" s="22"/>
      <c r="M1252" s="89"/>
      <c r="N1252" s="60"/>
      <c r="O1252" s="90"/>
      <c r="P1252" s="91"/>
      <c r="Q1252" s="92"/>
      <c r="R1252" s="68" t="str">
        <f t="shared" si="22"/>
        <v/>
      </c>
      <c r="S1252" s="22"/>
    </row>
    <row r="1253" spans="1:19" ht="18" customHeight="1">
      <c r="A1253" s="85"/>
      <c r="B1253" s="86"/>
      <c r="C1253" s="22"/>
      <c r="D1253" s="85"/>
      <c r="E1253" s="87"/>
      <c r="F1253" s="85"/>
      <c r="G1253" s="22"/>
      <c r="H1253" s="88"/>
      <c r="J1253" s="22"/>
      <c r="M1253" s="89"/>
      <c r="N1253" s="60"/>
      <c r="O1253" s="90"/>
      <c r="P1253" s="91"/>
      <c r="Q1253" s="92"/>
      <c r="R1253" s="68" t="str">
        <f t="shared" si="22"/>
        <v/>
      </c>
      <c r="S1253" s="22"/>
    </row>
    <row r="1254" spans="1:19" ht="18" customHeight="1">
      <c r="A1254" s="85"/>
      <c r="B1254" s="86"/>
      <c r="C1254" s="22"/>
      <c r="D1254" s="85"/>
      <c r="E1254" s="87"/>
      <c r="F1254" s="85"/>
      <c r="G1254" s="22"/>
      <c r="H1254" s="88"/>
      <c r="J1254" s="22"/>
      <c r="M1254" s="89"/>
      <c r="N1254" s="60"/>
      <c r="O1254" s="90"/>
      <c r="P1254" s="91"/>
      <c r="Q1254" s="92"/>
      <c r="R1254" s="68" t="str">
        <f t="shared" si="22"/>
        <v/>
      </c>
      <c r="S1254" s="22"/>
    </row>
    <row r="1255" spans="1:19" ht="18" customHeight="1">
      <c r="A1255" s="85"/>
      <c r="B1255" s="86"/>
      <c r="C1255" s="22"/>
      <c r="D1255" s="85"/>
      <c r="E1255" s="87"/>
      <c r="F1255" s="85"/>
      <c r="G1255" s="22"/>
      <c r="H1255" s="88"/>
      <c r="J1255" s="22"/>
      <c r="M1255" s="89"/>
      <c r="N1255" s="60"/>
      <c r="O1255" s="90"/>
      <c r="P1255" s="91"/>
      <c r="Q1255" s="92"/>
      <c r="R1255" s="68" t="str">
        <f t="shared" si="22"/>
        <v/>
      </c>
      <c r="S1255" s="22"/>
    </row>
    <row r="1256" spans="1:19" ht="18" customHeight="1">
      <c r="A1256" s="85"/>
      <c r="B1256" s="86"/>
      <c r="C1256" s="22"/>
      <c r="D1256" s="85"/>
      <c r="E1256" s="87"/>
      <c r="F1256" s="85"/>
      <c r="G1256" s="22"/>
      <c r="H1256" s="88"/>
      <c r="J1256" s="22"/>
      <c r="M1256" s="89"/>
      <c r="N1256" s="60"/>
      <c r="O1256" s="90"/>
      <c r="P1256" s="91"/>
      <c r="Q1256" s="92"/>
      <c r="R1256" s="68" t="str">
        <f t="shared" si="22"/>
        <v/>
      </c>
      <c r="S1256" s="22"/>
    </row>
    <row r="1257" spans="1:19" ht="18" customHeight="1">
      <c r="A1257" s="85"/>
      <c r="B1257" s="86"/>
      <c r="C1257" s="22"/>
      <c r="D1257" s="85"/>
      <c r="E1257" s="87"/>
      <c r="F1257" s="85"/>
      <c r="G1257" s="22"/>
      <c r="H1257" s="88"/>
      <c r="J1257" s="22"/>
      <c r="M1257" s="89"/>
      <c r="N1257" s="60"/>
      <c r="O1257" s="90"/>
      <c r="P1257" s="91"/>
      <c r="Q1257" s="92"/>
      <c r="R1257" s="68" t="str">
        <f t="shared" si="22"/>
        <v/>
      </c>
      <c r="S1257" s="22"/>
    </row>
    <row r="1258" spans="1:19" ht="18" customHeight="1">
      <c r="A1258" s="85"/>
      <c r="B1258" s="86"/>
      <c r="C1258" s="22"/>
      <c r="D1258" s="85"/>
      <c r="E1258" s="87"/>
      <c r="F1258" s="85"/>
      <c r="G1258" s="22"/>
      <c r="H1258" s="88"/>
      <c r="J1258" s="22"/>
      <c r="M1258" s="89"/>
      <c r="N1258" s="60"/>
      <c r="O1258" s="90"/>
      <c r="P1258" s="91"/>
      <c r="Q1258" s="92"/>
      <c r="R1258" s="68" t="str">
        <f t="shared" si="22"/>
        <v/>
      </c>
      <c r="S1258" s="22"/>
    </row>
    <row r="1259" spans="1:19" ht="18" customHeight="1">
      <c r="A1259" s="85"/>
      <c r="B1259" s="86"/>
      <c r="C1259" s="22"/>
      <c r="D1259" s="85"/>
      <c r="E1259" s="87"/>
      <c r="F1259" s="85"/>
      <c r="G1259" s="22"/>
      <c r="H1259" s="88"/>
      <c r="J1259" s="22"/>
      <c r="M1259" s="89"/>
      <c r="N1259" s="60"/>
      <c r="O1259" s="90"/>
      <c r="P1259" s="91"/>
      <c r="Q1259" s="92"/>
      <c r="R1259" s="68" t="str">
        <f t="shared" si="22"/>
        <v/>
      </c>
      <c r="S1259" s="22"/>
    </row>
    <row r="1260" spans="1:19" ht="18" customHeight="1">
      <c r="A1260" s="85"/>
      <c r="B1260" s="86"/>
      <c r="C1260" s="22"/>
      <c r="D1260" s="85"/>
      <c r="E1260" s="87"/>
      <c r="F1260" s="85"/>
      <c r="G1260" s="22"/>
      <c r="H1260" s="88"/>
      <c r="J1260" s="22"/>
      <c r="M1260" s="89"/>
      <c r="N1260" s="60"/>
      <c r="O1260" s="90"/>
      <c r="P1260" s="91"/>
      <c r="Q1260" s="92"/>
      <c r="R1260" s="68" t="str">
        <f t="shared" si="22"/>
        <v/>
      </c>
      <c r="S1260" s="22"/>
    </row>
    <row r="1261" spans="1:19" ht="18" customHeight="1">
      <c r="A1261" s="85"/>
      <c r="B1261" s="86"/>
      <c r="C1261" s="22"/>
      <c r="D1261" s="85"/>
      <c r="E1261" s="87"/>
      <c r="F1261" s="85"/>
      <c r="G1261" s="22"/>
      <c r="H1261" s="88"/>
      <c r="J1261" s="22"/>
      <c r="M1261" s="89"/>
      <c r="N1261" s="60"/>
      <c r="O1261" s="90"/>
      <c r="P1261" s="91"/>
      <c r="Q1261" s="92"/>
      <c r="R1261" s="68" t="str">
        <f t="shared" si="22"/>
        <v/>
      </c>
      <c r="S1261" s="22"/>
    </row>
    <row r="1262" spans="1:19" ht="18" customHeight="1">
      <c r="A1262" s="85"/>
      <c r="B1262" s="86"/>
      <c r="C1262" s="22"/>
      <c r="D1262" s="85"/>
      <c r="E1262" s="87"/>
      <c r="F1262" s="85"/>
      <c r="G1262" s="22"/>
      <c r="H1262" s="88"/>
      <c r="J1262" s="22"/>
      <c r="M1262" s="89"/>
      <c r="N1262" s="60"/>
      <c r="O1262" s="90"/>
      <c r="P1262" s="91"/>
      <c r="Q1262" s="92"/>
      <c r="R1262" s="68" t="str">
        <f t="shared" si="22"/>
        <v/>
      </c>
      <c r="S1262" s="22"/>
    </row>
    <row r="1263" spans="1:19" ht="18" customHeight="1">
      <c r="A1263" s="85"/>
      <c r="B1263" s="86"/>
      <c r="C1263" s="22"/>
      <c r="D1263" s="85"/>
      <c r="E1263" s="87"/>
      <c r="F1263" s="85"/>
      <c r="G1263" s="22"/>
      <c r="H1263" s="88"/>
      <c r="J1263" s="22"/>
      <c r="M1263" s="89"/>
      <c r="N1263" s="60"/>
      <c r="O1263" s="90"/>
      <c r="P1263" s="91"/>
      <c r="Q1263" s="92"/>
      <c r="R1263" s="68" t="str">
        <f t="shared" si="22"/>
        <v/>
      </c>
      <c r="S1263" s="22"/>
    </row>
    <row r="1264" spans="1:19" ht="18" customHeight="1">
      <c r="A1264" s="85"/>
      <c r="B1264" s="86"/>
      <c r="C1264" s="22"/>
      <c r="D1264" s="85"/>
      <c r="E1264" s="87"/>
      <c r="F1264" s="85"/>
      <c r="G1264" s="22"/>
      <c r="H1264" s="88"/>
      <c r="J1264" s="22"/>
      <c r="M1264" s="89"/>
      <c r="N1264" s="60"/>
      <c r="O1264" s="90"/>
      <c r="P1264" s="91"/>
      <c r="Q1264" s="92"/>
      <c r="R1264" s="68" t="str">
        <f t="shared" si="22"/>
        <v/>
      </c>
      <c r="S1264" s="22"/>
    </row>
    <row r="1265" spans="1:19" ht="18" customHeight="1">
      <c r="A1265" s="85"/>
      <c r="B1265" s="86"/>
      <c r="C1265" s="22"/>
      <c r="D1265" s="85"/>
      <c r="E1265" s="87"/>
      <c r="F1265" s="85"/>
      <c r="G1265" s="22"/>
      <c r="H1265" s="88"/>
      <c r="J1265" s="22"/>
      <c r="M1265" s="89"/>
      <c r="N1265" s="60"/>
      <c r="O1265" s="90"/>
      <c r="P1265" s="91"/>
      <c r="Q1265" s="92"/>
      <c r="R1265" s="68" t="str">
        <f t="shared" si="22"/>
        <v/>
      </c>
      <c r="S1265" s="22"/>
    </row>
    <row r="1266" spans="1:19" ht="18" customHeight="1">
      <c r="A1266" s="85"/>
      <c r="B1266" s="86"/>
      <c r="C1266" s="22"/>
      <c r="D1266" s="85"/>
      <c r="E1266" s="87"/>
      <c r="F1266" s="85"/>
      <c r="G1266" s="22"/>
      <c r="H1266" s="88"/>
      <c r="J1266" s="22"/>
      <c r="M1266" s="89"/>
      <c r="N1266" s="60"/>
      <c r="O1266" s="90"/>
      <c r="P1266" s="91"/>
      <c r="Q1266" s="92"/>
      <c r="R1266" s="68" t="str">
        <f t="shared" si="22"/>
        <v/>
      </c>
      <c r="S1266" s="22"/>
    </row>
    <row r="1267" spans="1:19" ht="18" customHeight="1">
      <c r="A1267" s="85"/>
      <c r="B1267" s="86"/>
      <c r="C1267" s="22"/>
      <c r="D1267" s="85"/>
      <c r="E1267" s="87"/>
      <c r="F1267" s="85"/>
      <c r="G1267" s="22"/>
      <c r="H1267" s="88"/>
      <c r="J1267" s="22"/>
      <c r="M1267" s="89"/>
      <c r="N1267" s="60"/>
      <c r="O1267" s="90"/>
      <c r="P1267" s="91"/>
      <c r="Q1267" s="92"/>
      <c r="R1267" s="68" t="str">
        <f t="shared" si="22"/>
        <v/>
      </c>
      <c r="S1267" s="22"/>
    </row>
    <row r="1268" spans="1:19" ht="18" customHeight="1">
      <c r="A1268" s="85"/>
      <c r="B1268" s="86"/>
      <c r="C1268" s="22"/>
      <c r="D1268" s="85"/>
      <c r="E1268" s="87"/>
      <c r="F1268" s="85"/>
      <c r="G1268" s="22"/>
      <c r="H1268" s="88"/>
      <c r="J1268" s="22"/>
      <c r="M1268" s="89"/>
      <c r="N1268" s="60"/>
      <c r="O1268" s="90"/>
      <c r="P1268" s="91"/>
      <c r="Q1268" s="92"/>
      <c r="R1268" s="68" t="str">
        <f t="shared" ref="R1268:R1331" si="23">IF(SUM(Q1268)&gt;0,SUM(Q1268-P1268),"")</f>
        <v/>
      </c>
      <c r="S1268" s="22"/>
    </row>
    <row r="1269" spans="1:19" ht="18" customHeight="1">
      <c r="A1269" s="85"/>
      <c r="B1269" s="86"/>
      <c r="C1269" s="22"/>
      <c r="D1269" s="85"/>
      <c r="E1269" s="87"/>
      <c r="F1269" s="85"/>
      <c r="G1269" s="22"/>
      <c r="H1269" s="88"/>
      <c r="J1269" s="22"/>
      <c r="M1269" s="89"/>
      <c r="N1269" s="60"/>
      <c r="O1269" s="90"/>
      <c r="P1269" s="91"/>
      <c r="Q1269" s="92"/>
      <c r="R1269" s="68" t="str">
        <f t="shared" si="23"/>
        <v/>
      </c>
      <c r="S1269" s="22"/>
    </row>
    <row r="1270" spans="1:19" ht="18" customHeight="1">
      <c r="A1270" s="85"/>
      <c r="B1270" s="86"/>
      <c r="C1270" s="22"/>
      <c r="D1270" s="85"/>
      <c r="E1270" s="87"/>
      <c r="F1270" s="85"/>
      <c r="G1270" s="22"/>
      <c r="H1270" s="88"/>
      <c r="J1270" s="22"/>
      <c r="M1270" s="89"/>
      <c r="N1270" s="60"/>
      <c r="O1270" s="90"/>
      <c r="P1270" s="91"/>
      <c r="Q1270" s="92"/>
      <c r="R1270" s="68" t="str">
        <f t="shared" si="23"/>
        <v/>
      </c>
      <c r="S1270" s="22"/>
    </row>
    <row r="1271" spans="1:19" ht="18" customHeight="1">
      <c r="A1271" s="85"/>
      <c r="B1271" s="86"/>
      <c r="C1271" s="22"/>
      <c r="D1271" s="85"/>
      <c r="E1271" s="87"/>
      <c r="F1271" s="85"/>
      <c r="G1271" s="22"/>
      <c r="H1271" s="88"/>
      <c r="J1271" s="22"/>
      <c r="M1271" s="89"/>
      <c r="N1271" s="60"/>
      <c r="O1271" s="90"/>
      <c r="P1271" s="91"/>
      <c r="Q1271" s="92"/>
      <c r="R1271" s="68" t="str">
        <f t="shared" si="23"/>
        <v/>
      </c>
      <c r="S1271" s="22"/>
    </row>
    <row r="1272" spans="1:19" ht="18" customHeight="1">
      <c r="A1272" s="85"/>
      <c r="B1272" s="86"/>
      <c r="C1272" s="22"/>
      <c r="D1272" s="85"/>
      <c r="E1272" s="87"/>
      <c r="F1272" s="85"/>
      <c r="G1272" s="22"/>
      <c r="H1272" s="88"/>
      <c r="J1272" s="22"/>
      <c r="M1272" s="89"/>
      <c r="N1272" s="60"/>
      <c r="O1272" s="90"/>
      <c r="P1272" s="91"/>
      <c r="Q1272" s="92"/>
      <c r="R1272" s="68" t="str">
        <f t="shared" si="23"/>
        <v/>
      </c>
      <c r="S1272" s="22"/>
    </row>
    <row r="1273" spans="1:19" ht="18" customHeight="1">
      <c r="A1273" s="85"/>
      <c r="B1273" s="86"/>
      <c r="C1273" s="22"/>
      <c r="D1273" s="85"/>
      <c r="E1273" s="87"/>
      <c r="F1273" s="85"/>
      <c r="G1273" s="22"/>
      <c r="H1273" s="88"/>
      <c r="J1273" s="22"/>
      <c r="M1273" s="89"/>
      <c r="N1273" s="60"/>
      <c r="O1273" s="90"/>
      <c r="P1273" s="91"/>
      <c r="Q1273" s="92"/>
      <c r="R1273" s="68" t="str">
        <f t="shared" si="23"/>
        <v/>
      </c>
      <c r="S1273" s="22"/>
    </row>
    <row r="1274" spans="1:19" ht="18" customHeight="1">
      <c r="A1274" s="85"/>
      <c r="B1274" s="86"/>
      <c r="C1274" s="22"/>
      <c r="D1274" s="85"/>
      <c r="E1274" s="87"/>
      <c r="F1274" s="85"/>
      <c r="G1274" s="22"/>
      <c r="H1274" s="88"/>
      <c r="J1274" s="22"/>
      <c r="M1274" s="89"/>
      <c r="N1274" s="60"/>
      <c r="O1274" s="90"/>
      <c r="P1274" s="91"/>
      <c r="Q1274" s="92"/>
      <c r="R1274" s="68" t="str">
        <f t="shared" si="23"/>
        <v/>
      </c>
      <c r="S1274" s="22"/>
    </row>
    <row r="1275" spans="1:19" ht="18" customHeight="1">
      <c r="A1275" s="85"/>
      <c r="B1275" s="86"/>
      <c r="C1275" s="22"/>
      <c r="D1275" s="85"/>
      <c r="E1275" s="87"/>
      <c r="F1275" s="85"/>
      <c r="G1275" s="22"/>
      <c r="H1275" s="88"/>
      <c r="J1275" s="22"/>
      <c r="M1275" s="89"/>
      <c r="N1275" s="60"/>
      <c r="O1275" s="90"/>
      <c r="P1275" s="91"/>
      <c r="Q1275" s="92"/>
      <c r="R1275" s="68" t="str">
        <f t="shared" si="23"/>
        <v/>
      </c>
      <c r="S1275" s="22"/>
    </row>
    <row r="1276" spans="1:19" ht="18" customHeight="1">
      <c r="A1276" s="85"/>
      <c r="B1276" s="86"/>
      <c r="C1276" s="22"/>
      <c r="D1276" s="85"/>
      <c r="E1276" s="87"/>
      <c r="F1276" s="85"/>
      <c r="G1276" s="22"/>
      <c r="H1276" s="88"/>
      <c r="J1276" s="22"/>
      <c r="M1276" s="89"/>
      <c r="N1276" s="60"/>
      <c r="O1276" s="90"/>
      <c r="P1276" s="91"/>
      <c r="Q1276" s="92"/>
      <c r="R1276" s="68" t="str">
        <f t="shared" si="23"/>
        <v/>
      </c>
      <c r="S1276" s="22"/>
    </row>
    <row r="1277" spans="1:19" ht="18" customHeight="1">
      <c r="A1277" s="85"/>
      <c r="B1277" s="86"/>
      <c r="C1277" s="22"/>
      <c r="D1277" s="85"/>
      <c r="E1277" s="87"/>
      <c r="F1277" s="85"/>
      <c r="G1277" s="22"/>
      <c r="H1277" s="88"/>
      <c r="J1277" s="22"/>
      <c r="M1277" s="89"/>
      <c r="N1277" s="60"/>
      <c r="O1277" s="90"/>
      <c r="P1277" s="91"/>
      <c r="Q1277" s="92"/>
      <c r="R1277" s="68" t="str">
        <f t="shared" si="23"/>
        <v/>
      </c>
      <c r="S1277" s="22"/>
    </row>
    <row r="1278" spans="1:19" ht="18" customHeight="1">
      <c r="A1278" s="85"/>
      <c r="B1278" s="86"/>
      <c r="C1278" s="22"/>
      <c r="D1278" s="85"/>
      <c r="E1278" s="87"/>
      <c r="F1278" s="85"/>
      <c r="G1278" s="22"/>
      <c r="H1278" s="88"/>
      <c r="J1278" s="22"/>
      <c r="M1278" s="89"/>
      <c r="N1278" s="60"/>
      <c r="O1278" s="90"/>
      <c r="P1278" s="91"/>
      <c r="Q1278" s="92"/>
      <c r="R1278" s="68" t="str">
        <f t="shared" si="23"/>
        <v/>
      </c>
      <c r="S1278" s="22"/>
    </row>
    <row r="1279" spans="1:19" ht="18" customHeight="1">
      <c r="A1279" s="85"/>
      <c r="B1279" s="86"/>
      <c r="C1279" s="22"/>
      <c r="D1279" s="85"/>
      <c r="E1279" s="87"/>
      <c r="F1279" s="85"/>
      <c r="G1279" s="22"/>
      <c r="H1279" s="88"/>
      <c r="J1279" s="22"/>
      <c r="M1279" s="89"/>
      <c r="N1279" s="60"/>
      <c r="O1279" s="90"/>
      <c r="P1279" s="91"/>
      <c r="Q1279" s="92"/>
      <c r="R1279" s="68" t="str">
        <f t="shared" si="23"/>
        <v/>
      </c>
      <c r="S1279" s="22"/>
    </row>
    <row r="1280" spans="1:19" ht="18" customHeight="1">
      <c r="A1280" s="85"/>
      <c r="B1280" s="86"/>
      <c r="C1280" s="22"/>
      <c r="D1280" s="85"/>
      <c r="E1280" s="87"/>
      <c r="F1280" s="85"/>
      <c r="G1280" s="22"/>
      <c r="H1280" s="88"/>
      <c r="J1280" s="22"/>
      <c r="M1280" s="89"/>
      <c r="N1280" s="60"/>
      <c r="O1280" s="90"/>
      <c r="P1280" s="91"/>
      <c r="Q1280" s="92"/>
      <c r="R1280" s="68" t="str">
        <f t="shared" si="23"/>
        <v/>
      </c>
      <c r="S1280" s="22"/>
    </row>
    <row r="1281" spans="1:19" ht="18" customHeight="1">
      <c r="A1281" s="85"/>
      <c r="B1281" s="86"/>
      <c r="C1281" s="22"/>
      <c r="D1281" s="85"/>
      <c r="E1281" s="87"/>
      <c r="F1281" s="85"/>
      <c r="G1281" s="22"/>
      <c r="H1281" s="88"/>
      <c r="J1281" s="22"/>
      <c r="M1281" s="89"/>
      <c r="N1281" s="60"/>
      <c r="O1281" s="90"/>
      <c r="P1281" s="91"/>
      <c r="Q1281" s="92"/>
      <c r="R1281" s="68" t="str">
        <f t="shared" si="23"/>
        <v/>
      </c>
      <c r="S1281" s="22"/>
    </row>
    <row r="1282" spans="1:19" ht="18" customHeight="1">
      <c r="A1282" s="85"/>
      <c r="B1282" s="86"/>
      <c r="C1282" s="22"/>
      <c r="D1282" s="85"/>
      <c r="E1282" s="87"/>
      <c r="F1282" s="85"/>
      <c r="G1282" s="22"/>
      <c r="H1282" s="88"/>
      <c r="J1282" s="22"/>
      <c r="M1282" s="89"/>
      <c r="N1282" s="60"/>
      <c r="O1282" s="90"/>
      <c r="P1282" s="91"/>
      <c r="Q1282" s="92"/>
      <c r="R1282" s="68" t="str">
        <f t="shared" si="23"/>
        <v/>
      </c>
      <c r="S1282" s="22"/>
    </row>
    <row r="1283" spans="1:19" ht="18" customHeight="1">
      <c r="A1283" s="85"/>
      <c r="B1283" s="86"/>
      <c r="C1283" s="22"/>
      <c r="D1283" s="85"/>
      <c r="E1283" s="87"/>
      <c r="F1283" s="85"/>
      <c r="G1283" s="22"/>
      <c r="H1283" s="88"/>
      <c r="J1283" s="22"/>
      <c r="M1283" s="89"/>
      <c r="N1283" s="60"/>
      <c r="O1283" s="90"/>
      <c r="P1283" s="91"/>
      <c r="Q1283" s="92"/>
      <c r="R1283" s="68" t="str">
        <f t="shared" si="23"/>
        <v/>
      </c>
      <c r="S1283" s="22"/>
    </row>
    <row r="1284" spans="1:19" ht="18" customHeight="1">
      <c r="A1284" s="85"/>
      <c r="B1284" s="86"/>
      <c r="C1284" s="22"/>
      <c r="D1284" s="85"/>
      <c r="E1284" s="87"/>
      <c r="F1284" s="85"/>
      <c r="G1284" s="22"/>
      <c r="H1284" s="88"/>
      <c r="J1284" s="22"/>
      <c r="M1284" s="89"/>
      <c r="N1284" s="60"/>
      <c r="O1284" s="90"/>
      <c r="P1284" s="91"/>
      <c r="Q1284" s="92"/>
      <c r="R1284" s="68" t="str">
        <f t="shared" si="23"/>
        <v/>
      </c>
      <c r="S1284" s="22"/>
    </row>
    <row r="1285" spans="1:19" ht="18" customHeight="1">
      <c r="A1285" s="85"/>
      <c r="B1285" s="86"/>
      <c r="C1285" s="22"/>
      <c r="D1285" s="85"/>
      <c r="E1285" s="87"/>
      <c r="F1285" s="85"/>
      <c r="G1285" s="22"/>
      <c r="H1285" s="88"/>
      <c r="J1285" s="22"/>
      <c r="M1285" s="89"/>
      <c r="N1285" s="60"/>
      <c r="O1285" s="90"/>
      <c r="P1285" s="91"/>
      <c r="Q1285" s="92"/>
      <c r="R1285" s="68" t="str">
        <f t="shared" si="23"/>
        <v/>
      </c>
      <c r="S1285" s="22"/>
    </row>
    <row r="1286" spans="1:19" ht="18" customHeight="1">
      <c r="A1286" s="85"/>
      <c r="B1286" s="86"/>
      <c r="C1286" s="22"/>
      <c r="D1286" s="85"/>
      <c r="E1286" s="87"/>
      <c r="F1286" s="85"/>
      <c r="G1286" s="22"/>
      <c r="H1286" s="88"/>
      <c r="J1286" s="22"/>
      <c r="M1286" s="89"/>
      <c r="N1286" s="60"/>
      <c r="O1286" s="90"/>
      <c r="P1286" s="91"/>
      <c r="Q1286" s="92"/>
      <c r="R1286" s="68" t="str">
        <f t="shared" si="23"/>
        <v/>
      </c>
      <c r="S1286" s="22"/>
    </row>
    <row r="1287" spans="1:19" ht="18" customHeight="1">
      <c r="A1287" s="85"/>
      <c r="B1287" s="86"/>
      <c r="C1287" s="22"/>
      <c r="D1287" s="85"/>
      <c r="E1287" s="87"/>
      <c r="F1287" s="85"/>
      <c r="G1287" s="22"/>
      <c r="H1287" s="88"/>
      <c r="J1287" s="22"/>
      <c r="M1287" s="89"/>
      <c r="N1287" s="60"/>
      <c r="O1287" s="90"/>
      <c r="P1287" s="91"/>
      <c r="Q1287" s="92"/>
      <c r="R1287" s="68" t="str">
        <f t="shared" si="23"/>
        <v/>
      </c>
      <c r="S1287" s="22"/>
    </row>
    <row r="1288" spans="1:19" ht="18" customHeight="1">
      <c r="A1288" s="85"/>
      <c r="B1288" s="86"/>
      <c r="C1288" s="22"/>
      <c r="D1288" s="85"/>
      <c r="E1288" s="87"/>
      <c r="F1288" s="85"/>
      <c r="G1288" s="22"/>
      <c r="H1288" s="88"/>
      <c r="J1288" s="22"/>
      <c r="M1288" s="89"/>
      <c r="N1288" s="60"/>
      <c r="O1288" s="90"/>
      <c r="P1288" s="91"/>
      <c r="Q1288" s="92"/>
      <c r="R1288" s="68" t="str">
        <f t="shared" si="23"/>
        <v/>
      </c>
      <c r="S1288" s="22"/>
    </row>
    <row r="1289" spans="1:19" ht="18" customHeight="1">
      <c r="A1289" s="85"/>
      <c r="B1289" s="86"/>
      <c r="C1289" s="22"/>
      <c r="D1289" s="85"/>
      <c r="E1289" s="87"/>
      <c r="F1289" s="85"/>
      <c r="G1289" s="22"/>
      <c r="H1289" s="88"/>
      <c r="J1289" s="22"/>
      <c r="M1289" s="89"/>
      <c r="N1289" s="60"/>
      <c r="O1289" s="90"/>
      <c r="P1289" s="91"/>
      <c r="Q1289" s="92"/>
      <c r="R1289" s="68" t="str">
        <f t="shared" si="23"/>
        <v/>
      </c>
      <c r="S1289" s="22"/>
    </row>
    <row r="1290" spans="1:19" ht="18" customHeight="1">
      <c r="A1290" s="85"/>
      <c r="B1290" s="86"/>
      <c r="C1290" s="22"/>
      <c r="D1290" s="85"/>
      <c r="E1290" s="87"/>
      <c r="F1290" s="85"/>
      <c r="G1290" s="22"/>
      <c r="H1290" s="88"/>
      <c r="J1290" s="22"/>
      <c r="M1290" s="89"/>
      <c r="N1290" s="60"/>
      <c r="O1290" s="90"/>
      <c r="P1290" s="91"/>
      <c r="Q1290" s="92"/>
      <c r="R1290" s="68" t="str">
        <f t="shared" si="23"/>
        <v/>
      </c>
      <c r="S1290" s="22"/>
    </row>
    <row r="1291" spans="1:19" ht="18" customHeight="1">
      <c r="A1291" s="85"/>
      <c r="B1291" s="86"/>
      <c r="C1291" s="22"/>
      <c r="D1291" s="85"/>
      <c r="E1291" s="87"/>
      <c r="F1291" s="85"/>
      <c r="G1291" s="22"/>
      <c r="H1291" s="88"/>
      <c r="J1291" s="22"/>
      <c r="M1291" s="89"/>
      <c r="N1291" s="60"/>
      <c r="O1291" s="90"/>
      <c r="P1291" s="91"/>
      <c r="Q1291" s="92"/>
      <c r="R1291" s="68" t="str">
        <f t="shared" si="23"/>
        <v/>
      </c>
      <c r="S1291" s="22"/>
    </row>
    <row r="1292" spans="1:19" ht="18" customHeight="1">
      <c r="A1292" s="85"/>
      <c r="B1292" s="86"/>
      <c r="C1292" s="22"/>
      <c r="D1292" s="85"/>
      <c r="E1292" s="87"/>
      <c r="F1292" s="85"/>
      <c r="G1292" s="22"/>
      <c r="H1292" s="88"/>
      <c r="J1292" s="22"/>
      <c r="M1292" s="89"/>
      <c r="N1292" s="60"/>
      <c r="O1292" s="90"/>
      <c r="P1292" s="91"/>
      <c r="Q1292" s="92"/>
      <c r="R1292" s="68" t="str">
        <f t="shared" si="23"/>
        <v/>
      </c>
      <c r="S1292" s="22"/>
    </row>
    <row r="1293" spans="1:19" ht="18" customHeight="1">
      <c r="A1293" s="85"/>
      <c r="B1293" s="86"/>
      <c r="C1293" s="22"/>
      <c r="D1293" s="85"/>
      <c r="E1293" s="87"/>
      <c r="F1293" s="85"/>
      <c r="G1293" s="22"/>
      <c r="H1293" s="88"/>
      <c r="J1293" s="22"/>
      <c r="M1293" s="89"/>
      <c r="N1293" s="60"/>
      <c r="O1293" s="90"/>
      <c r="P1293" s="91"/>
      <c r="Q1293" s="92"/>
      <c r="R1293" s="68" t="str">
        <f t="shared" si="23"/>
        <v/>
      </c>
      <c r="S1293" s="22"/>
    </row>
    <row r="1294" spans="1:19" ht="18" customHeight="1">
      <c r="A1294" s="85"/>
      <c r="B1294" s="86"/>
      <c r="C1294" s="22"/>
      <c r="D1294" s="85"/>
      <c r="E1294" s="87"/>
      <c r="F1294" s="85"/>
      <c r="G1294" s="22"/>
      <c r="H1294" s="88"/>
      <c r="J1294" s="22"/>
      <c r="M1294" s="89"/>
      <c r="N1294" s="60"/>
      <c r="O1294" s="90"/>
      <c r="P1294" s="91"/>
      <c r="Q1294" s="92"/>
      <c r="R1294" s="68" t="str">
        <f t="shared" si="23"/>
        <v/>
      </c>
      <c r="S1294" s="22"/>
    </row>
    <row r="1295" spans="1:19" ht="18" customHeight="1">
      <c r="A1295" s="85"/>
      <c r="B1295" s="86"/>
      <c r="C1295" s="22"/>
      <c r="D1295" s="85"/>
      <c r="E1295" s="87"/>
      <c r="F1295" s="85"/>
      <c r="G1295" s="22"/>
      <c r="H1295" s="88"/>
      <c r="J1295" s="22"/>
      <c r="M1295" s="89"/>
      <c r="N1295" s="60"/>
      <c r="O1295" s="90"/>
      <c r="P1295" s="91"/>
      <c r="Q1295" s="92"/>
      <c r="R1295" s="68" t="str">
        <f t="shared" si="23"/>
        <v/>
      </c>
      <c r="S1295" s="22"/>
    </row>
    <row r="1296" spans="1:19" ht="18" customHeight="1">
      <c r="A1296" s="85"/>
      <c r="B1296" s="86"/>
      <c r="C1296" s="22"/>
      <c r="D1296" s="85"/>
      <c r="E1296" s="87"/>
      <c r="F1296" s="85"/>
      <c r="G1296" s="22"/>
      <c r="H1296" s="88"/>
      <c r="J1296" s="22"/>
      <c r="M1296" s="89"/>
      <c r="N1296" s="60"/>
      <c r="O1296" s="90"/>
      <c r="P1296" s="91"/>
      <c r="Q1296" s="92"/>
      <c r="R1296" s="68" t="str">
        <f t="shared" si="23"/>
        <v/>
      </c>
      <c r="S1296" s="22"/>
    </row>
    <row r="1297" spans="1:19" ht="18" customHeight="1">
      <c r="A1297" s="85"/>
      <c r="B1297" s="86"/>
      <c r="C1297" s="22"/>
      <c r="D1297" s="85"/>
      <c r="E1297" s="87"/>
      <c r="F1297" s="85"/>
      <c r="G1297" s="22"/>
      <c r="H1297" s="88"/>
      <c r="J1297" s="22"/>
      <c r="M1297" s="89"/>
      <c r="N1297" s="60"/>
      <c r="O1297" s="90"/>
      <c r="P1297" s="91"/>
      <c r="Q1297" s="92"/>
      <c r="R1297" s="68" t="str">
        <f t="shared" si="23"/>
        <v/>
      </c>
      <c r="S1297" s="22"/>
    </row>
    <row r="1298" spans="1:19" ht="18" customHeight="1">
      <c r="A1298" s="85"/>
      <c r="B1298" s="86"/>
      <c r="C1298" s="22"/>
      <c r="D1298" s="85"/>
      <c r="E1298" s="87"/>
      <c r="F1298" s="85"/>
      <c r="G1298" s="22"/>
      <c r="H1298" s="88"/>
      <c r="J1298" s="22"/>
      <c r="M1298" s="89"/>
      <c r="N1298" s="60"/>
      <c r="O1298" s="90"/>
      <c r="P1298" s="91"/>
      <c r="Q1298" s="92"/>
      <c r="R1298" s="68" t="str">
        <f t="shared" si="23"/>
        <v/>
      </c>
      <c r="S1298" s="22"/>
    </row>
    <row r="1299" spans="1:19" ht="18" customHeight="1">
      <c r="A1299" s="85"/>
      <c r="B1299" s="86"/>
      <c r="C1299" s="22"/>
      <c r="D1299" s="85"/>
      <c r="E1299" s="87"/>
      <c r="F1299" s="85"/>
      <c r="G1299" s="22"/>
      <c r="H1299" s="88"/>
      <c r="J1299" s="22"/>
      <c r="M1299" s="89"/>
      <c r="N1299" s="60"/>
      <c r="O1299" s="90"/>
      <c r="P1299" s="91"/>
      <c r="Q1299" s="92"/>
      <c r="R1299" s="68" t="str">
        <f t="shared" si="23"/>
        <v/>
      </c>
      <c r="S1299" s="22"/>
    </row>
    <row r="1300" spans="1:19" ht="18" customHeight="1">
      <c r="A1300" s="85"/>
      <c r="B1300" s="86"/>
      <c r="C1300" s="22"/>
      <c r="D1300" s="85"/>
      <c r="E1300" s="87"/>
      <c r="F1300" s="85"/>
      <c r="G1300" s="22"/>
      <c r="H1300" s="88"/>
      <c r="J1300" s="22"/>
      <c r="M1300" s="89"/>
      <c r="N1300" s="60"/>
      <c r="O1300" s="90"/>
      <c r="P1300" s="91"/>
      <c r="Q1300" s="92"/>
      <c r="R1300" s="68" t="str">
        <f t="shared" si="23"/>
        <v/>
      </c>
      <c r="S1300" s="22"/>
    </row>
    <row r="1301" spans="1:19" ht="18" customHeight="1">
      <c r="A1301" s="85"/>
      <c r="B1301" s="86"/>
      <c r="C1301" s="22"/>
      <c r="D1301" s="85"/>
      <c r="E1301" s="87"/>
      <c r="F1301" s="85"/>
      <c r="G1301" s="22"/>
      <c r="H1301" s="88"/>
      <c r="J1301" s="22"/>
      <c r="M1301" s="89"/>
      <c r="N1301" s="60"/>
      <c r="O1301" s="90"/>
      <c r="P1301" s="91"/>
      <c r="Q1301" s="92"/>
      <c r="R1301" s="68" t="str">
        <f t="shared" si="23"/>
        <v/>
      </c>
      <c r="S1301" s="22"/>
    </row>
    <row r="1302" spans="1:19" ht="18" customHeight="1">
      <c r="A1302" s="85"/>
      <c r="B1302" s="86"/>
      <c r="C1302" s="22"/>
      <c r="D1302" s="85"/>
      <c r="E1302" s="87"/>
      <c r="F1302" s="85"/>
      <c r="G1302" s="22"/>
      <c r="H1302" s="88"/>
      <c r="J1302" s="22"/>
      <c r="M1302" s="89"/>
      <c r="N1302" s="60"/>
      <c r="O1302" s="90"/>
      <c r="P1302" s="91"/>
      <c r="Q1302" s="92"/>
      <c r="R1302" s="68" t="str">
        <f t="shared" si="23"/>
        <v/>
      </c>
      <c r="S1302" s="22"/>
    </row>
    <row r="1303" spans="1:19" ht="18" customHeight="1">
      <c r="A1303" s="85"/>
      <c r="B1303" s="86"/>
      <c r="C1303" s="22"/>
      <c r="D1303" s="85"/>
      <c r="E1303" s="87"/>
      <c r="F1303" s="85"/>
      <c r="G1303" s="22"/>
      <c r="H1303" s="88"/>
      <c r="J1303" s="22"/>
      <c r="M1303" s="89"/>
      <c r="N1303" s="60"/>
      <c r="O1303" s="90"/>
      <c r="P1303" s="91"/>
      <c r="Q1303" s="92"/>
      <c r="R1303" s="68" t="str">
        <f t="shared" si="23"/>
        <v/>
      </c>
      <c r="S1303" s="22"/>
    </row>
    <row r="1304" spans="1:19" ht="18" customHeight="1">
      <c r="A1304" s="85"/>
      <c r="B1304" s="86"/>
      <c r="C1304" s="22"/>
      <c r="D1304" s="85"/>
      <c r="E1304" s="87"/>
      <c r="F1304" s="85"/>
      <c r="G1304" s="22"/>
      <c r="H1304" s="88"/>
      <c r="J1304" s="22"/>
      <c r="M1304" s="89"/>
      <c r="N1304" s="60"/>
      <c r="O1304" s="90"/>
      <c r="P1304" s="91"/>
      <c r="Q1304" s="92"/>
      <c r="R1304" s="68" t="str">
        <f t="shared" si="23"/>
        <v/>
      </c>
      <c r="S1304" s="22"/>
    </row>
    <row r="1305" spans="1:19" ht="18" customHeight="1">
      <c r="A1305" s="85"/>
      <c r="B1305" s="86"/>
      <c r="C1305" s="22"/>
      <c r="D1305" s="85"/>
      <c r="E1305" s="87"/>
      <c r="F1305" s="85"/>
      <c r="G1305" s="22"/>
      <c r="H1305" s="88"/>
      <c r="J1305" s="22"/>
      <c r="M1305" s="89"/>
      <c r="N1305" s="60"/>
      <c r="O1305" s="90"/>
      <c r="P1305" s="91"/>
      <c r="Q1305" s="92"/>
      <c r="R1305" s="68" t="str">
        <f t="shared" si="23"/>
        <v/>
      </c>
      <c r="S1305" s="22"/>
    </row>
    <row r="1306" spans="1:19" ht="18" customHeight="1">
      <c r="A1306" s="85"/>
      <c r="B1306" s="86"/>
      <c r="C1306" s="22"/>
      <c r="D1306" s="85"/>
      <c r="E1306" s="87"/>
      <c r="F1306" s="85"/>
      <c r="G1306" s="22"/>
      <c r="H1306" s="88"/>
      <c r="J1306" s="22"/>
      <c r="M1306" s="89"/>
      <c r="N1306" s="60"/>
      <c r="O1306" s="90"/>
      <c r="P1306" s="91"/>
      <c r="Q1306" s="92"/>
      <c r="R1306" s="68" t="str">
        <f t="shared" si="23"/>
        <v/>
      </c>
      <c r="S1306" s="22"/>
    </row>
    <row r="1307" spans="1:19" ht="18" customHeight="1">
      <c r="A1307" s="85"/>
      <c r="B1307" s="86"/>
      <c r="C1307" s="22"/>
      <c r="D1307" s="85"/>
      <c r="E1307" s="87"/>
      <c r="F1307" s="85"/>
      <c r="G1307" s="22"/>
      <c r="H1307" s="88"/>
      <c r="J1307" s="22"/>
      <c r="M1307" s="89"/>
      <c r="N1307" s="60"/>
      <c r="O1307" s="90"/>
      <c r="P1307" s="91"/>
      <c r="Q1307" s="92"/>
      <c r="R1307" s="68" t="str">
        <f t="shared" si="23"/>
        <v/>
      </c>
      <c r="S1307" s="22"/>
    </row>
    <row r="1308" spans="1:19" ht="18" customHeight="1">
      <c r="A1308" s="85"/>
      <c r="B1308" s="86"/>
      <c r="C1308" s="22"/>
      <c r="D1308" s="85"/>
      <c r="E1308" s="87"/>
      <c r="F1308" s="85"/>
      <c r="G1308" s="22"/>
      <c r="H1308" s="88"/>
      <c r="J1308" s="22"/>
      <c r="M1308" s="89"/>
      <c r="N1308" s="60"/>
      <c r="O1308" s="90"/>
      <c r="P1308" s="91"/>
      <c r="Q1308" s="92"/>
      <c r="R1308" s="68" t="str">
        <f t="shared" si="23"/>
        <v/>
      </c>
      <c r="S1308" s="22"/>
    </row>
    <row r="1309" spans="1:19" ht="18" customHeight="1">
      <c r="A1309" s="85"/>
      <c r="B1309" s="86"/>
      <c r="C1309" s="22"/>
      <c r="D1309" s="85"/>
      <c r="E1309" s="87"/>
      <c r="F1309" s="85"/>
      <c r="G1309" s="22"/>
      <c r="H1309" s="88"/>
      <c r="J1309" s="22"/>
      <c r="M1309" s="89"/>
      <c r="N1309" s="60"/>
      <c r="O1309" s="90"/>
      <c r="P1309" s="91"/>
      <c r="Q1309" s="92"/>
      <c r="R1309" s="68" t="str">
        <f t="shared" si="23"/>
        <v/>
      </c>
      <c r="S1309" s="22"/>
    </row>
    <row r="1310" spans="1:19" ht="18" customHeight="1">
      <c r="A1310" s="85"/>
      <c r="B1310" s="86"/>
      <c r="C1310" s="22"/>
      <c r="D1310" s="85"/>
      <c r="E1310" s="87"/>
      <c r="F1310" s="85"/>
      <c r="G1310" s="22"/>
      <c r="H1310" s="88"/>
      <c r="J1310" s="22"/>
      <c r="M1310" s="89"/>
      <c r="N1310" s="60"/>
      <c r="O1310" s="90"/>
      <c r="P1310" s="91"/>
      <c r="Q1310" s="92"/>
      <c r="R1310" s="68" t="str">
        <f t="shared" si="23"/>
        <v/>
      </c>
      <c r="S1310" s="22"/>
    </row>
    <row r="1311" spans="1:19" ht="18" customHeight="1">
      <c r="A1311" s="85"/>
      <c r="B1311" s="86"/>
      <c r="C1311" s="22"/>
      <c r="D1311" s="85"/>
      <c r="E1311" s="87"/>
      <c r="F1311" s="85"/>
      <c r="G1311" s="22"/>
      <c r="H1311" s="88"/>
      <c r="J1311" s="22"/>
      <c r="M1311" s="89"/>
      <c r="N1311" s="60"/>
      <c r="O1311" s="90"/>
      <c r="P1311" s="91"/>
      <c r="Q1311" s="92"/>
      <c r="R1311" s="68" t="str">
        <f t="shared" si="23"/>
        <v/>
      </c>
      <c r="S1311" s="22"/>
    </row>
    <row r="1312" spans="1:19" ht="18" customHeight="1">
      <c r="A1312" s="85"/>
      <c r="B1312" s="86"/>
      <c r="C1312" s="22"/>
      <c r="D1312" s="85"/>
      <c r="E1312" s="87"/>
      <c r="F1312" s="85"/>
      <c r="G1312" s="22"/>
      <c r="H1312" s="88"/>
      <c r="J1312" s="22"/>
      <c r="M1312" s="89"/>
      <c r="N1312" s="60"/>
      <c r="O1312" s="90"/>
      <c r="P1312" s="91"/>
      <c r="Q1312" s="92"/>
      <c r="R1312" s="68" t="str">
        <f t="shared" si="23"/>
        <v/>
      </c>
      <c r="S1312" s="22"/>
    </row>
    <row r="1313" spans="1:19" ht="18" customHeight="1">
      <c r="A1313" s="85"/>
      <c r="B1313" s="86"/>
      <c r="C1313" s="22"/>
      <c r="D1313" s="85"/>
      <c r="E1313" s="87"/>
      <c r="F1313" s="85"/>
      <c r="G1313" s="22"/>
      <c r="H1313" s="88"/>
      <c r="J1313" s="22"/>
      <c r="M1313" s="89"/>
      <c r="N1313" s="60"/>
      <c r="O1313" s="90"/>
      <c r="P1313" s="91"/>
      <c r="Q1313" s="92"/>
      <c r="R1313" s="68" t="str">
        <f t="shared" si="23"/>
        <v/>
      </c>
      <c r="S1313" s="22"/>
    </row>
    <row r="1314" spans="1:19" ht="18" customHeight="1">
      <c r="A1314" s="85"/>
      <c r="B1314" s="86"/>
      <c r="C1314" s="22"/>
      <c r="D1314" s="85"/>
      <c r="E1314" s="87"/>
      <c r="F1314" s="85"/>
      <c r="G1314" s="22"/>
      <c r="H1314" s="88"/>
      <c r="J1314" s="22"/>
      <c r="M1314" s="89"/>
      <c r="N1314" s="60"/>
      <c r="O1314" s="90"/>
      <c r="P1314" s="91"/>
      <c r="Q1314" s="92"/>
      <c r="R1314" s="68" t="str">
        <f t="shared" si="23"/>
        <v/>
      </c>
      <c r="S1314" s="22"/>
    </row>
    <row r="1315" spans="1:19" ht="18" customHeight="1">
      <c r="A1315" s="85"/>
      <c r="B1315" s="86"/>
      <c r="C1315" s="22"/>
      <c r="D1315" s="85"/>
      <c r="E1315" s="87"/>
      <c r="F1315" s="85"/>
      <c r="G1315" s="22"/>
      <c r="H1315" s="88"/>
      <c r="J1315" s="22"/>
      <c r="M1315" s="89"/>
      <c r="N1315" s="60"/>
      <c r="O1315" s="90"/>
      <c r="P1315" s="91"/>
      <c r="Q1315" s="92"/>
      <c r="R1315" s="68" t="str">
        <f t="shared" si="23"/>
        <v/>
      </c>
      <c r="S1315" s="22"/>
    </row>
    <row r="1316" spans="1:19" ht="18" customHeight="1">
      <c r="A1316" s="85"/>
      <c r="B1316" s="86"/>
      <c r="C1316" s="22"/>
      <c r="D1316" s="85"/>
      <c r="E1316" s="87"/>
      <c r="F1316" s="85"/>
      <c r="G1316" s="22"/>
      <c r="H1316" s="88"/>
      <c r="J1316" s="22"/>
      <c r="M1316" s="89"/>
      <c r="N1316" s="60"/>
      <c r="O1316" s="90"/>
      <c r="P1316" s="91"/>
      <c r="Q1316" s="92"/>
      <c r="R1316" s="68" t="str">
        <f t="shared" si="23"/>
        <v/>
      </c>
      <c r="S1316" s="22"/>
    </row>
    <row r="1317" spans="1:19" ht="18" customHeight="1">
      <c r="A1317" s="85"/>
      <c r="B1317" s="86"/>
      <c r="C1317" s="22"/>
      <c r="D1317" s="85"/>
      <c r="E1317" s="87"/>
      <c r="F1317" s="85"/>
      <c r="G1317" s="22"/>
      <c r="H1317" s="88"/>
      <c r="J1317" s="22"/>
      <c r="M1317" s="89"/>
      <c r="N1317" s="60"/>
      <c r="O1317" s="90"/>
      <c r="P1317" s="91"/>
      <c r="Q1317" s="92"/>
      <c r="R1317" s="68" t="str">
        <f t="shared" si="23"/>
        <v/>
      </c>
      <c r="S1317" s="22"/>
    </row>
    <row r="1318" spans="1:19" ht="18" customHeight="1">
      <c r="A1318" s="85"/>
      <c r="B1318" s="86"/>
      <c r="C1318" s="22"/>
      <c r="D1318" s="85"/>
      <c r="E1318" s="87"/>
      <c r="F1318" s="85"/>
      <c r="G1318" s="22"/>
      <c r="H1318" s="88"/>
      <c r="J1318" s="22"/>
      <c r="M1318" s="89"/>
      <c r="N1318" s="60"/>
      <c r="O1318" s="90"/>
      <c r="P1318" s="91"/>
      <c r="Q1318" s="92"/>
      <c r="R1318" s="68" t="str">
        <f t="shared" si="23"/>
        <v/>
      </c>
      <c r="S1318" s="22"/>
    </row>
    <row r="1319" spans="1:19" ht="18" customHeight="1">
      <c r="A1319" s="85"/>
      <c r="B1319" s="86"/>
      <c r="C1319" s="22"/>
      <c r="D1319" s="85"/>
      <c r="E1319" s="87"/>
      <c r="F1319" s="85"/>
      <c r="G1319" s="22"/>
      <c r="H1319" s="88"/>
      <c r="J1319" s="22"/>
      <c r="M1319" s="89"/>
      <c r="N1319" s="60"/>
      <c r="O1319" s="90"/>
      <c r="P1319" s="91"/>
      <c r="Q1319" s="92"/>
      <c r="R1319" s="68" t="str">
        <f t="shared" si="23"/>
        <v/>
      </c>
      <c r="S1319" s="22"/>
    </row>
    <row r="1320" spans="1:19" ht="18" customHeight="1">
      <c r="A1320" s="85"/>
      <c r="B1320" s="86"/>
      <c r="C1320" s="22"/>
      <c r="D1320" s="85"/>
      <c r="E1320" s="87"/>
      <c r="F1320" s="85"/>
      <c r="G1320" s="22"/>
      <c r="H1320" s="88"/>
      <c r="J1320" s="22"/>
      <c r="M1320" s="89"/>
      <c r="N1320" s="60"/>
      <c r="O1320" s="90"/>
      <c r="P1320" s="91"/>
      <c r="Q1320" s="92"/>
      <c r="R1320" s="68" t="str">
        <f t="shared" si="23"/>
        <v/>
      </c>
      <c r="S1320" s="22"/>
    </row>
    <row r="1321" spans="1:19" ht="18" customHeight="1">
      <c r="A1321" s="85"/>
      <c r="B1321" s="86"/>
      <c r="C1321" s="22"/>
      <c r="D1321" s="85"/>
      <c r="E1321" s="87"/>
      <c r="F1321" s="85"/>
      <c r="G1321" s="22"/>
      <c r="H1321" s="88"/>
      <c r="J1321" s="22"/>
      <c r="M1321" s="89"/>
      <c r="N1321" s="60"/>
      <c r="O1321" s="90"/>
      <c r="P1321" s="91"/>
      <c r="Q1321" s="92"/>
      <c r="R1321" s="68" t="str">
        <f t="shared" si="23"/>
        <v/>
      </c>
      <c r="S1321" s="22"/>
    </row>
    <row r="1322" spans="1:19" ht="18" customHeight="1">
      <c r="A1322" s="85"/>
      <c r="B1322" s="86"/>
      <c r="C1322" s="22"/>
      <c r="D1322" s="85"/>
      <c r="E1322" s="87"/>
      <c r="F1322" s="85"/>
      <c r="G1322" s="22"/>
      <c r="H1322" s="88"/>
      <c r="J1322" s="22"/>
      <c r="M1322" s="89"/>
      <c r="N1322" s="60"/>
      <c r="O1322" s="90"/>
      <c r="P1322" s="91"/>
      <c r="Q1322" s="92"/>
      <c r="R1322" s="68" t="str">
        <f t="shared" si="23"/>
        <v/>
      </c>
      <c r="S1322" s="22"/>
    </row>
    <row r="1323" spans="1:19" ht="18" customHeight="1">
      <c r="A1323" s="85"/>
      <c r="B1323" s="86"/>
      <c r="C1323" s="22"/>
      <c r="D1323" s="85"/>
      <c r="E1323" s="87"/>
      <c r="F1323" s="85"/>
      <c r="G1323" s="22"/>
      <c r="H1323" s="88"/>
      <c r="J1323" s="22"/>
      <c r="M1323" s="89"/>
      <c r="N1323" s="60"/>
      <c r="O1323" s="90"/>
      <c r="P1323" s="91"/>
      <c r="Q1323" s="92"/>
      <c r="R1323" s="68" t="str">
        <f t="shared" si="23"/>
        <v/>
      </c>
      <c r="S1323" s="22"/>
    </row>
    <row r="1324" spans="1:19" ht="18" customHeight="1">
      <c r="A1324" s="85"/>
      <c r="B1324" s="86"/>
      <c r="C1324" s="22"/>
      <c r="D1324" s="85"/>
      <c r="E1324" s="87"/>
      <c r="F1324" s="85"/>
      <c r="G1324" s="22"/>
      <c r="H1324" s="88"/>
      <c r="J1324" s="22"/>
      <c r="M1324" s="89"/>
      <c r="N1324" s="60"/>
      <c r="O1324" s="90"/>
      <c r="P1324" s="91"/>
      <c r="Q1324" s="92"/>
      <c r="R1324" s="68" t="str">
        <f t="shared" si="23"/>
        <v/>
      </c>
      <c r="S1324" s="22"/>
    </row>
    <row r="1325" spans="1:19" ht="18" customHeight="1">
      <c r="A1325" s="85"/>
      <c r="B1325" s="86"/>
      <c r="C1325" s="22"/>
      <c r="D1325" s="85"/>
      <c r="E1325" s="87"/>
      <c r="F1325" s="85"/>
      <c r="G1325" s="22"/>
      <c r="H1325" s="88"/>
      <c r="J1325" s="22"/>
      <c r="M1325" s="89"/>
      <c r="N1325" s="60"/>
      <c r="O1325" s="90"/>
      <c r="P1325" s="91"/>
      <c r="Q1325" s="92"/>
      <c r="R1325" s="68" t="str">
        <f t="shared" si="23"/>
        <v/>
      </c>
      <c r="S1325" s="22"/>
    </row>
    <row r="1326" spans="1:19" ht="18" customHeight="1">
      <c r="A1326" s="85"/>
      <c r="B1326" s="86"/>
      <c r="C1326" s="22"/>
      <c r="D1326" s="85"/>
      <c r="E1326" s="87"/>
      <c r="F1326" s="85"/>
      <c r="G1326" s="22"/>
      <c r="H1326" s="88"/>
      <c r="J1326" s="22"/>
      <c r="M1326" s="89"/>
      <c r="N1326" s="60"/>
      <c r="O1326" s="90"/>
      <c r="P1326" s="91"/>
      <c r="Q1326" s="92"/>
      <c r="R1326" s="68" t="str">
        <f t="shared" si="23"/>
        <v/>
      </c>
      <c r="S1326" s="22"/>
    </row>
    <row r="1327" spans="1:19" ht="18" customHeight="1">
      <c r="A1327" s="85"/>
      <c r="B1327" s="86"/>
      <c r="C1327" s="22"/>
      <c r="D1327" s="85"/>
      <c r="E1327" s="87"/>
      <c r="F1327" s="85"/>
      <c r="G1327" s="22"/>
      <c r="H1327" s="88"/>
      <c r="J1327" s="22"/>
      <c r="M1327" s="89"/>
      <c r="N1327" s="60"/>
      <c r="O1327" s="90"/>
      <c r="P1327" s="91"/>
      <c r="Q1327" s="92"/>
      <c r="R1327" s="68" t="str">
        <f t="shared" si="23"/>
        <v/>
      </c>
      <c r="S1327" s="22"/>
    </row>
    <row r="1328" spans="1:19" ht="18" customHeight="1">
      <c r="A1328" s="85"/>
      <c r="B1328" s="86"/>
      <c r="C1328" s="22"/>
      <c r="D1328" s="85"/>
      <c r="E1328" s="87"/>
      <c r="F1328" s="85"/>
      <c r="G1328" s="22"/>
      <c r="H1328" s="88"/>
      <c r="J1328" s="22"/>
      <c r="M1328" s="89"/>
      <c r="N1328" s="60"/>
      <c r="O1328" s="90"/>
      <c r="P1328" s="91"/>
      <c r="Q1328" s="92"/>
      <c r="R1328" s="68" t="str">
        <f t="shared" si="23"/>
        <v/>
      </c>
      <c r="S1328" s="22"/>
    </row>
    <row r="1329" spans="1:19" ht="18" customHeight="1">
      <c r="A1329" s="85"/>
      <c r="B1329" s="86"/>
      <c r="C1329" s="22"/>
      <c r="D1329" s="85"/>
      <c r="E1329" s="87"/>
      <c r="F1329" s="85"/>
      <c r="G1329" s="22"/>
      <c r="H1329" s="88"/>
      <c r="J1329" s="22"/>
      <c r="M1329" s="89"/>
      <c r="N1329" s="60"/>
      <c r="O1329" s="90"/>
      <c r="P1329" s="91"/>
      <c r="Q1329" s="92"/>
      <c r="R1329" s="68" t="str">
        <f t="shared" si="23"/>
        <v/>
      </c>
      <c r="S1329" s="22"/>
    </row>
    <row r="1330" spans="1:19" ht="18" customHeight="1">
      <c r="A1330" s="85"/>
      <c r="B1330" s="86"/>
      <c r="C1330" s="22"/>
      <c r="D1330" s="85"/>
      <c r="E1330" s="87"/>
      <c r="F1330" s="85"/>
      <c r="G1330" s="22"/>
      <c r="H1330" s="88"/>
      <c r="J1330" s="22"/>
      <c r="M1330" s="89"/>
      <c r="N1330" s="60"/>
      <c r="O1330" s="90"/>
      <c r="P1330" s="91"/>
      <c r="Q1330" s="92"/>
      <c r="R1330" s="68" t="str">
        <f t="shared" si="23"/>
        <v/>
      </c>
      <c r="S1330" s="22"/>
    </row>
    <row r="1331" spans="1:19" ht="18" customHeight="1">
      <c r="A1331" s="85"/>
      <c r="B1331" s="86"/>
      <c r="C1331" s="22"/>
      <c r="D1331" s="85"/>
      <c r="E1331" s="87"/>
      <c r="F1331" s="85"/>
      <c r="G1331" s="22"/>
      <c r="H1331" s="88"/>
      <c r="J1331" s="22"/>
      <c r="M1331" s="89"/>
      <c r="N1331" s="60"/>
      <c r="O1331" s="90"/>
      <c r="P1331" s="91"/>
      <c r="Q1331" s="92"/>
      <c r="R1331" s="68" t="str">
        <f t="shared" si="23"/>
        <v/>
      </c>
      <c r="S1331" s="22"/>
    </row>
    <row r="1332" spans="1:19" ht="18" customHeight="1">
      <c r="A1332" s="85"/>
      <c r="B1332" s="86"/>
      <c r="C1332" s="22"/>
      <c r="D1332" s="85"/>
      <c r="E1332" s="87"/>
      <c r="F1332" s="85"/>
      <c r="G1332" s="22"/>
      <c r="H1332" s="88"/>
      <c r="J1332" s="22"/>
      <c r="M1332" s="89"/>
      <c r="N1332" s="60"/>
      <c r="O1332" s="90"/>
      <c r="P1332" s="91"/>
      <c r="Q1332" s="92"/>
      <c r="R1332" s="68" t="str">
        <f t="shared" ref="R1332:R1395" si="24">IF(SUM(Q1332)&gt;0,SUM(Q1332-P1332),"")</f>
        <v/>
      </c>
      <c r="S1332" s="22"/>
    </row>
    <row r="1333" spans="1:19" ht="18" customHeight="1">
      <c r="A1333" s="85"/>
      <c r="B1333" s="86"/>
      <c r="C1333" s="22"/>
      <c r="D1333" s="85"/>
      <c r="E1333" s="87"/>
      <c r="F1333" s="85"/>
      <c r="G1333" s="22"/>
      <c r="H1333" s="88"/>
      <c r="J1333" s="22"/>
      <c r="M1333" s="89"/>
      <c r="N1333" s="60"/>
      <c r="O1333" s="90"/>
      <c r="P1333" s="91"/>
      <c r="Q1333" s="92"/>
      <c r="R1333" s="68" t="str">
        <f t="shared" si="24"/>
        <v/>
      </c>
      <c r="S1333" s="22"/>
    </row>
    <row r="1334" spans="1:19" ht="18" customHeight="1">
      <c r="A1334" s="85"/>
      <c r="B1334" s="86"/>
      <c r="C1334" s="22"/>
      <c r="D1334" s="85"/>
      <c r="E1334" s="87"/>
      <c r="F1334" s="85"/>
      <c r="G1334" s="22"/>
      <c r="H1334" s="88"/>
      <c r="J1334" s="22"/>
      <c r="M1334" s="89"/>
      <c r="N1334" s="60"/>
      <c r="O1334" s="90"/>
      <c r="P1334" s="91"/>
      <c r="Q1334" s="92"/>
      <c r="R1334" s="68" t="str">
        <f t="shared" si="24"/>
        <v/>
      </c>
      <c r="S1334" s="22"/>
    </row>
    <row r="1335" spans="1:19" ht="18" customHeight="1">
      <c r="A1335" s="85"/>
      <c r="B1335" s="86"/>
      <c r="C1335" s="22"/>
      <c r="D1335" s="85"/>
      <c r="E1335" s="87"/>
      <c r="F1335" s="85"/>
      <c r="G1335" s="22"/>
      <c r="H1335" s="88"/>
      <c r="J1335" s="22"/>
      <c r="M1335" s="89"/>
      <c r="N1335" s="60"/>
      <c r="O1335" s="90"/>
      <c r="P1335" s="91"/>
      <c r="Q1335" s="92"/>
      <c r="R1335" s="68" t="str">
        <f t="shared" si="24"/>
        <v/>
      </c>
      <c r="S1335" s="22"/>
    </row>
    <row r="1336" spans="1:19" ht="18" customHeight="1">
      <c r="A1336" s="85"/>
      <c r="B1336" s="86"/>
      <c r="C1336" s="22"/>
      <c r="D1336" s="85"/>
      <c r="E1336" s="87"/>
      <c r="F1336" s="85"/>
      <c r="G1336" s="22"/>
      <c r="H1336" s="88"/>
      <c r="J1336" s="22"/>
      <c r="M1336" s="89"/>
      <c r="N1336" s="60"/>
      <c r="O1336" s="90"/>
      <c r="P1336" s="91"/>
      <c r="Q1336" s="92"/>
      <c r="R1336" s="68" t="str">
        <f t="shared" si="24"/>
        <v/>
      </c>
      <c r="S1336" s="22"/>
    </row>
    <row r="1337" spans="1:19" ht="18" customHeight="1">
      <c r="A1337" s="85"/>
      <c r="B1337" s="86"/>
      <c r="C1337" s="22"/>
      <c r="D1337" s="85"/>
      <c r="E1337" s="87"/>
      <c r="F1337" s="85"/>
      <c r="G1337" s="22"/>
      <c r="H1337" s="88"/>
      <c r="J1337" s="22"/>
      <c r="M1337" s="89"/>
      <c r="N1337" s="60"/>
      <c r="O1337" s="90"/>
      <c r="P1337" s="91"/>
      <c r="Q1337" s="92"/>
      <c r="R1337" s="68" t="str">
        <f t="shared" si="24"/>
        <v/>
      </c>
      <c r="S1337" s="22"/>
    </row>
    <row r="1338" spans="1:19" ht="18" customHeight="1">
      <c r="A1338" s="85"/>
      <c r="B1338" s="86"/>
      <c r="C1338" s="22"/>
      <c r="D1338" s="85"/>
      <c r="E1338" s="87"/>
      <c r="F1338" s="85"/>
      <c r="G1338" s="22"/>
      <c r="H1338" s="88"/>
      <c r="J1338" s="22"/>
      <c r="M1338" s="89"/>
      <c r="N1338" s="60"/>
      <c r="O1338" s="90"/>
      <c r="P1338" s="91"/>
      <c r="Q1338" s="92"/>
      <c r="R1338" s="68" t="str">
        <f t="shared" si="24"/>
        <v/>
      </c>
      <c r="S1338" s="22"/>
    </row>
    <row r="1339" spans="1:19" ht="18" customHeight="1">
      <c r="A1339" s="85"/>
      <c r="B1339" s="86"/>
      <c r="C1339" s="22"/>
      <c r="D1339" s="85"/>
      <c r="E1339" s="87"/>
      <c r="F1339" s="85"/>
      <c r="G1339" s="22"/>
      <c r="H1339" s="88"/>
      <c r="J1339" s="22"/>
      <c r="M1339" s="89"/>
      <c r="N1339" s="60"/>
      <c r="O1339" s="90"/>
      <c r="P1339" s="91"/>
      <c r="Q1339" s="92"/>
      <c r="R1339" s="68" t="str">
        <f t="shared" si="24"/>
        <v/>
      </c>
      <c r="S1339" s="22"/>
    </row>
    <row r="1340" spans="1:19" ht="18" customHeight="1">
      <c r="A1340" s="85"/>
      <c r="B1340" s="86"/>
      <c r="C1340" s="22"/>
      <c r="D1340" s="85"/>
      <c r="E1340" s="87"/>
      <c r="F1340" s="85"/>
      <c r="G1340" s="22"/>
      <c r="H1340" s="88"/>
      <c r="J1340" s="22"/>
      <c r="M1340" s="89"/>
      <c r="N1340" s="60"/>
      <c r="O1340" s="90"/>
      <c r="P1340" s="91"/>
      <c r="Q1340" s="92"/>
      <c r="R1340" s="68" t="str">
        <f t="shared" si="24"/>
        <v/>
      </c>
      <c r="S1340" s="22"/>
    </row>
    <row r="1341" spans="1:19" ht="18" customHeight="1">
      <c r="A1341" s="85"/>
      <c r="B1341" s="86"/>
      <c r="C1341" s="22"/>
      <c r="D1341" s="85"/>
      <c r="E1341" s="87"/>
      <c r="F1341" s="85"/>
      <c r="G1341" s="22"/>
      <c r="H1341" s="88"/>
      <c r="J1341" s="22"/>
      <c r="M1341" s="89"/>
      <c r="N1341" s="60"/>
      <c r="O1341" s="90"/>
      <c r="P1341" s="91"/>
      <c r="Q1341" s="92"/>
      <c r="R1341" s="68" t="str">
        <f t="shared" si="24"/>
        <v/>
      </c>
      <c r="S1341" s="22"/>
    </row>
    <row r="1342" spans="1:19" ht="18" customHeight="1">
      <c r="A1342" s="85"/>
      <c r="B1342" s="86"/>
      <c r="C1342" s="22"/>
      <c r="D1342" s="85"/>
      <c r="E1342" s="87"/>
      <c r="F1342" s="85"/>
      <c r="G1342" s="22"/>
      <c r="H1342" s="88"/>
      <c r="J1342" s="22"/>
      <c r="M1342" s="89"/>
      <c r="N1342" s="60"/>
      <c r="O1342" s="90"/>
      <c r="P1342" s="91"/>
      <c r="Q1342" s="92"/>
      <c r="R1342" s="68" t="str">
        <f t="shared" si="24"/>
        <v/>
      </c>
      <c r="S1342" s="22"/>
    </row>
    <row r="1343" spans="1:19" ht="18" customHeight="1">
      <c r="A1343" s="85"/>
      <c r="B1343" s="86"/>
      <c r="C1343" s="22"/>
      <c r="D1343" s="85"/>
      <c r="E1343" s="87"/>
      <c r="F1343" s="85"/>
      <c r="G1343" s="22"/>
      <c r="H1343" s="88"/>
      <c r="J1343" s="22"/>
      <c r="M1343" s="89"/>
      <c r="N1343" s="60"/>
      <c r="O1343" s="90"/>
      <c r="P1343" s="91"/>
      <c r="Q1343" s="92"/>
      <c r="R1343" s="68" t="str">
        <f t="shared" si="24"/>
        <v/>
      </c>
      <c r="S1343" s="22"/>
    </row>
    <row r="1344" spans="1:19" ht="18" customHeight="1">
      <c r="A1344" s="85"/>
      <c r="B1344" s="86"/>
      <c r="C1344" s="22"/>
      <c r="D1344" s="85"/>
      <c r="E1344" s="87"/>
      <c r="F1344" s="85"/>
      <c r="G1344" s="22"/>
      <c r="H1344" s="88"/>
      <c r="J1344" s="22"/>
      <c r="M1344" s="89"/>
      <c r="N1344" s="60"/>
      <c r="O1344" s="90"/>
      <c r="P1344" s="91"/>
      <c r="Q1344" s="92"/>
      <c r="R1344" s="68" t="str">
        <f t="shared" si="24"/>
        <v/>
      </c>
      <c r="S1344" s="22"/>
    </row>
    <row r="1345" spans="1:19" ht="18" customHeight="1">
      <c r="A1345" s="85"/>
      <c r="B1345" s="86"/>
      <c r="C1345" s="22"/>
      <c r="D1345" s="85"/>
      <c r="E1345" s="87"/>
      <c r="F1345" s="85"/>
      <c r="G1345" s="22"/>
      <c r="H1345" s="88"/>
      <c r="J1345" s="22"/>
      <c r="M1345" s="89"/>
      <c r="N1345" s="60"/>
      <c r="O1345" s="90"/>
      <c r="P1345" s="91"/>
      <c r="Q1345" s="92"/>
      <c r="R1345" s="68" t="str">
        <f t="shared" si="24"/>
        <v/>
      </c>
      <c r="S1345" s="22"/>
    </row>
    <row r="1346" spans="1:19" ht="18" customHeight="1">
      <c r="A1346" s="85"/>
      <c r="B1346" s="86"/>
      <c r="C1346" s="22"/>
      <c r="D1346" s="85"/>
      <c r="E1346" s="87"/>
      <c r="F1346" s="85"/>
      <c r="G1346" s="22"/>
      <c r="H1346" s="88"/>
      <c r="J1346" s="22"/>
      <c r="M1346" s="89"/>
      <c r="N1346" s="60"/>
      <c r="O1346" s="90"/>
      <c r="P1346" s="91"/>
      <c r="Q1346" s="92"/>
      <c r="R1346" s="68" t="str">
        <f t="shared" si="24"/>
        <v/>
      </c>
      <c r="S1346" s="22"/>
    </row>
    <row r="1347" spans="1:19" ht="18" customHeight="1">
      <c r="A1347" s="85"/>
      <c r="B1347" s="86"/>
      <c r="C1347" s="22"/>
      <c r="D1347" s="85"/>
      <c r="E1347" s="87"/>
      <c r="F1347" s="85"/>
      <c r="G1347" s="22"/>
      <c r="H1347" s="88"/>
      <c r="J1347" s="22"/>
      <c r="M1347" s="89"/>
      <c r="N1347" s="60"/>
      <c r="O1347" s="90"/>
      <c r="P1347" s="91"/>
      <c r="Q1347" s="92"/>
      <c r="R1347" s="68" t="str">
        <f t="shared" si="24"/>
        <v/>
      </c>
      <c r="S1347" s="22"/>
    </row>
    <row r="1348" spans="1:19" ht="18" customHeight="1">
      <c r="A1348" s="85"/>
      <c r="B1348" s="86"/>
      <c r="C1348" s="22"/>
      <c r="D1348" s="85"/>
      <c r="E1348" s="87"/>
      <c r="F1348" s="85"/>
      <c r="G1348" s="22"/>
      <c r="H1348" s="88"/>
      <c r="J1348" s="22"/>
      <c r="M1348" s="89"/>
      <c r="N1348" s="60"/>
      <c r="O1348" s="90"/>
      <c r="P1348" s="91"/>
      <c r="Q1348" s="92"/>
      <c r="R1348" s="68" t="str">
        <f t="shared" si="24"/>
        <v/>
      </c>
      <c r="S1348" s="22"/>
    </row>
    <row r="1349" spans="1:19" ht="18" customHeight="1">
      <c r="A1349" s="85"/>
      <c r="B1349" s="86"/>
      <c r="C1349" s="22"/>
      <c r="D1349" s="85"/>
      <c r="E1349" s="87"/>
      <c r="F1349" s="85"/>
      <c r="G1349" s="22"/>
      <c r="H1349" s="88"/>
      <c r="J1349" s="22"/>
      <c r="M1349" s="89"/>
      <c r="N1349" s="60"/>
      <c r="O1349" s="90"/>
      <c r="P1349" s="91"/>
      <c r="Q1349" s="92"/>
      <c r="R1349" s="68" t="str">
        <f t="shared" si="24"/>
        <v/>
      </c>
      <c r="S1349" s="22"/>
    </row>
    <row r="1350" spans="1:19" ht="18" customHeight="1">
      <c r="A1350" s="85"/>
      <c r="B1350" s="86"/>
      <c r="C1350" s="22"/>
      <c r="D1350" s="85"/>
      <c r="E1350" s="87"/>
      <c r="F1350" s="85"/>
      <c r="G1350" s="22"/>
      <c r="H1350" s="88"/>
      <c r="J1350" s="22"/>
      <c r="M1350" s="89"/>
      <c r="N1350" s="60"/>
      <c r="O1350" s="90"/>
      <c r="P1350" s="91"/>
      <c r="Q1350" s="92"/>
      <c r="R1350" s="68" t="str">
        <f t="shared" si="24"/>
        <v/>
      </c>
      <c r="S1350" s="22"/>
    </row>
    <row r="1351" spans="1:19" ht="18" customHeight="1">
      <c r="A1351" s="85"/>
      <c r="B1351" s="86"/>
      <c r="C1351" s="22"/>
      <c r="D1351" s="85"/>
      <c r="E1351" s="87"/>
      <c r="F1351" s="85"/>
      <c r="G1351" s="22"/>
      <c r="H1351" s="88"/>
      <c r="J1351" s="22"/>
      <c r="M1351" s="89"/>
      <c r="N1351" s="60"/>
      <c r="O1351" s="90"/>
      <c r="P1351" s="91"/>
      <c r="Q1351" s="92"/>
      <c r="R1351" s="68" t="str">
        <f t="shared" si="24"/>
        <v/>
      </c>
      <c r="S1351" s="22"/>
    </row>
    <row r="1352" spans="1:19" ht="18" customHeight="1">
      <c r="A1352" s="85"/>
      <c r="B1352" s="86"/>
      <c r="C1352" s="22"/>
      <c r="D1352" s="85"/>
      <c r="E1352" s="87"/>
      <c r="F1352" s="85"/>
      <c r="G1352" s="22"/>
      <c r="H1352" s="88"/>
      <c r="J1352" s="22"/>
      <c r="M1352" s="89"/>
      <c r="N1352" s="60"/>
      <c r="O1352" s="90"/>
      <c r="P1352" s="91"/>
      <c r="Q1352" s="92"/>
      <c r="R1352" s="68" t="str">
        <f t="shared" si="24"/>
        <v/>
      </c>
      <c r="S1352" s="22"/>
    </row>
    <row r="1353" spans="1:19" ht="18" customHeight="1">
      <c r="A1353" s="85"/>
      <c r="B1353" s="86"/>
      <c r="C1353" s="22"/>
      <c r="D1353" s="85"/>
      <c r="E1353" s="87"/>
      <c r="F1353" s="85"/>
      <c r="G1353" s="22"/>
      <c r="H1353" s="88"/>
      <c r="J1353" s="22"/>
      <c r="M1353" s="89"/>
      <c r="N1353" s="60"/>
      <c r="O1353" s="90"/>
      <c r="P1353" s="91"/>
      <c r="Q1353" s="92"/>
      <c r="R1353" s="68" t="str">
        <f t="shared" si="24"/>
        <v/>
      </c>
      <c r="S1353" s="22"/>
    </row>
    <row r="1354" spans="1:19" ht="18" customHeight="1">
      <c r="A1354" s="85"/>
      <c r="B1354" s="86"/>
      <c r="C1354" s="22"/>
      <c r="D1354" s="85"/>
      <c r="E1354" s="87"/>
      <c r="F1354" s="85"/>
      <c r="G1354" s="22"/>
      <c r="H1354" s="88"/>
      <c r="J1354" s="22"/>
      <c r="M1354" s="89"/>
      <c r="N1354" s="60"/>
      <c r="O1354" s="90"/>
      <c r="P1354" s="91"/>
      <c r="Q1354" s="92"/>
      <c r="R1354" s="68" t="str">
        <f t="shared" si="24"/>
        <v/>
      </c>
      <c r="S1354" s="22"/>
    </row>
    <row r="1355" spans="1:19" ht="18" customHeight="1">
      <c r="A1355" s="85"/>
      <c r="B1355" s="86"/>
      <c r="C1355" s="22"/>
      <c r="D1355" s="85"/>
      <c r="E1355" s="87"/>
      <c r="F1355" s="85"/>
      <c r="G1355" s="22"/>
      <c r="H1355" s="88"/>
      <c r="J1355" s="22"/>
      <c r="M1355" s="89"/>
      <c r="N1355" s="60"/>
      <c r="O1355" s="90"/>
      <c r="P1355" s="91"/>
      <c r="Q1355" s="92"/>
      <c r="R1355" s="68" t="str">
        <f t="shared" si="24"/>
        <v/>
      </c>
      <c r="S1355" s="22"/>
    </row>
    <row r="1356" spans="1:19" ht="18" customHeight="1">
      <c r="A1356" s="85"/>
      <c r="B1356" s="86"/>
      <c r="C1356" s="22"/>
      <c r="D1356" s="85"/>
      <c r="E1356" s="87"/>
      <c r="F1356" s="85"/>
      <c r="G1356" s="22"/>
      <c r="H1356" s="88"/>
      <c r="J1356" s="22"/>
      <c r="M1356" s="89"/>
      <c r="N1356" s="60"/>
      <c r="O1356" s="90"/>
      <c r="P1356" s="91"/>
      <c r="Q1356" s="92"/>
      <c r="R1356" s="68" t="str">
        <f t="shared" si="24"/>
        <v/>
      </c>
      <c r="S1356" s="22"/>
    </row>
    <row r="1357" spans="1:19" ht="18" customHeight="1">
      <c r="A1357" s="85"/>
      <c r="B1357" s="86"/>
      <c r="C1357" s="22"/>
      <c r="D1357" s="85"/>
      <c r="E1357" s="87"/>
      <c r="F1357" s="85"/>
      <c r="G1357" s="22"/>
      <c r="H1357" s="88"/>
      <c r="J1357" s="22"/>
      <c r="M1357" s="89"/>
      <c r="N1357" s="60"/>
      <c r="O1357" s="90"/>
      <c r="P1357" s="91"/>
      <c r="Q1357" s="92"/>
      <c r="R1357" s="68" t="str">
        <f t="shared" si="24"/>
        <v/>
      </c>
      <c r="S1357" s="22"/>
    </row>
    <row r="1358" spans="1:19" ht="18" customHeight="1">
      <c r="A1358" s="85"/>
      <c r="B1358" s="86"/>
      <c r="C1358" s="22"/>
      <c r="D1358" s="85"/>
      <c r="E1358" s="87"/>
      <c r="F1358" s="85"/>
      <c r="G1358" s="22"/>
      <c r="H1358" s="88"/>
      <c r="J1358" s="22"/>
      <c r="M1358" s="89"/>
      <c r="N1358" s="60"/>
      <c r="O1358" s="90"/>
      <c r="P1358" s="91"/>
      <c r="Q1358" s="92"/>
      <c r="R1358" s="68" t="str">
        <f t="shared" si="24"/>
        <v/>
      </c>
      <c r="S1358" s="22"/>
    </row>
    <row r="1359" spans="1:19" ht="18" customHeight="1">
      <c r="A1359" s="85"/>
      <c r="B1359" s="86"/>
      <c r="C1359" s="22"/>
      <c r="D1359" s="85"/>
      <c r="E1359" s="87"/>
      <c r="F1359" s="85"/>
      <c r="G1359" s="22"/>
      <c r="H1359" s="88"/>
      <c r="J1359" s="22"/>
      <c r="M1359" s="89"/>
      <c r="N1359" s="60"/>
      <c r="O1359" s="90"/>
      <c r="P1359" s="91"/>
      <c r="Q1359" s="92"/>
      <c r="R1359" s="68" t="str">
        <f t="shared" si="24"/>
        <v/>
      </c>
      <c r="S1359" s="22"/>
    </row>
    <row r="1360" spans="1:19" ht="18" customHeight="1">
      <c r="A1360" s="85"/>
      <c r="B1360" s="86"/>
      <c r="C1360" s="22"/>
      <c r="D1360" s="85"/>
      <c r="E1360" s="87"/>
      <c r="F1360" s="85"/>
      <c r="G1360" s="22"/>
      <c r="H1360" s="88"/>
      <c r="J1360" s="22"/>
      <c r="M1360" s="89"/>
      <c r="N1360" s="60"/>
      <c r="O1360" s="90"/>
      <c r="P1360" s="91"/>
      <c r="Q1360" s="92"/>
      <c r="R1360" s="68" t="str">
        <f t="shared" si="24"/>
        <v/>
      </c>
      <c r="S1360" s="22"/>
    </row>
    <row r="1361" spans="1:19" ht="18" customHeight="1">
      <c r="A1361" s="85"/>
      <c r="B1361" s="86"/>
      <c r="C1361" s="22"/>
      <c r="D1361" s="85"/>
      <c r="E1361" s="87"/>
      <c r="F1361" s="85"/>
      <c r="G1361" s="22"/>
      <c r="H1361" s="88"/>
      <c r="J1361" s="22"/>
      <c r="M1361" s="89"/>
      <c r="N1361" s="60"/>
      <c r="O1361" s="90"/>
      <c r="P1361" s="91"/>
      <c r="Q1361" s="92"/>
      <c r="R1361" s="68" t="str">
        <f t="shared" si="24"/>
        <v/>
      </c>
      <c r="S1361" s="22"/>
    </row>
    <row r="1362" spans="1:19" ht="18" customHeight="1">
      <c r="A1362" s="85"/>
      <c r="B1362" s="86"/>
      <c r="C1362" s="22"/>
      <c r="D1362" s="85"/>
      <c r="E1362" s="87"/>
      <c r="F1362" s="85"/>
      <c r="G1362" s="22"/>
      <c r="H1362" s="88"/>
      <c r="J1362" s="22"/>
      <c r="M1362" s="89"/>
      <c r="N1362" s="60"/>
      <c r="O1362" s="90"/>
      <c r="P1362" s="91"/>
      <c r="Q1362" s="92"/>
      <c r="R1362" s="68" t="str">
        <f t="shared" si="24"/>
        <v/>
      </c>
      <c r="S1362" s="22"/>
    </row>
    <row r="1363" spans="1:19" ht="18" customHeight="1">
      <c r="A1363" s="85"/>
      <c r="B1363" s="86"/>
      <c r="C1363" s="22"/>
      <c r="D1363" s="85"/>
      <c r="E1363" s="87"/>
      <c r="F1363" s="85"/>
      <c r="G1363" s="22"/>
      <c r="H1363" s="88"/>
      <c r="J1363" s="22"/>
      <c r="M1363" s="89"/>
      <c r="N1363" s="60"/>
      <c r="O1363" s="90"/>
      <c r="P1363" s="91"/>
      <c r="Q1363" s="92"/>
      <c r="R1363" s="68" t="str">
        <f t="shared" si="24"/>
        <v/>
      </c>
      <c r="S1363" s="22"/>
    </row>
    <row r="1364" spans="1:19" ht="18" customHeight="1">
      <c r="A1364" s="85"/>
      <c r="B1364" s="86"/>
      <c r="C1364" s="22"/>
      <c r="D1364" s="85"/>
      <c r="E1364" s="87"/>
      <c r="F1364" s="85"/>
      <c r="G1364" s="22"/>
      <c r="H1364" s="88"/>
      <c r="J1364" s="22"/>
      <c r="M1364" s="89"/>
      <c r="N1364" s="60"/>
      <c r="O1364" s="90"/>
      <c r="P1364" s="91"/>
      <c r="Q1364" s="92"/>
      <c r="R1364" s="68" t="str">
        <f t="shared" si="24"/>
        <v/>
      </c>
      <c r="S1364" s="22"/>
    </row>
    <row r="1365" spans="1:19" ht="18" customHeight="1">
      <c r="A1365" s="85"/>
      <c r="B1365" s="86"/>
      <c r="C1365" s="22"/>
      <c r="D1365" s="85"/>
      <c r="E1365" s="87"/>
      <c r="F1365" s="85"/>
      <c r="G1365" s="22"/>
      <c r="H1365" s="88"/>
      <c r="J1365" s="22"/>
      <c r="M1365" s="89"/>
      <c r="N1365" s="60"/>
      <c r="O1365" s="90"/>
      <c r="P1365" s="91"/>
      <c r="Q1365" s="92"/>
      <c r="R1365" s="68" t="str">
        <f t="shared" si="24"/>
        <v/>
      </c>
      <c r="S1365" s="22"/>
    </row>
    <row r="1366" spans="1:19" ht="18" customHeight="1">
      <c r="A1366" s="85"/>
      <c r="B1366" s="86"/>
      <c r="C1366" s="22"/>
      <c r="D1366" s="85"/>
      <c r="E1366" s="87"/>
      <c r="F1366" s="85"/>
      <c r="G1366" s="22"/>
      <c r="H1366" s="88"/>
      <c r="J1366" s="22"/>
      <c r="M1366" s="89"/>
      <c r="N1366" s="60"/>
      <c r="O1366" s="90"/>
      <c r="P1366" s="91"/>
      <c r="Q1366" s="92"/>
      <c r="R1366" s="68" t="str">
        <f t="shared" si="24"/>
        <v/>
      </c>
      <c r="S1366" s="22"/>
    </row>
    <row r="1367" spans="1:19" ht="18" customHeight="1">
      <c r="A1367" s="85"/>
      <c r="B1367" s="86"/>
      <c r="C1367" s="22"/>
      <c r="D1367" s="85"/>
      <c r="E1367" s="87"/>
      <c r="F1367" s="85"/>
      <c r="G1367" s="22"/>
      <c r="H1367" s="88"/>
      <c r="J1367" s="22"/>
      <c r="M1367" s="89"/>
      <c r="N1367" s="60"/>
      <c r="O1367" s="90"/>
      <c r="P1367" s="91"/>
      <c r="Q1367" s="92"/>
      <c r="R1367" s="68" t="str">
        <f t="shared" si="24"/>
        <v/>
      </c>
      <c r="S1367" s="22"/>
    </row>
    <row r="1368" spans="1:19" ht="18" customHeight="1">
      <c r="A1368" s="85"/>
      <c r="B1368" s="86"/>
      <c r="C1368" s="22"/>
      <c r="D1368" s="85"/>
      <c r="E1368" s="87"/>
      <c r="F1368" s="85"/>
      <c r="G1368" s="22"/>
      <c r="H1368" s="88"/>
      <c r="J1368" s="22"/>
      <c r="M1368" s="89"/>
      <c r="N1368" s="60"/>
      <c r="O1368" s="90"/>
      <c r="P1368" s="91"/>
      <c r="Q1368" s="92"/>
      <c r="R1368" s="68" t="str">
        <f t="shared" si="24"/>
        <v/>
      </c>
      <c r="S1368" s="22"/>
    </row>
    <row r="1369" spans="1:19" ht="18" customHeight="1">
      <c r="A1369" s="85"/>
      <c r="B1369" s="86"/>
      <c r="C1369" s="22"/>
      <c r="D1369" s="85"/>
      <c r="E1369" s="87"/>
      <c r="F1369" s="85"/>
      <c r="G1369" s="22"/>
      <c r="H1369" s="88"/>
      <c r="J1369" s="22"/>
      <c r="M1369" s="89"/>
      <c r="N1369" s="60"/>
      <c r="O1369" s="90"/>
      <c r="P1369" s="91"/>
      <c r="Q1369" s="92"/>
      <c r="R1369" s="68" t="str">
        <f t="shared" si="24"/>
        <v/>
      </c>
      <c r="S1369" s="22"/>
    </row>
    <row r="1370" spans="1:19" ht="18" customHeight="1">
      <c r="A1370" s="85"/>
      <c r="B1370" s="86"/>
      <c r="C1370" s="22"/>
      <c r="D1370" s="85"/>
      <c r="E1370" s="87"/>
      <c r="F1370" s="85"/>
      <c r="G1370" s="22"/>
      <c r="H1370" s="88"/>
      <c r="J1370" s="22"/>
      <c r="M1370" s="89"/>
      <c r="N1370" s="60"/>
      <c r="O1370" s="90"/>
      <c r="P1370" s="91"/>
      <c r="Q1370" s="92"/>
      <c r="R1370" s="68" t="str">
        <f t="shared" si="24"/>
        <v/>
      </c>
      <c r="S1370" s="22"/>
    </row>
    <row r="1371" spans="1:19" ht="18" customHeight="1">
      <c r="A1371" s="85"/>
      <c r="B1371" s="86"/>
      <c r="C1371" s="22"/>
      <c r="D1371" s="85"/>
      <c r="E1371" s="87"/>
      <c r="F1371" s="85"/>
      <c r="G1371" s="22"/>
      <c r="H1371" s="88"/>
      <c r="J1371" s="22"/>
      <c r="M1371" s="89"/>
      <c r="N1371" s="60"/>
      <c r="O1371" s="90"/>
      <c r="P1371" s="91"/>
      <c r="Q1371" s="92"/>
      <c r="R1371" s="68" t="str">
        <f t="shared" si="24"/>
        <v/>
      </c>
      <c r="S1371" s="22"/>
    </row>
    <row r="1372" spans="1:19" ht="18" customHeight="1">
      <c r="A1372" s="85"/>
      <c r="B1372" s="86"/>
      <c r="C1372" s="22"/>
      <c r="D1372" s="85"/>
      <c r="E1372" s="87"/>
      <c r="F1372" s="85"/>
      <c r="G1372" s="22"/>
      <c r="H1372" s="88"/>
      <c r="J1372" s="22"/>
      <c r="M1372" s="89"/>
      <c r="N1372" s="60"/>
      <c r="O1372" s="90"/>
      <c r="P1372" s="91"/>
      <c r="Q1372" s="92"/>
      <c r="R1372" s="68" t="str">
        <f t="shared" si="24"/>
        <v/>
      </c>
      <c r="S1372" s="22"/>
    </row>
    <row r="1373" spans="1:19" ht="18" customHeight="1">
      <c r="A1373" s="85"/>
      <c r="B1373" s="86"/>
      <c r="C1373" s="22"/>
      <c r="D1373" s="85"/>
      <c r="E1373" s="87"/>
      <c r="F1373" s="85"/>
      <c r="G1373" s="22"/>
      <c r="H1373" s="88"/>
      <c r="J1373" s="22"/>
      <c r="M1373" s="89"/>
      <c r="N1373" s="60"/>
      <c r="O1373" s="90"/>
      <c r="P1373" s="91"/>
      <c r="Q1373" s="92"/>
      <c r="R1373" s="68" t="str">
        <f t="shared" si="24"/>
        <v/>
      </c>
      <c r="S1373" s="22"/>
    </row>
    <row r="1374" spans="1:19" ht="18" customHeight="1">
      <c r="A1374" s="85"/>
      <c r="B1374" s="86"/>
      <c r="C1374" s="22"/>
      <c r="D1374" s="85"/>
      <c r="E1374" s="87"/>
      <c r="F1374" s="85"/>
      <c r="G1374" s="22"/>
      <c r="H1374" s="88"/>
      <c r="J1374" s="22"/>
      <c r="M1374" s="89"/>
      <c r="N1374" s="60"/>
      <c r="O1374" s="90"/>
      <c r="P1374" s="91"/>
      <c r="Q1374" s="92"/>
      <c r="R1374" s="68" t="str">
        <f t="shared" si="24"/>
        <v/>
      </c>
      <c r="S1374" s="22"/>
    </row>
    <row r="1375" spans="1:19" ht="18" customHeight="1">
      <c r="A1375" s="85"/>
      <c r="B1375" s="86"/>
      <c r="C1375" s="22"/>
      <c r="D1375" s="85"/>
      <c r="E1375" s="87"/>
      <c r="F1375" s="85"/>
      <c r="G1375" s="22"/>
      <c r="H1375" s="88"/>
      <c r="J1375" s="22"/>
      <c r="M1375" s="89"/>
      <c r="N1375" s="60"/>
      <c r="O1375" s="90"/>
      <c r="P1375" s="91"/>
      <c r="Q1375" s="92"/>
      <c r="R1375" s="68" t="str">
        <f t="shared" si="24"/>
        <v/>
      </c>
      <c r="S1375" s="22"/>
    </row>
    <row r="1376" spans="1:19" ht="18" customHeight="1">
      <c r="A1376" s="85"/>
      <c r="B1376" s="86"/>
      <c r="C1376" s="22"/>
      <c r="D1376" s="85"/>
      <c r="E1376" s="87"/>
      <c r="F1376" s="85"/>
      <c r="G1376" s="22"/>
      <c r="H1376" s="88"/>
      <c r="J1376" s="22"/>
      <c r="M1376" s="89"/>
      <c r="N1376" s="60"/>
      <c r="O1376" s="90"/>
      <c r="P1376" s="91"/>
      <c r="Q1376" s="92"/>
      <c r="R1376" s="68" t="str">
        <f t="shared" si="24"/>
        <v/>
      </c>
      <c r="S1376" s="22"/>
    </row>
    <row r="1377" spans="1:19" ht="18" customHeight="1">
      <c r="A1377" s="85"/>
      <c r="B1377" s="86"/>
      <c r="C1377" s="22"/>
      <c r="D1377" s="85"/>
      <c r="E1377" s="87"/>
      <c r="F1377" s="85"/>
      <c r="G1377" s="22"/>
      <c r="H1377" s="88"/>
      <c r="J1377" s="22"/>
      <c r="M1377" s="89"/>
      <c r="N1377" s="60"/>
      <c r="O1377" s="90"/>
      <c r="P1377" s="91"/>
      <c r="Q1377" s="92"/>
      <c r="R1377" s="68" t="str">
        <f t="shared" si="24"/>
        <v/>
      </c>
      <c r="S1377" s="22"/>
    </row>
    <row r="1378" spans="1:19" ht="18" customHeight="1">
      <c r="A1378" s="85"/>
      <c r="B1378" s="86"/>
      <c r="C1378" s="22"/>
      <c r="D1378" s="85"/>
      <c r="E1378" s="87"/>
      <c r="F1378" s="85"/>
      <c r="G1378" s="22"/>
      <c r="H1378" s="88"/>
      <c r="J1378" s="22"/>
      <c r="M1378" s="89"/>
      <c r="N1378" s="60"/>
      <c r="O1378" s="90"/>
      <c r="P1378" s="91"/>
      <c r="Q1378" s="92"/>
      <c r="R1378" s="68" t="str">
        <f t="shared" si="24"/>
        <v/>
      </c>
      <c r="S1378" s="22"/>
    </row>
    <row r="1379" spans="1:19" ht="18" customHeight="1">
      <c r="A1379" s="85"/>
      <c r="B1379" s="86"/>
      <c r="C1379" s="22"/>
      <c r="D1379" s="85"/>
      <c r="E1379" s="87"/>
      <c r="F1379" s="85"/>
      <c r="G1379" s="22"/>
      <c r="H1379" s="88"/>
      <c r="J1379" s="22"/>
      <c r="M1379" s="89"/>
      <c r="N1379" s="60"/>
      <c r="O1379" s="90"/>
      <c r="P1379" s="91"/>
      <c r="Q1379" s="92"/>
      <c r="R1379" s="68" t="str">
        <f t="shared" si="24"/>
        <v/>
      </c>
      <c r="S1379" s="22"/>
    </row>
    <row r="1380" spans="1:19" ht="18" customHeight="1">
      <c r="A1380" s="85"/>
      <c r="B1380" s="86"/>
      <c r="C1380" s="22"/>
      <c r="D1380" s="85"/>
      <c r="E1380" s="87"/>
      <c r="F1380" s="85"/>
      <c r="G1380" s="22"/>
      <c r="H1380" s="88"/>
      <c r="J1380" s="22"/>
      <c r="M1380" s="89"/>
      <c r="N1380" s="60"/>
      <c r="O1380" s="90"/>
      <c r="P1380" s="91"/>
      <c r="Q1380" s="92"/>
      <c r="R1380" s="68" t="str">
        <f t="shared" si="24"/>
        <v/>
      </c>
      <c r="S1380" s="22"/>
    </row>
    <row r="1381" spans="1:19" ht="18" customHeight="1">
      <c r="A1381" s="85"/>
      <c r="B1381" s="86"/>
      <c r="C1381" s="22"/>
      <c r="D1381" s="85"/>
      <c r="E1381" s="87"/>
      <c r="F1381" s="85"/>
      <c r="G1381" s="22"/>
      <c r="H1381" s="88"/>
      <c r="J1381" s="22"/>
      <c r="M1381" s="89"/>
      <c r="N1381" s="60"/>
      <c r="O1381" s="90"/>
      <c r="P1381" s="91"/>
      <c r="Q1381" s="92"/>
      <c r="R1381" s="68" t="str">
        <f t="shared" si="24"/>
        <v/>
      </c>
      <c r="S1381" s="22"/>
    </row>
    <row r="1382" spans="1:19" ht="18" customHeight="1">
      <c r="A1382" s="85"/>
      <c r="B1382" s="86"/>
      <c r="C1382" s="22"/>
      <c r="D1382" s="85"/>
      <c r="E1382" s="87"/>
      <c r="F1382" s="85"/>
      <c r="G1382" s="22"/>
      <c r="H1382" s="88"/>
      <c r="J1382" s="22"/>
      <c r="M1382" s="89"/>
      <c r="N1382" s="60"/>
      <c r="O1382" s="90"/>
      <c r="P1382" s="91"/>
      <c r="Q1382" s="92"/>
      <c r="R1382" s="68" t="str">
        <f t="shared" si="24"/>
        <v/>
      </c>
      <c r="S1382" s="22"/>
    </row>
    <row r="1383" spans="1:19" ht="18" customHeight="1">
      <c r="A1383" s="85"/>
      <c r="B1383" s="86"/>
      <c r="C1383" s="22"/>
      <c r="D1383" s="85"/>
      <c r="E1383" s="87"/>
      <c r="F1383" s="85"/>
      <c r="G1383" s="22"/>
      <c r="H1383" s="88"/>
      <c r="J1383" s="22"/>
      <c r="M1383" s="89"/>
      <c r="N1383" s="60"/>
      <c r="O1383" s="90"/>
      <c r="P1383" s="91"/>
      <c r="Q1383" s="92"/>
      <c r="R1383" s="68" t="str">
        <f t="shared" si="24"/>
        <v/>
      </c>
      <c r="S1383" s="22"/>
    </row>
    <row r="1384" spans="1:19" ht="18" customHeight="1">
      <c r="A1384" s="85"/>
      <c r="B1384" s="86"/>
      <c r="C1384" s="22"/>
      <c r="D1384" s="85"/>
      <c r="E1384" s="87"/>
      <c r="F1384" s="85"/>
      <c r="G1384" s="22"/>
      <c r="H1384" s="88"/>
      <c r="J1384" s="22"/>
      <c r="M1384" s="89"/>
      <c r="N1384" s="60"/>
      <c r="O1384" s="90"/>
      <c r="P1384" s="91"/>
      <c r="Q1384" s="92"/>
      <c r="R1384" s="68" t="str">
        <f t="shared" si="24"/>
        <v/>
      </c>
      <c r="S1384" s="22"/>
    </row>
    <row r="1385" spans="1:19" ht="18" customHeight="1">
      <c r="A1385" s="85"/>
      <c r="B1385" s="86"/>
      <c r="C1385" s="22"/>
      <c r="D1385" s="85"/>
      <c r="E1385" s="87"/>
      <c r="F1385" s="85"/>
      <c r="G1385" s="22"/>
      <c r="H1385" s="88"/>
      <c r="J1385" s="22"/>
      <c r="M1385" s="89"/>
      <c r="N1385" s="60"/>
      <c r="O1385" s="90"/>
      <c r="P1385" s="91"/>
      <c r="Q1385" s="92"/>
      <c r="R1385" s="68" t="str">
        <f t="shared" si="24"/>
        <v/>
      </c>
      <c r="S1385" s="22"/>
    </row>
    <row r="1386" spans="1:19" ht="18" customHeight="1">
      <c r="A1386" s="85"/>
      <c r="B1386" s="86"/>
      <c r="C1386" s="22"/>
      <c r="D1386" s="85"/>
      <c r="E1386" s="87"/>
      <c r="F1386" s="85"/>
      <c r="G1386" s="22"/>
      <c r="H1386" s="88"/>
      <c r="J1386" s="22"/>
      <c r="M1386" s="89"/>
      <c r="N1386" s="60"/>
      <c r="O1386" s="90"/>
      <c r="P1386" s="91"/>
      <c r="Q1386" s="92"/>
      <c r="R1386" s="68" t="str">
        <f t="shared" si="24"/>
        <v/>
      </c>
      <c r="S1386" s="22"/>
    </row>
    <row r="1387" spans="1:19" ht="18" customHeight="1">
      <c r="A1387" s="85"/>
      <c r="B1387" s="86"/>
      <c r="C1387" s="22"/>
      <c r="D1387" s="85"/>
      <c r="E1387" s="87"/>
      <c r="F1387" s="85"/>
      <c r="G1387" s="22"/>
      <c r="H1387" s="88"/>
      <c r="J1387" s="22"/>
      <c r="M1387" s="89"/>
      <c r="N1387" s="60"/>
      <c r="O1387" s="90"/>
      <c r="P1387" s="91"/>
      <c r="Q1387" s="92"/>
      <c r="R1387" s="68" t="str">
        <f t="shared" si="24"/>
        <v/>
      </c>
      <c r="S1387" s="22"/>
    </row>
    <row r="1388" spans="1:19" ht="18" customHeight="1">
      <c r="A1388" s="85"/>
      <c r="B1388" s="86"/>
      <c r="C1388" s="22"/>
      <c r="D1388" s="85"/>
      <c r="E1388" s="87"/>
      <c r="F1388" s="85"/>
      <c r="G1388" s="22"/>
      <c r="H1388" s="88"/>
      <c r="J1388" s="22"/>
      <c r="M1388" s="89"/>
      <c r="N1388" s="60"/>
      <c r="O1388" s="90"/>
      <c r="P1388" s="91"/>
      <c r="Q1388" s="92"/>
      <c r="R1388" s="68" t="str">
        <f t="shared" si="24"/>
        <v/>
      </c>
      <c r="S1388" s="22"/>
    </row>
    <row r="1389" spans="1:19" ht="18" customHeight="1">
      <c r="A1389" s="85"/>
      <c r="B1389" s="86"/>
      <c r="C1389" s="22"/>
      <c r="D1389" s="85"/>
      <c r="E1389" s="87"/>
      <c r="F1389" s="85"/>
      <c r="G1389" s="22"/>
      <c r="H1389" s="88"/>
      <c r="J1389" s="22"/>
      <c r="M1389" s="89"/>
      <c r="N1389" s="60"/>
      <c r="O1389" s="90"/>
      <c r="P1389" s="91"/>
      <c r="Q1389" s="92"/>
      <c r="R1389" s="68" t="str">
        <f t="shared" si="24"/>
        <v/>
      </c>
      <c r="S1389" s="22"/>
    </row>
    <row r="1390" spans="1:19" ht="18" customHeight="1">
      <c r="A1390" s="85"/>
      <c r="B1390" s="86"/>
      <c r="C1390" s="22"/>
      <c r="D1390" s="85"/>
      <c r="E1390" s="87"/>
      <c r="F1390" s="85"/>
      <c r="G1390" s="22"/>
      <c r="H1390" s="88"/>
      <c r="J1390" s="22"/>
      <c r="M1390" s="89"/>
      <c r="N1390" s="60"/>
      <c r="O1390" s="90"/>
      <c r="P1390" s="91"/>
      <c r="Q1390" s="92"/>
      <c r="R1390" s="68" t="str">
        <f t="shared" si="24"/>
        <v/>
      </c>
      <c r="S1390" s="22"/>
    </row>
    <row r="1391" spans="1:19" ht="18" customHeight="1">
      <c r="A1391" s="85"/>
      <c r="B1391" s="86"/>
      <c r="C1391" s="22"/>
      <c r="D1391" s="85"/>
      <c r="E1391" s="87"/>
      <c r="F1391" s="85"/>
      <c r="G1391" s="22"/>
      <c r="H1391" s="88"/>
      <c r="J1391" s="22"/>
      <c r="M1391" s="89"/>
      <c r="N1391" s="60"/>
      <c r="O1391" s="90"/>
      <c r="P1391" s="91"/>
      <c r="Q1391" s="92"/>
      <c r="R1391" s="68" t="str">
        <f t="shared" si="24"/>
        <v/>
      </c>
      <c r="S1391" s="22"/>
    </row>
    <row r="1392" spans="1:19" ht="18" customHeight="1">
      <c r="A1392" s="85"/>
      <c r="B1392" s="86"/>
      <c r="C1392" s="22"/>
      <c r="D1392" s="85"/>
      <c r="E1392" s="87"/>
      <c r="F1392" s="85"/>
      <c r="G1392" s="22"/>
      <c r="H1392" s="88"/>
      <c r="J1392" s="22"/>
      <c r="M1392" s="89"/>
      <c r="N1392" s="60"/>
      <c r="O1392" s="90"/>
      <c r="P1392" s="91"/>
      <c r="Q1392" s="92"/>
      <c r="R1392" s="68" t="str">
        <f t="shared" si="24"/>
        <v/>
      </c>
      <c r="S1392" s="22"/>
    </row>
    <row r="1393" spans="1:19" ht="18" customHeight="1">
      <c r="A1393" s="85"/>
      <c r="B1393" s="86"/>
      <c r="C1393" s="22"/>
      <c r="D1393" s="85"/>
      <c r="E1393" s="87"/>
      <c r="F1393" s="85"/>
      <c r="G1393" s="22"/>
      <c r="H1393" s="88"/>
      <c r="J1393" s="22"/>
      <c r="M1393" s="89"/>
      <c r="N1393" s="60"/>
      <c r="O1393" s="90"/>
      <c r="P1393" s="91"/>
      <c r="Q1393" s="92"/>
      <c r="R1393" s="68" t="str">
        <f t="shared" si="24"/>
        <v/>
      </c>
      <c r="S1393" s="22"/>
    </row>
    <row r="1394" spans="1:19" ht="18" customHeight="1">
      <c r="A1394" s="85"/>
      <c r="B1394" s="86"/>
      <c r="C1394" s="22"/>
      <c r="D1394" s="85"/>
      <c r="E1394" s="87"/>
      <c r="F1394" s="85"/>
      <c r="G1394" s="22"/>
      <c r="H1394" s="88"/>
      <c r="J1394" s="22"/>
      <c r="M1394" s="89"/>
      <c r="N1394" s="60"/>
      <c r="O1394" s="90"/>
      <c r="P1394" s="91"/>
      <c r="Q1394" s="92"/>
      <c r="R1394" s="68" t="str">
        <f t="shared" si="24"/>
        <v/>
      </c>
      <c r="S1394" s="22"/>
    </row>
    <row r="1395" spans="1:19" ht="18" customHeight="1">
      <c r="A1395" s="85"/>
      <c r="B1395" s="86"/>
      <c r="C1395" s="22"/>
      <c r="D1395" s="85"/>
      <c r="E1395" s="87"/>
      <c r="F1395" s="85"/>
      <c r="G1395" s="22"/>
      <c r="H1395" s="88"/>
      <c r="J1395" s="22"/>
      <c r="M1395" s="89"/>
      <c r="N1395" s="60"/>
      <c r="O1395" s="90"/>
      <c r="P1395" s="91"/>
      <c r="Q1395" s="92"/>
      <c r="R1395" s="68" t="str">
        <f t="shared" si="24"/>
        <v/>
      </c>
      <c r="S1395" s="22"/>
    </row>
    <row r="1396" spans="1:19" ht="18" customHeight="1">
      <c r="A1396" s="85"/>
      <c r="B1396" s="86"/>
      <c r="C1396" s="22"/>
      <c r="D1396" s="85"/>
      <c r="E1396" s="87"/>
      <c r="F1396" s="85"/>
      <c r="G1396" s="22"/>
      <c r="H1396" s="88"/>
      <c r="J1396" s="22"/>
      <c r="M1396" s="89"/>
      <c r="N1396" s="60"/>
      <c r="O1396" s="90"/>
      <c r="P1396" s="91"/>
      <c r="Q1396" s="92"/>
      <c r="R1396" s="68" t="str">
        <f t="shared" ref="R1396:R1459" si="25">IF(SUM(Q1396)&gt;0,SUM(Q1396-P1396),"")</f>
        <v/>
      </c>
      <c r="S1396" s="22"/>
    </row>
    <row r="1397" spans="1:19" ht="18" customHeight="1">
      <c r="A1397" s="85"/>
      <c r="B1397" s="86"/>
      <c r="C1397" s="22"/>
      <c r="D1397" s="85"/>
      <c r="E1397" s="87"/>
      <c r="F1397" s="85"/>
      <c r="G1397" s="22"/>
      <c r="H1397" s="88"/>
      <c r="J1397" s="22"/>
      <c r="M1397" s="89"/>
      <c r="N1397" s="60"/>
      <c r="O1397" s="90"/>
      <c r="P1397" s="91"/>
      <c r="Q1397" s="92"/>
      <c r="R1397" s="68" t="str">
        <f t="shared" si="25"/>
        <v/>
      </c>
      <c r="S1397" s="22"/>
    </row>
    <row r="1398" spans="1:19" ht="18" customHeight="1">
      <c r="A1398" s="85"/>
      <c r="B1398" s="86"/>
      <c r="C1398" s="22"/>
      <c r="D1398" s="85"/>
      <c r="E1398" s="87"/>
      <c r="F1398" s="85"/>
      <c r="G1398" s="22"/>
      <c r="H1398" s="88"/>
      <c r="J1398" s="22"/>
      <c r="M1398" s="89"/>
      <c r="N1398" s="60"/>
      <c r="O1398" s="90"/>
      <c r="P1398" s="91"/>
      <c r="Q1398" s="92"/>
      <c r="R1398" s="68" t="str">
        <f t="shared" si="25"/>
        <v/>
      </c>
      <c r="S1398" s="22"/>
    </row>
    <row r="1399" spans="1:19" ht="18" customHeight="1">
      <c r="A1399" s="85"/>
      <c r="B1399" s="86"/>
      <c r="C1399" s="22"/>
      <c r="D1399" s="85"/>
      <c r="E1399" s="87"/>
      <c r="F1399" s="85"/>
      <c r="G1399" s="22"/>
      <c r="H1399" s="88"/>
      <c r="J1399" s="22"/>
      <c r="M1399" s="89"/>
      <c r="N1399" s="60"/>
      <c r="O1399" s="90"/>
      <c r="P1399" s="91"/>
      <c r="Q1399" s="92"/>
      <c r="R1399" s="68" t="str">
        <f t="shared" si="25"/>
        <v/>
      </c>
      <c r="S1399" s="22"/>
    </row>
    <row r="1400" spans="1:19" ht="18" customHeight="1">
      <c r="A1400" s="85"/>
      <c r="B1400" s="86"/>
      <c r="C1400" s="22"/>
      <c r="D1400" s="85"/>
      <c r="E1400" s="87"/>
      <c r="F1400" s="85"/>
      <c r="G1400" s="22"/>
      <c r="H1400" s="88"/>
      <c r="J1400" s="22"/>
      <c r="M1400" s="89"/>
      <c r="N1400" s="60"/>
      <c r="O1400" s="90"/>
      <c r="P1400" s="91"/>
      <c r="Q1400" s="92"/>
      <c r="R1400" s="68" t="str">
        <f t="shared" si="25"/>
        <v/>
      </c>
      <c r="S1400" s="22"/>
    </row>
    <row r="1401" spans="1:19" ht="18" customHeight="1">
      <c r="A1401" s="85"/>
      <c r="B1401" s="86"/>
      <c r="C1401" s="22"/>
      <c r="D1401" s="85"/>
      <c r="E1401" s="87"/>
      <c r="F1401" s="85"/>
      <c r="G1401" s="22"/>
      <c r="H1401" s="88"/>
      <c r="J1401" s="22"/>
      <c r="M1401" s="89"/>
      <c r="N1401" s="60"/>
      <c r="O1401" s="90"/>
      <c r="P1401" s="91"/>
      <c r="Q1401" s="92"/>
      <c r="R1401" s="68" t="str">
        <f t="shared" si="25"/>
        <v/>
      </c>
      <c r="S1401" s="22"/>
    </row>
    <row r="1402" spans="1:19" ht="18" customHeight="1">
      <c r="A1402" s="85"/>
      <c r="B1402" s="86"/>
      <c r="C1402" s="22"/>
      <c r="D1402" s="85"/>
      <c r="E1402" s="87"/>
      <c r="F1402" s="85"/>
      <c r="G1402" s="22"/>
      <c r="H1402" s="88"/>
      <c r="J1402" s="22"/>
      <c r="M1402" s="89"/>
      <c r="N1402" s="60"/>
      <c r="O1402" s="90"/>
      <c r="P1402" s="91"/>
      <c r="Q1402" s="92"/>
      <c r="R1402" s="68" t="str">
        <f t="shared" si="25"/>
        <v/>
      </c>
      <c r="S1402" s="22"/>
    </row>
    <row r="1403" spans="1:19" ht="18" customHeight="1">
      <c r="A1403" s="85"/>
      <c r="B1403" s="86"/>
      <c r="C1403" s="22"/>
      <c r="D1403" s="85"/>
      <c r="E1403" s="87"/>
      <c r="F1403" s="85"/>
      <c r="G1403" s="22"/>
      <c r="H1403" s="88"/>
      <c r="J1403" s="22"/>
      <c r="M1403" s="89"/>
      <c r="N1403" s="60"/>
      <c r="O1403" s="90"/>
      <c r="P1403" s="91"/>
      <c r="Q1403" s="92"/>
      <c r="R1403" s="68" t="str">
        <f t="shared" si="25"/>
        <v/>
      </c>
      <c r="S1403" s="22"/>
    </row>
    <row r="1404" spans="1:19" ht="18" customHeight="1">
      <c r="A1404" s="85"/>
      <c r="B1404" s="86"/>
      <c r="C1404" s="22"/>
      <c r="D1404" s="85"/>
      <c r="E1404" s="87"/>
      <c r="F1404" s="85"/>
      <c r="G1404" s="22"/>
      <c r="H1404" s="88"/>
      <c r="J1404" s="22"/>
      <c r="M1404" s="89"/>
      <c r="N1404" s="60"/>
      <c r="O1404" s="90"/>
      <c r="P1404" s="91"/>
      <c r="Q1404" s="92"/>
      <c r="R1404" s="68" t="str">
        <f t="shared" si="25"/>
        <v/>
      </c>
      <c r="S1404" s="22"/>
    </row>
    <row r="1405" spans="1:19" ht="18" customHeight="1">
      <c r="A1405" s="85"/>
      <c r="B1405" s="86"/>
      <c r="C1405" s="22"/>
      <c r="D1405" s="85"/>
      <c r="E1405" s="87"/>
      <c r="F1405" s="85"/>
      <c r="G1405" s="22"/>
      <c r="H1405" s="88"/>
      <c r="J1405" s="22"/>
      <c r="M1405" s="89"/>
      <c r="N1405" s="60"/>
      <c r="O1405" s="90"/>
      <c r="P1405" s="91"/>
      <c r="Q1405" s="92"/>
      <c r="R1405" s="68" t="str">
        <f t="shared" si="25"/>
        <v/>
      </c>
      <c r="S1405" s="22"/>
    </row>
    <row r="1406" spans="1:19" ht="18" customHeight="1">
      <c r="A1406" s="85"/>
      <c r="B1406" s="86"/>
      <c r="C1406" s="22"/>
      <c r="D1406" s="85"/>
      <c r="E1406" s="87"/>
      <c r="F1406" s="85"/>
      <c r="G1406" s="22"/>
      <c r="H1406" s="88"/>
      <c r="J1406" s="22"/>
      <c r="M1406" s="89"/>
      <c r="N1406" s="60"/>
      <c r="O1406" s="90"/>
      <c r="P1406" s="91"/>
      <c r="Q1406" s="92"/>
      <c r="R1406" s="68" t="str">
        <f t="shared" si="25"/>
        <v/>
      </c>
      <c r="S1406" s="22"/>
    </row>
    <row r="1407" spans="1:19" ht="18" customHeight="1">
      <c r="A1407" s="85"/>
      <c r="B1407" s="86"/>
      <c r="C1407" s="22"/>
      <c r="D1407" s="85"/>
      <c r="E1407" s="87"/>
      <c r="F1407" s="85"/>
      <c r="G1407" s="22"/>
      <c r="H1407" s="88"/>
      <c r="J1407" s="22"/>
      <c r="M1407" s="89"/>
      <c r="N1407" s="60"/>
      <c r="O1407" s="90"/>
      <c r="P1407" s="91"/>
      <c r="Q1407" s="92"/>
      <c r="R1407" s="68" t="str">
        <f t="shared" si="25"/>
        <v/>
      </c>
      <c r="S1407" s="22"/>
    </row>
    <row r="1408" spans="1:19" ht="18" customHeight="1">
      <c r="A1408" s="85"/>
      <c r="B1408" s="86"/>
      <c r="C1408" s="22"/>
      <c r="D1408" s="85"/>
      <c r="E1408" s="87"/>
      <c r="F1408" s="85"/>
      <c r="G1408" s="22"/>
      <c r="H1408" s="88"/>
      <c r="J1408" s="22"/>
      <c r="M1408" s="89"/>
      <c r="N1408" s="60"/>
      <c r="O1408" s="90"/>
      <c r="P1408" s="91"/>
      <c r="Q1408" s="92"/>
      <c r="R1408" s="68" t="str">
        <f t="shared" si="25"/>
        <v/>
      </c>
      <c r="S1408" s="22"/>
    </row>
    <row r="1409" spans="1:19" ht="18" customHeight="1">
      <c r="A1409" s="85"/>
      <c r="B1409" s="86"/>
      <c r="C1409" s="22"/>
      <c r="D1409" s="85"/>
      <c r="E1409" s="87"/>
      <c r="F1409" s="85"/>
      <c r="G1409" s="22"/>
      <c r="H1409" s="88"/>
      <c r="J1409" s="22"/>
      <c r="M1409" s="89"/>
      <c r="N1409" s="60"/>
      <c r="O1409" s="90"/>
      <c r="P1409" s="91"/>
      <c r="Q1409" s="92"/>
      <c r="R1409" s="68" t="str">
        <f t="shared" si="25"/>
        <v/>
      </c>
      <c r="S1409" s="22"/>
    </row>
    <row r="1410" spans="1:19" ht="18" customHeight="1">
      <c r="A1410" s="85"/>
      <c r="B1410" s="86"/>
      <c r="C1410" s="22"/>
      <c r="D1410" s="85"/>
      <c r="E1410" s="87"/>
      <c r="F1410" s="85"/>
      <c r="G1410" s="22"/>
      <c r="H1410" s="88"/>
      <c r="J1410" s="22"/>
      <c r="M1410" s="89"/>
      <c r="N1410" s="60"/>
      <c r="O1410" s="90"/>
      <c r="P1410" s="91"/>
      <c r="Q1410" s="92"/>
      <c r="R1410" s="68" t="str">
        <f t="shared" si="25"/>
        <v/>
      </c>
      <c r="S1410" s="22"/>
    </row>
    <row r="1411" spans="1:19" ht="18" customHeight="1">
      <c r="A1411" s="85"/>
      <c r="B1411" s="86"/>
      <c r="C1411" s="22"/>
      <c r="D1411" s="85"/>
      <c r="E1411" s="87"/>
      <c r="F1411" s="85"/>
      <c r="G1411" s="22"/>
      <c r="H1411" s="88"/>
      <c r="J1411" s="22"/>
      <c r="M1411" s="89"/>
      <c r="N1411" s="60"/>
      <c r="O1411" s="90"/>
      <c r="P1411" s="91"/>
      <c r="Q1411" s="92"/>
      <c r="R1411" s="68" t="str">
        <f t="shared" si="25"/>
        <v/>
      </c>
      <c r="S1411" s="22"/>
    </row>
    <row r="1412" spans="1:19" ht="18" customHeight="1">
      <c r="A1412" s="85"/>
      <c r="B1412" s="86"/>
      <c r="C1412" s="22"/>
      <c r="D1412" s="85"/>
      <c r="E1412" s="87"/>
      <c r="F1412" s="85"/>
      <c r="G1412" s="22"/>
      <c r="H1412" s="88"/>
      <c r="J1412" s="22"/>
      <c r="M1412" s="89"/>
      <c r="N1412" s="60"/>
      <c r="O1412" s="90"/>
      <c r="P1412" s="91"/>
      <c r="Q1412" s="92"/>
      <c r="R1412" s="68" t="str">
        <f t="shared" si="25"/>
        <v/>
      </c>
      <c r="S1412" s="22"/>
    </row>
    <row r="1413" spans="1:19" ht="18" customHeight="1">
      <c r="A1413" s="85"/>
      <c r="B1413" s="86"/>
      <c r="C1413" s="22"/>
      <c r="D1413" s="85"/>
      <c r="E1413" s="87"/>
      <c r="F1413" s="85"/>
      <c r="G1413" s="22"/>
      <c r="H1413" s="88"/>
      <c r="J1413" s="22"/>
      <c r="M1413" s="89"/>
      <c r="N1413" s="60"/>
      <c r="O1413" s="90"/>
      <c r="P1413" s="91"/>
      <c r="Q1413" s="92"/>
      <c r="R1413" s="68" t="str">
        <f t="shared" si="25"/>
        <v/>
      </c>
      <c r="S1413" s="22"/>
    </row>
    <row r="1414" spans="1:19" ht="18" customHeight="1">
      <c r="A1414" s="85"/>
      <c r="B1414" s="86"/>
      <c r="C1414" s="22"/>
      <c r="D1414" s="85"/>
      <c r="E1414" s="87"/>
      <c r="F1414" s="85"/>
      <c r="G1414" s="22"/>
      <c r="H1414" s="88"/>
      <c r="J1414" s="22"/>
      <c r="M1414" s="89"/>
      <c r="N1414" s="60"/>
      <c r="O1414" s="90"/>
      <c r="P1414" s="91"/>
      <c r="Q1414" s="92"/>
      <c r="R1414" s="68" t="str">
        <f t="shared" si="25"/>
        <v/>
      </c>
      <c r="S1414" s="22"/>
    </row>
    <row r="1415" spans="1:19" ht="18" customHeight="1">
      <c r="A1415" s="85"/>
      <c r="B1415" s="86"/>
      <c r="C1415" s="22"/>
      <c r="D1415" s="85"/>
      <c r="E1415" s="87"/>
      <c r="F1415" s="85"/>
      <c r="G1415" s="22"/>
      <c r="H1415" s="88"/>
      <c r="J1415" s="22"/>
      <c r="M1415" s="89"/>
      <c r="N1415" s="60"/>
      <c r="O1415" s="90"/>
      <c r="P1415" s="91"/>
      <c r="Q1415" s="92"/>
      <c r="R1415" s="68" t="str">
        <f t="shared" si="25"/>
        <v/>
      </c>
      <c r="S1415" s="22"/>
    </row>
    <row r="1416" spans="1:19" ht="18" customHeight="1">
      <c r="A1416" s="85"/>
      <c r="B1416" s="86"/>
      <c r="C1416" s="22"/>
      <c r="D1416" s="85"/>
      <c r="E1416" s="87"/>
      <c r="F1416" s="85"/>
      <c r="G1416" s="22"/>
      <c r="H1416" s="88"/>
      <c r="J1416" s="22"/>
      <c r="M1416" s="89"/>
      <c r="N1416" s="60"/>
      <c r="O1416" s="90"/>
      <c r="P1416" s="91"/>
      <c r="Q1416" s="92"/>
      <c r="R1416" s="68" t="str">
        <f t="shared" si="25"/>
        <v/>
      </c>
      <c r="S1416" s="22"/>
    </row>
    <row r="1417" spans="1:19" ht="18" customHeight="1">
      <c r="A1417" s="85"/>
      <c r="B1417" s="86"/>
      <c r="C1417" s="22"/>
      <c r="D1417" s="85"/>
      <c r="E1417" s="87"/>
      <c r="F1417" s="85"/>
      <c r="G1417" s="22"/>
      <c r="H1417" s="88"/>
      <c r="J1417" s="22"/>
      <c r="M1417" s="89"/>
      <c r="N1417" s="60"/>
      <c r="O1417" s="90"/>
      <c r="P1417" s="91"/>
      <c r="Q1417" s="92"/>
      <c r="R1417" s="68" t="str">
        <f t="shared" si="25"/>
        <v/>
      </c>
      <c r="S1417" s="22"/>
    </row>
    <row r="1418" spans="1:19" ht="18" customHeight="1">
      <c r="A1418" s="85"/>
      <c r="B1418" s="86"/>
      <c r="C1418" s="22"/>
      <c r="D1418" s="85"/>
      <c r="E1418" s="87"/>
      <c r="F1418" s="85"/>
      <c r="G1418" s="22"/>
      <c r="H1418" s="88"/>
      <c r="J1418" s="22"/>
      <c r="M1418" s="89"/>
      <c r="N1418" s="60"/>
      <c r="O1418" s="90"/>
      <c r="P1418" s="91"/>
      <c r="Q1418" s="92"/>
      <c r="R1418" s="68" t="str">
        <f t="shared" si="25"/>
        <v/>
      </c>
      <c r="S1418" s="22"/>
    </row>
    <row r="1419" spans="1:19" ht="18" customHeight="1">
      <c r="A1419" s="85"/>
      <c r="B1419" s="86"/>
      <c r="C1419" s="22"/>
      <c r="D1419" s="85"/>
      <c r="E1419" s="87"/>
      <c r="F1419" s="85"/>
      <c r="G1419" s="22"/>
      <c r="H1419" s="88"/>
      <c r="J1419" s="22"/>
      <c r="M1419" s="89"/>
      <c r="N1419" s="60"/>
      <c r="O1419" s="90"/>
      <c r="P1419" s="91"/>
      <c r="Q1419" s="92"/>
      <c r="R1419" s="68" t="str">
        <f t="shared" si="25"/>
        <v/>
      </c>
      <c r="S1419" s="22"/>
    </row>
    <row r="1420" spans="1:19" ht="18" customHeight="1">
      <c r="A1420" s="85"/>
      <c r="B1420" s="86"/>
      <c r="C1420" s="22"/>
      <c r="D1420" s="85"/>
      <c r="E1420" s="87"/>
      <c r="F1420" s="85"/>
      <c r="G1420" s="22"/>
      <c r="H1420" s="88"/>
      <c r="J1420" s="22"/>
      <c r="M1420" s="89"/>
      <c r="N1420" s="60"/>
      <c r="O1420" s="90"/>
      <c r="P1420" s="91"/>
      <c r="Q1420" s="92"/>
      <c r="R1420" s="68" t="str">
        <f t="shared" si="25"/>
        <v/>
      </c>
      <c r="S1420" s="22"/>
    </row>
    <row r="1421" spans="1:19" ht="18" customHeight="1">
      <c r="A1421" s="85"/>
      <c r="B1421" s="86"/>
      <c r="C1421" s="22"/>
      <c r="D1421" s="85"/>
      <c r="E1421" s="87"/>
      <c r="F1421" s="85"/>
      <c r="G1421" s="22"/>
      <c r="H1421" s="88"/>
      <c r="J1421" s="22"/>
      <c r="M1421" s="89"/>
      <c r="N1421" s="60"/>
      <c r="O1421" s="90"/>
      <c r="P1421" s="91"/>
      <c r="Q1421" s="92"/>
      <c r="R1421" s="68" t="str">
        <f t="shared" si="25"/>
        <v/>
      </c>
      <c r="S1421" s="22"/>
    </row>
    <row r="1422" spans="1:19" ht="18" customHeight="1">
      <c r="A1422" s="85"/>
      <c r="B1422" s="86"/>
      <c r="C1422" s="22"/>
      <c r="D1422" s="85"/>
      <c r="E1422" s="87"/>
      <c r="F1422" s="85"/>
      <c r="G1422" s="22"/>
      <c r="H1422" s="88"/>
      <c r="J1422" s="22"/>
      <c r="M1422" s="89"/>
      <c r="N1422" s="60"/>
      <c r="O1422" s="90"/>
      <c r="P1422" s="91"/>
      <c r="Q1422" s="92"/>
      <c r="R1422" s="68" t="str">
        <f t="shared" si="25"/>
        <v/>
      </c>
      <c r="S1422" s="22"/>
    </row>
    <row r="1423" spans="1:19" ht="18" customHeight="1">
      <c r="A1423" s="85"/>
      <c r="B1423" s="86"/>
      <c r="C1423" s="22"/>
      <c r="D1423" s="85"/>
      <c r="E1423" s="87"/>
      <c r="F1423" s="85"/>
      <c r="G1423" s="22"/>
      <c r="H1423" s="88"/>
      <c r="J1423" s="22"/>
      <c r="M1423" s="89"/>
      <c r="N1423" s="60"/>
      <c r="O1423" s="90"/>
      <c r="P1423" s="91"/>
      <c r="Q1423" s="92"/>
      <c r="R1423" s="68" t="str">
        <f t="shared" si="25"/>
        <v/>
      </c>
      <c r="S1423" s="22"/>
    </row>
    <row r="1424" spans="1:19" ht="18" customHeight="1">
      <c r="A1424" s="85"/>
      <c r="B1424" s="86"/>
      <c r="C1424" s="22"/>
      <c r="D1424" s="85"/>
      <c r="E1424" s="87"/>
      <c r="F1424" s="85"/>
      <c r="G1424" s="22"/>
      <c r="H1424" s="88"/>
      <c r="J1424" s="22"/>
      <c r="M1424" s="89"/>
      <c r="N1424" s="60"/>
      <c r="O1424" s="90"/>
      <c r="P1424" s="91"/>
      <c r="Q1424" s="92"/>
      <c r="R1424" s="68" t="str">
        <f t="shared" si="25"/>
        <v/>
      </c>
      <c r="S1424" s="22"/>
    </row>
    <row r="1425" spans="1:19" ht="18" customHeight="1">
      <c r="A1425" s="85"/>
      <c r="B1425" s="86"/>
      <c r="C1425" s="22"/>
      <c r="D1425" s="85"/>
      <c r="E1425" s="87"/>
      <c r="F1425" s="85"/>
      <c r="G1425" s="22"/>
      <c r="H1425" s="88"/>
      <c r="J1425" s="22"/>
      <c r="M1425" s="89"/>
      <c r="N1425" s="60"/>
      <c r="O1425" s="90"/>
      <c r="P1425" s="91"/>
      <c r="Q1425" s="92"/>
      <c r="R1425" s="68" t="str">
        <f t="shared" si="25"/>
        <v/>
      </c>
      <c r="S1425" s="22"/>
    </row>
    <row r="1426" spans="1:19" ht="18" customHeight="1">
      <c r="A1426" s="85"/>
      <c r="B1426" s="86"/>
      <c r="C1426" s="22"/>
      <c r="D1426" s="85"/>
      <c r="E1426" s="87"/>
      <c r="F1426" s="85"/>
      <c r="G1426" s="22"/>
      <c r="H1426" s="88"/>
      <c r="J1426" s="22"/>
      <c r="M1426" s="89"/>
      <c r="N1426" s="60"/>
      <c r="O1426" s="90"/>
      <c r="P1426" s="91"/>
      <c r="Q1426" s="92"/>
      <c r="R1426" s="68" t="str">
        <f t="shared" si="25"/>
        <v/>
      </c>
      <c r="S1426" s="22"/>
    </row>
    <row r="1427" spans="1:19" ht="18" customHeight="1">
      <c r="A1427" s="85"/>
      <c r="B1427" s="86"/>
      <c r="C1427" s="22"/>
      <c r="D1427" s="85"/>
      <c r="E1427" s="87"/>
      <c r="F1427" s="85"/>
      <c r="G1427" s="22"/>
      <c r="H1427" s="88"/>
      <c r="J1427" s="22"/>
      <c r="M1427" s="89"/>
      <c r="N1427" s="60"/>
      <c r="O1427" s="90"/>
      <c r="P1427" s="91"/>
      <c r="Q1427" s="92"/>
      <c r="R1427" s="68" t="str">
        <f t="shared" si="25"/>
        <v/>
      </c>
      <c r="S1427" s="22"/>
    </row>
    <row r="1428" spans="1:19" ht="18" customHeight="1">
      <c r="A1428" s="85"/>
      <c r="B1428" s="86"/>
      <c r="C1428" s="22"/>
      <c r="D1428" s="85"/>
      <c r="E1428" s="87"/>
      <c r="F1428" s="85"/>
      <c r="G1428" s="22"/>
      <c r="H1428" s="88"/>
      <c r="J1428" s="22"/>
      <c r="M1428" s="89"/>
      <c r="N1428" s="60"/>
      <c r="O1428" s="90"/>
      <c r="P1428" s="91"/>
      <c r="Q1428" s="92"/>
      <c r="R1428" s="68" t="str">
        <f t="shared" si="25"/>
        <v/>
      </c>
      <c r="S1428" s="22"/>
    </row>
    <row r="1429" spans="1:19" ht="18" customHeight="1">
      <c r="A1429" s="85"/>
      <c r="B1429" s="86"/>
      <c r="C1429" s="22"/>
      <c r="D1429" s="85"/>
      <c r="E1429" s="87"/>
      <c r="F1429" s="85"/>
      <c r="G1429" s="22"/>
      <c r="H1429" s="88"/>
      <c r="J1429" s="22"/>
      <c r="M1429" s="89"/>
      <c r="N1429" s="60"/>
      <c r="O1429" s="90"/>
      <c r="P1429" s="91"/>
      <c r="Q1429" s="92"/>
      <c r="R1429" s="68" t="str">
        <f t="shared" si="25"/>
        <v/>
      </c>
      <c r="S1429" s="22"/>
    </row>
    <row r="1430" spans="1:19" ht="18" customHeight="1">
      <c r="A1430" s="85"/>
      <c r="B1430" s="86"/>
      <c r="C1430" s="22"/>
      <c r="D1430" s="85"/>
      <c r="E1430" s="87"/>
      <c r="F1430" s="85"/>
      <c r="G1430" s="22"/>
      <c r="H1430" s="88"/>
      <c r="J1430" s="22"/>
      <c r="M1430" s="89"/>
      <c r="N1430" s="60"/>
      <c r="O1430" s="90"/>
      <c r="P1430" s="91"/>
      <c r="Q1430" s="92"/>
      <c r="R1430" s="68" t="str">
        <f t="shared" si="25"/>
        <v/>
      </c>
      <c r="S1430" s="22"/>
    </row>
    <row r="1431" spans="1:19" ht="18" customHeight="1">
      <c r="A1431" s="85"/>
      <c r="B1431" s="86"/>
      <c r="C1431" s="22"/>
      <c r="D1431" s="85"/>
      <c r="E1431" s="87"/>
      <c r="F1431" s="85"/>
      <c r="G1431" s="22"/>
      <c r="H1431" s="88"/>
      <c r="J1431" s="22"/>
      <c r="M1431" s="89"/>
      <c r="N1431" s="60"/>
      <c r="O1431" s="90"/>
      <c r="P1431" s="91"/>
      <c r="Q1431" s="92"/>
      <c r="R1431" s="68" t="str">
        <f t="shared" si="25"/>
        <v/>
      </c>
      <c r="S1431" s="22"/>
    </row>
    <row r="1432" spans="1:19" ht="18" customHeight="1">
      <c r="A1432" s="85"/>
      <c r="B1432" s="86"/>
      <c r="C1432" s="22"/>
      <c r="D1432" s="85"/>
      <c r="E1432" s="87"/>
      <c r="F1432" s="85"/>
      <c r="G1432" s="22"/>
      <c r="H1432" s="88"/>
      <c r="J1432" s="22"/>
      <c r="M1432" s="89"/>
      <c r="N1432" s="60"/>
      <c r="O1432" s="90"/>
      <c r="P1432" s="91"/>
      <c r="Q1432" s="92"/>
      <c r="R1432" s="68" t="str">
        <f t="shared" si="25"/>
        <v/>
      </c>
      <c r="S1432" s="22"/>
    </row>
    <row r="1433" spans="1:19" ht="18" customHeight="1">
      <c r="A1433" s="85"/>
      <c r="B1433" s="86"/>
      <c r="C1433" s="22"/>
      <c r="D1433" s="85"/>
      <c r="E1433" s="87"/>
      <c r="F1433" s="85"/>
      <c r="G1433" s="22"/>
      <c r="H1433" s="88"/>
      <c r="J1433" s="22"/>
      <c r="M1433" s="89"/>
      <c r="N1433" s="60"/>
      <c r="O1433" s="90"/>
      <c r="P1433" s="91"/>
      <c r="Q1433" s="92"/>
      <c r="R1433" s="68" t="str">
        <f t="shared" si="25"/>
        <v/>
      </c>
      <c r="S1433" s="22"/>
    </row>
    <row r="1434" spans="1:19" ht="18" customHeight="1">
      <c r="A1434" s="85"/>
      <c r="B1434" s="86"/>
      <c r="C1434" s="22"/>
      <c r="D1434" s="85"/>
      <c r="E1434" s="87"/>
      <c r="F1434" s="85"/>
      <c r="G1434" s="22"/>
      <c r="H1434" s="88"/>
      <c r="J1434" s="22"/>
      <c r="M1434" s="89"/>
      <c r="N1434" s="60"/>
      <c r="O1434" s="90"/>
      <c r="P1434" s="91"/>
      <c r="Q1434" s="92"/>
      <c r="R1434" s="68" t="str">
        <f t="shared" si="25"/>
        <v/>
      </c>
      <c r="S1434" s="22"/>
    </row>
    <row r="1435" spans="1:19" ht="18" customHeight="1">
      <c r="A1435" s="85"/>
      <c r="B1435" s="86"/>
      <c r="C1435" s="22"/>
      <c r="D1435" s="85"/>
      <c r="E1435" s="87"/>
      <c r="F1435" s="85"/>
      <c r="G1435" s="22"/>
      <c r="H1435" s="88"/>
      <c r="J1435" s="22"/>
      <c r="M1435" s="89"/>
      <c r="N1435" s="60"/>
      <c r="O1435" s="90"/>
      <c r="P1435" s="91"/>
      <c r="Q1435" s="92"/>
      <c r="R1435" s="68" t="str">
        <f t="shared" si="25"/>
        <v/>
      </c>
      <c r="S1435" s="22"/>
    </row>
    <row r="1436" spans="1:19" ht="18" customHeight="1">
      <c r="A1436" s="85"/>
      <c r="B1436" s="86"/>
      <c r="C1436" s="22"/>
      <c r="D1436" s="85"/>
      <c r="E1436" s="87"/>
      <c r="F1436" s="85"/>
      <c r="G1436" s="22"/>
      <c r="H1436" s="88"/>
      <c r="J1436" s="22"/>
      <c r="M1436" s="89"/>
      <c r="N1436" s="60"/>
      <c r="O1436" s="90"/>
      <c r="P1436" s="91"/>
      <c r="Q1436" s="92"/>
      <c r="R1436" s="68" t="str">
        <f t="shared" si="25"/>
        <v/>
      </c>
      <c r="S1436" s="22"/>
    </row>
    <row r="1437" spans="1:19" ht="18" customHeight="1">
      <c r="A1437" s="85"/>
      <c r="B1437" s="86"/>
      <c r="C1437" s="22"/>
      <c r="D1437" s="85"/>
      <c r="E1437" s="87"/>
      <c r="F1437" s="85"/>
      <c r="G1437" s="22"/>
      <c r="H1437" s="88"/>
      <c r="J1437" s="22"/>
      <c r="M1437" s="89"/>
      <c r="N1437" s="60"/>
      <c r="O1437" s="90"/>
      <c r="P1437" s="91"/>
      <c r="Q1437" s="92"/>
      <c r="R1437" s="68" t="str">
        <f t="shared" si="25"/>
        <v/>
      </c>
      <c r="S1437" s="22"/>
    </row>
    <row r="1438" spans="1:19" ht="18" customHeight="1">
      <c r="A1438" s="85"/>
      <c r="B1438" s="86"/>
      <c r="C1438" s="22"/>
      <c r="D1438" s="85"/>
      <c r="E1438" s="87"/>
      <c r="F1438" s="85"/>
      <c r="G1438" s="22"/>
      <c r="H1438" s="88"/>
      <c r="J1438" s="22"/>
      <c r="M1438" s="89"/>
      <c r="N1438" s="60"/>
      <c r="O1438" s="90"/>
      <c r="P1438" s="91"/>
      <c r="Q1438" s="92"/>
      <c r="R1438" s="68" t="str">
        <f t="shared" si="25"/>
        <v/>
      </c>
      <c r="S1438" s="22"/>
    </row>
    <row r="1439" spans="1:19" ht="18" customHeight="1">
      <c r="A1439" s="85"/>
      <c r="B1439" s="86"/>
      <c r="C1439" s="22"/>
      <c r="D1439" s="85"/>
      <c r="E1439" s="87"/>
      <c r="F1439" s="85"/>
      <c r="G1439" s="22"/>
      <c r="H1439" s="88"/>
      <c r="J1439" s="22"/>
      <c r="M1439" s="89"/>
      <c r="N1439" s="60"/>
      <c r="O1439" s="90"/>
      <c r="P1439" s="91"/>
      <c r="Q1439" s="92"/>
      <c r="R1439" s="68" t="str">
        <f t="shared" si="25"/>
        <v/>
      </c>
      <c r="S1439" s="22"/>
    </row>
    <row r="1440" spans="1:19" ht="18" customHeight="1">
      <c r="A1440" s="85"/>
      <c r="B1440" s="86"/>
      <c r="C1440" s="22"/>
      <c r="D1440" s="85"/>
      <c r="E1440" s="87"/>
      <c r="F1440" s="85"/>
      <c r="G1440" s="22"/>
      <c r="H1440" s="88"/>
      <c r="J1440" s="22"/>
      <c r="M1440" s="89"/>
      <c r="N1440" s="60"/>
      <c r="O1440" s="90"/>
      <c r="P1440" s="91"/>
      <c r="Q1440" s="92"/>
      <c r="R1440" s="68" t="str">
        <f t="shared" si="25"/>
        <v/>
      </c>
      <c r="S1440" s="22"/>
    </row>
    <row r="1441" spans="1:19" ht="18" customHeight="1">
      <c r="A1441" s="85"/>
      <c r="B1441" s="86"/>
      <c r="C1441" s="22"/>
      <c r="D1441" s="85"/>
      <c r="E1441" s="87"/>
      <c r="F1441" s="85"/>
      <c r="G1441" s="22"/>
      <c r="H1441" s="88"/>
      <c r="J1441" s="22"/>
      <c r="M1441" s="89"/>
      <c r="N1441" s="60"/>
      <c r="O1441" s="90"/>
      <c r="P1441" s="91"/>
      <c r="Q1441" s="92"/>
      <c r="R1441" s="68" t="str">
        <f t="shared" si="25"/>
        <v/>
      </c>
      <c r="S1441" s="22"/>
    </row>
    <row r="1442" spans="1:19" ht="18" customHeight="1">
      <c r="A1442" s="85"/>
      <c r="B1442" s="86"/>
      <c r="C1442" s="22"/>
      <c r="D1442" s="85"/>
      <c r="E1442" s="87"/>
      <c r="F1442" s="85"/>
      <c r="G1442" s="22"/>
      <c r="H1442" s="88"/>
      <c r="J1442" s="22"/>
      <c r="M1442" s="89"/>
      <c r="N1442" s="60"/>
      <c r="O1442" s="90"/>
      <c r="P1442" s="91"/>
      <c r="Q1442" s="92"/>
      <c r="R1442" s="68" t="str">
        <f t="shared" si="25"/>
        <v/>
      </c>
      <c r="S1442" s="22"/>
    </row>
    <row r="1443" spans="1:19" ht="18" customHeight="1">
      <c r="A1443" s="85"/>
      <c r="B1443" s="86"/>
      <c r="C1443" s="22"/>
      <c r="D1443" s="85"/>
      <c r="E1443" s="87"/>
      <c r="F1443" s="85"/>
      <c r="G1443" s="22"/>
      <c r="H1443" s="88"/>
      <c r="J1443" s="22"/>
      <c r="M1443" s="89"/>
      <c r="N1443" s="60"/>
      <c r="O1443" s="90"/>
      <c r="P1443" s="91"/>
      <c r="Q1443" s="92"/>
      <c r="R1443" s="68" t="str">
        <f t="shared" si="25"/>
        <v/>
      </c>
      <c r="S1443" s="22"/>
    </row>
    <row r="1444" spans="1:19" ht="18" customHeight="1">
      <c r="A1444" s="85"/>
      <c r="B1444" s="86"/>
      <c r="C1444" s="22"/>
      <c r="D1444" s="85"/>
      <c r="E1444" s="87"/>
      <c r="F1444" s="85"/>
      <c r="G1444" s="22"/>
      <c r="H1444" s="88"/>
      <c r="J1444" s="22"/>
      <c r="M1444" s="89"/>
      <c r="N1444" s="60"/>
      <c r="O1444" s="90"/>
      <c r="P1444" s="91"/>
      <c r="Q1444" s="92"/>
      <c r="R1444" s="68" t="str">
        <f t="shared" si="25"/>
        <v/>
      </c>
      <c r="S1444" s="22"/>
    </row>
    <row r="1445" spans="1:19" ht="18" customHeight="1">
      <c r="A1445" s="85"/>
      <c r="B1445" s="86"/>
      <c r="C1445" s="22"/>
      <c r="D1445" s="85"/>
      <c r="E1445" s="87"/>
      <c r="F1445" s="85"/>
      <c r="G1445" s="22"/>
      <c r="H1445" s="88"/>
      <c r="J1445" s="22"/>
      <c r="M1445" s="89"/>
      <c r="N1445" s="60"/>
      <c r="O1445" s="90"/>
      <c r="P1445" s="91"/>
      <c r="Q1445" s="92"/>
      <c r="R1445" s="68" t="str">
        <f t="shared" si="25"/>
        <v/>
      </c>
      <c r="S1445" s="22"/>
    </row>
    <row r="1446" spans="1:19" ht="18" customHeight="1">
      <c r="A1446" s="85"/>
      <c r="B1446" s="86"/>
      <c r="C1446" s="22"/>
      <c r="D1446" s="85"/>
      <c r="E1446" s="87"/>
      <c r="F1446" s="85"/>
      <c r="G1446" s="22"/>
      <c r="H1446" s="88"/>
      <c r="J1446" s="22"/>
      <c r="M1446" s="89"/>
      <c r="N1446" s="60"/>
      <c r="O1446" s="90"/>
      <c r="P1446" s="91"/>
      <c r="Q1446" s="92"/>
      <c r="R1446" s="68" t="str">
        <f t="shared" si="25"/>
        <v/>
      </c>
      <c r="S1446" s="22"/>
    </row>
    <row r="1447" spans="1:19" ht="18" customHeight="1">
      <c r="A1447" s="85"/>
      <c r="B1447" s="86"/>
      <c r="C1447" s="22"/>
      <c r="D1447" s="85"/>
      <c r="E1447" s="87"/>
      <c r="F1447" s="85"/>
      <c r="G1447" s="22"/>
      <c r="H1447" s="88"/>
      <c r="J1447" s="22"/>
      <c r="M1447" s="89"/>
      <c r="N1447" s="60"/>
      <c r="O1447" s="90"/>
      <c r="P1447" s="91"/>
      <c r="Q1447" s="92"/>
      <c r="R1447" s="68" t="str">
        <f t="shared" si="25"/>
        <v/>
      </c>
      <c r="S1447" s="22"/>
    </row>
    <row r="1448" spans="1:19" ht="18" customHeight="1">
      <c r="A1448" s="85"/>
      <c r="B1448" s="86"/>
      <c r="C1448" s="22"/>
      <c r="D1448" s="85"/>
      <c r="E1448" s="87"/>
      <c r="F1448" s="85"/>
      <c r="G1448" s="22"/>
      <c r="H1448" s="88"/>
      <c r="J1448" s="22"/>
      <c r="M1448" s="89"/>
      <c r="N1448" s="60"/>
      <c r="O1448" s="90"/>
      <c r="P1448" s="91"/>
      <c r="Q1448" s="92"/>
      <c r="R1448" s="68" t="str">
        <f t="shared" si="25"/>
        <v/>
      </c>
      <c r="S1448" s="22"/>
    </row>
    <row r="1449" spans="1:19" ht="18" customHeight="1">
      <c r="A1449" s="85"/>
      <c r="B1449" s="86"/>
      <c r="C1449" s="22"/>
      <c r="D1449" s="85"/>
      <c r="E1449" s="87"/>
      <c r="F1449" s="85"/>
      <c r="G1449" s="22"/>
      <c r="H1449" s="88"/>
      <c r="J1449" s="22"/>
      <c r="M1449" s="89"/>
      <c r="N1449" s="60"/>
      <c r="O1449" s="90"/>
      <c r="P1449" s="91"/>
      <c r="Q1449" s="92"/>
      <c r="R1449" s="68" t="str">
        <f t="shared" si="25"/>
        <v/>
      </c>
      <c r="S1449" s="22"/>
    </row>
    <row r="1450" spans="1:19" ht="18" customHeight="1">
      <c r="A1450" s="85"/>
      <c r="B1450" s="86"/>
      <c r="C1450" s="22"/>
      <c r="D1450" s="85"/>
      <c r="E1450" s="87"/>
      <c r="F1450" s="85"/>
      <c r="G1450" s="22"/>
      <c r="H1450" s="88"/>
      <c r="J1450" s="22"/>
      <c r="M1450" s="89"/>
      <c r="N1450" s="60"/>
      <c r="O1450" s="90"/>
      <c r="P1450" s="91"/>
      <c r="Q1450" s="92"/>
      <c r="R1450" s="68" t="str">
        <f t="shared" si="25"/>
        <v/>
      </c>
      <c r="S1450" s="22"/>
    </row>
    <row r="1451" spans="1:19" ht="18" customHeight="1">
      <c r="A1451" s="85"/>
      <c r="B1451" s="86"/>
      <c r="C1451" s="22"/>
      <c r="D1451" s="85"/>
      <c r="E1451" s="87"/>
      <c r="F1451" s="85"/>
      <c r="G1451" s="22"/>
      <c r="H1451" s="88"/>
      <c r="J1451" s="22"/>
      <c r="M1451" s="89"/>
      <c r="N1451" s="60"/>
      <c r="O1451" s="90"/>
      <c r="P1451" s="91"/>
      <c r="Q1451" s="92"/>
      <c r="R1451" s="68" t="str">
        <f t="shared" si="25"/>
        <v/>
      </c>
      <c r="S1451" s="22"/>
    </row>
    <row r="1452" spans="1:19" ht="18" customHeight="1">
      <c r="A1452" s="85"/>
      <c r="B1452" s="86"/>
      <c r="C1452" s="22"/>
      <c r="D1452" s="85"/>
      <c r="E1452" s="87"/>
      <c r="F1452" s="85"/>
      <c r="G1452" s="22"/>
      <c r="H1452" s="88"/>
      <c r="J1452" s="22"/>
      <c r="M1452" s="89"/>
      <c r="N1452" s="60"/>
      <c r="O1452" s="90"/>
      <c r="P1452" s="91"/>
      <c r="Q1452" s="92"/>
      <c r="R1452" s="68" t="str">
        <f t="shared" si="25"/>
        <v/>
      </c>
      <c r="S1452" s="22"/>
    </row>
    <row r="1453" spans="1:19" ht="18" customHeight="1">
      <c r="A1453" s="85"/>
      <c r="B1453" s="86"/>
      <c r="C1453" s="22"/>
      <c r="D1453" s="85"/>
      <c r="E1453" s="87"/>
      <c r="F1453" s="85"/>
      <c r="G1453" s="22"/>
      <c r="H1453" s="88"/>
      <c r="J1453" s="22"/>
      <c r="M1453" s="89"/>
      <c r="N1453" s="60"/>
      <c r="O1453" s="90"/>
      <c r="P1453" s="91"/>
      <c r="Q1453" s="92"/>
      <c r="R1453" s="68" t="str">
        <f t="shared" si="25"/>
        <v/>
      </c>
      <c r="S1453" s="22"/>
    </row>
    <row r="1454" spans="1:19" ht="18" customHeight="1">
      <c r="A1454" s="85"/>
      <c r="B1454" s="86"/>
      <c r="C1454" s="22"/>
      <c r="D1454" s="85"/>
      <c r="E1454" s="87"/>
      <c r="F1454" s="85"/>
      <c r="G1454" s="22"/>
      <c r="H1454" s="88"/>
      <c r="J1454" s="22"/>
      <c r="M1454" s="89"/>
      <c r="N1454" s="60"/>
      <c r="O1454" s="90"/>
      <c r="P1454" s="91"/>
      <c r="Q1454" s="92"/>
      <c r="R1454" s="68" t="str">
        <f t="shared" si="25"/>
        <v/>
      </c>
      <c r="S1454" s="22"/>
    </row>
    <row r="1455" spans="1:19" ht="18" customHeight="1">
      <c r="A1455" s="85"/>
      <c r="B1455" s="86"/>
      <c r="C1455" s="22"/>
      <c r="D1455" s="85"/>
      <c r="E1455" s="87"/>
      <c r="F1455" s="85"/>
      <c r="G1455" s="22"/>
      <c r="H1455" s="88"/>
      <c r="J1455" s="22"/>
      <c r="M1455" s="89"/>
      <c r="N1455" s="60"/>
      <c r="O1455" s="90"/>
      <c r="P1455" s="91"/>
      <c r="Q1455" s="92"/>
      <c r="R1455" s="68" t="str">
        <f t="shared" si="25"/>
        <v/>
      </c>
      <c r="S1455" s="22"/>
    </row>
    <row r="1456" spans="1:19" ht="18" customHeight="1">
      <c r="A1456" s="85"/>
      <c r="B1456" s="86"/>
      <c r="C1456" s="22"/>
      <c r="D1456" s="85"/>
      <c r="E1456" s="87"/>
      <c r="F1456" s="85"/>
      <c r="G1456" s="22"/>
      <c r="H1456" s="88"/>
      <c r="J1456" s="22"/>
      <c r="M1456" s="89"/>
      <c r="N1456" s="60"/>
      <c r="O1456" s="90"/>
      <c r="P1456" s="91"/>
      <c r="Q1456" s="92"/>
      <c r="R1456" s="68" t="str">
        <f t="shared" si="25"/>
        <v/>
      </c>
      <c r="S1456" s="22"/>
    </row>
    <row r="1457" spans="1:19" ht="18" customHeight="1">
      <c r="A1457" s="85"/>
      <c r="B1457" s="86"/>
      <c r="C1457" s="22"/>
      <c r="D1457" s="85"/>
      <c r="E1457" s="87"/>
      <c r="F1457" s="85"/>
      <c r="G1457" s="22"/>
      <c r="H1457" s="88"/>
      <c r="J1457" s="22"/>
      <c r="M1457" s="89"/>
      <c r="N1457" s="60"/>
      <c r="O1457" s="90"/>
      <c r="P1457" s="91"/>
      <c r="Q1457" s="92"/>
      <c r="R1457" s="68" t="str">
        <f t="shared" si="25"/>
        <v/>
      </c>
      <c r="S1457" s="22"/>
    </row>
    <row r="1458" spans="1:19" ht="18" customHeight="1">
      <c r="A1458" s="85"/>
      <c r="B1458" s="86"/>
      <c r="C1458" s="22"/>
      <c r="D1458" s="85"/>
      <c r="E1458" s="87"/>
      <c r="F1458" s="85"/>
      <c r="G1458" s="22"/>
      <c r="H1458" s="88"/>
      <c r="J1458" s="22"/>
      <c r="M1458" s="89"/>
      <c r="N1458" s="60"/>
      <c r="O1458" s="90"/>
      <c r="P1458" s="91"/>
      <c r="Q1458" s="92"/>
      <c r="R1458" s="68" t="str">
        <f t="shared" si="25"/>
        <v/>
      </c>
      <c r="S1458" s="22"/>
    </row>
    <row r="1459" spans="1:19" ht="18" customHeight="1">
      <c r="A1459" s="85"/>
      <c r="B1459" s="86"/>
      <c r="C1459" s="22"/>
      <c r="D1459" s="85"/>
      <c r="E1459" s="87"/>
      <c r="F1459" s="85"/>
      <c r="G1459" s="22"/>
      <c r="H1459" s="88"/>
      <c r="J1459" s="22"/>
      <c r="M1459" s="89"/>
      <c r="N1459" s="60"/>
      <c r="O1459" s="90"/>
      <c r="P1459" s="91"/>
      <c r="Q1459" s="92"/>
      <c r="R1459" s="68" t="str">
        <f t="shared" si="25"/>
        <v/>
      </c>
      <c r="S1459" s="22"/>
    </row>
    <row r="1460" spans="1:19" ht="18" customHeight="1">
      <c r="A1460" s="85"/>
      <c r="B1460" s="86"/>
      <c r="C1460" s="22"/>
      <c r="D1460" s="85"/>
      <c r="E1460" s="87"/>
      <c r="F1460" s="85"/>
      <c r="G1460" s="22"/>
      <c r="H1460" s="88"/>
      <c r="J1460" s="22"/>
      <c r="M1460" s="89"/>
      <c r="N1460" s="60"/>
      <c r="O1460" s="90"/>
      <c r="P1460" s="91"/>
      <c r="Q1460" s="92"/>
      <c r="R1460" s="68" t="str">
        <f t="shared" ref="R1460:R1523" si="26">IF(SUM(Q1460)&gt;0,SUM(Q1460-P1460),"")</f>
        <v/>
      </c>
      <c r="S1460" s="22"/>
    </row>
    <row r="1461" spans="1:19" ht="18" customHeight="1">
      <c r="A1461" s="85"/>
      <c r="B1461" s="86"/>
      <c r="C1461" s="22"/>
      <c r="D1461" s="85"/>
      <c r="E1461" s="87"/>
      <c r="F1461" s="85"/>
      <c r="G1461" s="22"/>
      <c r="H1461" s="88"/>
      <c r="J1461" s="22"/>
      <c r="M1461" s="89"/>
      <c r="N1461" s="60"/>
      <c r="O1461" s="90"/>
      <c r="P1461" s="91"/>
      <c r="Q1461" s="92"/>
      <c r="R1461" s="68" t="str">
        <f t="shared" si="26"/>
        <v/>
      </c>
      <c r="S1461" s="22"/>
    </row>
    <row r="1462" spans="1:19" ht="18" customHeight="1">
      <c r="A1462" s="85"/>
      <c r="B1462" s="86"/>
      <c r="C1462" s="22"/>
      <c r="D1462" s="85"/>
      <c r="E1462" s="87"/>
      <c r="F1462" s="85"/>
      <c r="G1462" s="22"/>
      <c r="H1462" s="88"/>
      <c r="J1462" s="22"/>
      <c r="M1462" s="89"/>
      <c r="N1462" s="60"/>
      <c r="O1462" s="90"/>
      <c r="P1462" s="91"/>
      <c r="Q1462" s="92"/>
      <c r="R1462" s="68" t="str">
        <f t="shared" si="26"/>
        <v/>
      </c>
      <c r="S1462" s="22"/>
    </row>
    <row r="1463" spans="1:19" ht="18" customHeight="1">
      <c r="A1463" s="85"/>
      <c r="B1463" s="86"/>
      <c r="C1463" s="22"/>
      <c r="D1463" s="85"/>
      <c r="E1463" s="87"/>
      <c r="F1463" s="85"/>
      <c r="G1463" s="22"/>
      <c r="H1463" s="88"/>
      <c r="J1463" s="22"/>
      <c r="M1463" s="89"/>
      <c r="N1463" s="60"/>
      <c r="O1463" s="90"/>
      <c r="P1463" s="91"/>
      <c r="Q1463" s="92"/>
      <c r="R1463" s="68" t="str">
        <f t="shared" si="26"/>
        <v/>
      </c>
      <c r="S1463" s="22"/>
    </row>
    <row r="1464" spans="1:19" ht="18" customHeight="1">
      <c r="A1464" s="85"/>
      <c r="B1464" s="86"/>
      <c r="C1464" s="22"/>
      <c r="D1464" s="85"/>
      <c r="E1464" s="87"/>
      <c r="F1464" s="85"/>
      <c r="G1464" s="22"/>
      <c r="H1464" s="88"/>
      <c r="J1464" s="22"/>
      <c r="M1464" s="89"/>
      <c r="N1464" s="60"/>
      <c r="O1464" s="90"/>
      <c r="P1464" s="91"/>
      <c r="Q1464" s="92"/>
      <c r="R1464" s="68" t="str">
        <f t="shared" si="26"/>
        <v/>
      </c>
      <c r="S1464" s="22"/>
    </row>
    <row r="1465" spans="1:19" ht="18" customHeight="1">
      <c r="A1465" s="85"/>
      <c r="B1465" s="86"/>
      <c r="C1465" s="22"/>
      <c r="D1465" s="85"/>
      <c r="E1465" s="87"/>
      <c r="F1465" s="85"/>
      <c r="G1465" s="22"/>
      <c r="H1465" s="88"/>
      <c r="J1465" s="22"/>
      <c r="M1465" s="89"/>
      <c r="N1465" s="60"/>
      <c r="O1465" s="90"/>
      <c r="P1465" s="91"/>
      <c r="Q1465" s="92"/>
      <c r="R1465" s="68" t="str">
        <f t="shared" si="26"/>
        <v/>
      </c>
      <c r="S1465" s="22"/>
    </row>
    <row r="1466" spans="1:19" ht="18" customHeight="1">
      <c r="A1466" s="85"/>
      <c r="B1466" s="86"/>
      <c r="C1466" s="22"/>
      <c r="D1466" s="85"/>
      <c r="E1466" s="87"/>
      <c r="F1466" s="85"/>
      <c r="G1466" s="22"/>
      <c r="H1466" s="88"/>
      <c r="J1466" s="22"/>
      <c r="M1466" s="89"/>
      <c r="N1466" s="60"/>
      <c r="O1466" s="90"/>
      <c r="P1466" s="91"/>
      <c r="Q1466" s="92"/>
      <c r="R1466" s="68" t="str">
        <f t="shared" si="26"/>
        <v/>
      </c>
      <c r="S1466" s="22"/>
    </row>
    <row r="1467" spans="1:19" ht="18" customHeight="1">
      <c r="A1467" s="85"/>
      <c r="B1467" s="86"/>
      <c r="C1467" s="22"/>
      <c r="D1467" s="85"/>
      <c r="E1467" s="87"/>
      <c r="F1467" s="85"/>
      <c r="G1467" s="22"/>
      <c r="H1467" s="88"/>
      <c r="J1467" s="22"/>
      <c r="M1467" s="89"/>
      <c r="N1467" s="60"/>
      <c r="O1467" s="90"/>
      <c r="P1467" s="91"/>
      <c r="Q1467" s="92"/>
      <c r="R1467" s="68" t="str">
        <f t="shared" si="26"/>
        <v/>
      </c>
      <c r="S1467" s="22"/>
    </row>
    <row r="1468" spans="1:19" ht="18" customHeight="1">
      <c r="A1468" s="85"/>
      <c r="B1468" s="86"/>
      <c r="C1468" s="22"/>
      <c r="D1468" s="85"/>
      <c r="E1468" s="87"/>
      <c r="F1468" s="85"/>
      <c r="G1468" s="22"/>
      <c r="H1468" s="88"/>
      <c r="J1468" s="22"/>
      <c r="M1468" s="89"/>
      <c r="N1468" s="60"/>
      <c r="O1468" s="90"/>
      <c r="P1468" s="91"/>
      <c r="Q1468" s="92"/>
      <c r="R1468" s="68" t="str">
        <f t="shared" si="26"/>
        <v/>
      </c>
      <c r="S1468" s="22"/>
    </row>
    <row r="1469" spans="1:19" ht="18" customHeight="1">
      <c r="A1469" s="85"/>
      <c r="B1469" s="86"/>
      <c r="C1469" s="22"/>
      <c r="D1469" s="85"/>
      <c r="E1469" s="87"/>
      <c r="F1469" s="85"/>
      <c r="G1469" s="22"/>
      <c r="H1469" s="88"/>
      <c r="J1469" s="22"/>
      <c r="M1469" s="89"/>
      <c r="N1469" s="60"/>
      <c r="O1469" s="90"/>
      <c r="P1469" s="91"/>
      <c r="Q1469" s="92"/>
      <c r="R1469" s="68" t="str">
        <f t="shared" si="26"/>
        <v/>
      </c>
      <c r="S1469" s="22"/>
    </row>
    <row r="1470" spans="1:19" ht="18" customHeight="1">
      <c r="A1470" s="85"/>
      <c r="B1470" s="86"/>
      <c r="C1470" s="22"/>
      <c r="D1470" s="85"/>
      <c r="E1470" s="87"/>
      <c r="F1470" s="85"/>
      <c r="G1470" s="22"/>
      <c r="H1470" s="88"/>
      <c r="J1470" s="22"/>
      <c r="M1470" s="89"/>
      <c r="N1470" s="60"/>
      <c r="O1470" s="90"/>
      <c r="P1470" s="91"/>
      <c r="Q1470" s="92"/>
      <c r="R1470" s="68" t="str">
        <f t="shared" si="26"/>
        <v/>
      </c>
      <c r="S1470" s="22"/>
    </row>
    <row r="1471" spans="1:19" ht="18" customHeight="1">
      <c r="A1471" s="85"/>
      <c r="B1471" s="86"/>
      <c r="C1471" s="22"/>
      <c r="D1471" s="85"/>
      <c r="E1471" s="87"/>
      <c r="F1471" s="85"/>
      <c r="G1471" s="22"/>
      <c r="H1471" s="88"/>
      <c r="J1471" s="22"/>
      <c r="M1471" s="89"/>
      <c r="N1471" s="60"/>
      <c r="O1471" s="90"/>
      <c r="P1471" s="91"/>
      <c r="Q1471" s="92"/>
      <c r="R1471" s="68" t="str">
        <f t="shared" si="26"/>
        <v/>
      </c>
      <c r="S1471" s="22"/>
    </row>
    <row r="1472" spans="1:19" ht="18" customHeight="1">
      <c r="A1472" s="85"/>
      <c r="B1472" s="86"/>
      <c r="C1472" s="22"/>
      <c r="D1472" s="85"/>
      <c r="E1472" s="87"/>
      <c r="F1472" s="85"/>
      <c r="G1472" s="22"/>
      <c r="H1472" s="88"/>
      <c r="J1472" s="22"/>
      <c r="M1472" s="89"/>
      <c r="N1472" s="60"/>
      <c r="O1472" s="90"/>
      <c r="P1472" s="91"/>
      <c r="Q1472" s="92"/>
      <c r="R1472" s="68" t="str">
        <f t="shared" si="26"/>
        <v/>
      </c>
      <c r="S1472" s="22"/>
    </row>
    <row r="1473" spans="1:19" ht="18" customHeight="1">
      <c r="A1473" s="85"/>
      <c r="B1473" s="86"/>
      <c r="C1473" s="22"/>
      <c r="D1473" s="85"/>
      <c r="E1473" s="87"/>
      <c r="F1473" s="85"/>
      <c r="G1473" s="22"/>
      <c r="H1473" s="88"/>
      <c r="J1473" s="22"/>
      <c r="M1473" s="89"/>
      <c r="N1473" s="60"/>
      <c r="O1473" s="90"/>
      <c r="P1473" s="91"/>
      <c r="Q1473" s="92"/>
      <c r="R1473" s="68" t="str">
        <f t="shared" si="26"/>
        <v/>
      </c>
      <c r="S1473" s="22"/>
    </row>
    <row r="1474" spans="1:19" ht="18" customHeight="1">
      <c r="A1474" s="85"/>
      <c r="B1474" s="86"/>
      <c r="C1474" s="22"/>
      <c r="D1474" s="85"/>
      <c r="E1474" s="87"/>
      <c r="F1474" s="85"/>
      <c r="G1474" s="22"/>
      <c r="H1474" s="88"/>
      <c r="J1474" s="22"/>
      <c r="M1474" s="89"/>
      <c r="N1474" s="60"/>
      <c r="O1474" s="90"/>
      <c r="P1474" s="91"/>
      <c r="Q1474" s="92"/>
      <c r="R1474" s="68" t="str">
        <f t="shared" si="26"/>
        <v/>
      </c>
      <c r="S1474" s="22"/>
    </row>
    <row r="1475" spans="1:19" ht="18" customHeight="1">
      <c r="A1475" s="85"/>
      <c r="B1475" s="86"/>
      <c r="C1475" s="22"/>
      <c r="D1475" s="85"/>
      <c r="E1475" s="87"/>
      <c r="F1475" s="85"/>
      <c r="G1475" s="22"/>
      <c r="H1475" s="88"/>
      <c r="J1475" s="22"/>
      <c r="M1475" s="89"/>
      <c r="N1475" s="60"/>
      <c r="O1475" s="90"/>
      <c r="P1475" s="91"/>
      <c r="Q1475" s="92"/>
      <c r="R1475" s="68" t="str">
        <f t="shared" si="26"/>
        <v/>
      </c>
      <c r="S1475" s="22"/>
    </row>
    <row r="1476" spans="1:19" ht="18" customHeight="1">
      <c r="A1476" s="85"/>
      <c r="B1476" s="86"/>
      <c r="C1476" s="22"/>
      <c r="D1476" s="85"/>
      <c r="E1476" s="87"/>
      <c r="F1476" s="85"/>
      <c r="G1476" s="22"/>
      <c r="H1476" s="88"/>
      <c r="J1476" s="22"/>
      <c r="M1476" s="89"/>
      <c r="N1476" s="60"/>
      <c r="O1476" s="90"/>
      <c r="P1476" s="91"/>
      <c r="Q1476" s="92"/>
      <c r="R1476" s="68" t="str">
        <f t="shared" si="26"/>
        <v/>
      </c>
      <c r="S1476" s="22"/>
    </row>
    <row r="1477" spans="1:19" ht="18" customHeight="1">
      <c r="A1477" s="85"/>
      <c r="B1477" s="86"/>
      <c r="C1477" s="22"/>
      <c r="D1477" s="85"/>
      <c r="E1477" s="87"/>
      <c r="F1477" s="85"/>
      <c r="G1477" s="22"/>
      <c r="H1477" s="88"/>
      <c r="J1477" s="22"/>
      <c r="M1477" s="89"/>
      <c r="N1477" s="60"/>
      <c r="O1477" s="90"/>
      <c r="P1477" s="91"/>
      <c r="Q1477" s="92"/>
      <c r="R1477" s="68" t="str">
        <f t="shared" si="26"/>
        <v/>
      </c>
      <c r="S1477" s="22"/>
    </row>
    <row r="1478" spans="1:19" ht="18" customHeight="1">
      <c r="A1478" s="85"/>
      <c r="B1478" s="86"/>
      <c r="C1478" s="22"/>
      <c r="D1478" s="85"/>
      <c r="E1478" s="87"/>
      <c r="F1478" s="85"/>
      <c r="G1478" s="22"/>
      <c r="H1478" s="88"/>
      <c r="J1478" s="22"/>
      <c r="M1478" s="89"/>
      <c r="N1478" s="60"/>
      <c r="O1478" s="90"/>
      <c r="P1478" s="91"/>
      <c r="Q1478" s="92"/>
      <c r="R1478" s="68" t="str">
        <f t="shared" si="26"/>
        <v/>
      </c>
      <c r="S1478" s="22"/>
    </row>
    <row r="1479" spans="1:19" ht="18" customHeight="1">
      <c r="A1479" s="85"/>
      <c r="B1479" s="86"/>
      <c r="C1479" s="22"/>
      <c r="D1479" s="85"/>
      <c r="E1479" s="87"/>
      <c r="F1479" s="85"/>
      <c r="G1479" s="22"/>
      <c r="H1479" s="88"/>
      <c r="J1479" s="22"/>
      <c r="M1479" s="89"/>
      <c r="N1479" s="60"/>
      <c r="O1479" s="90"/>
      <c r="P1479" s="91"/>
      <c r="Q1479" s="92"/>
      <c r="R1479" s="68" t="str">
        <f t="shared" si="26"/>
        <v/>
      </c>
      <c r="S1479" s="22"/>
    </row>
    <row r="1480" spans="1:19" ht="18" customHeight="1">
      <c r="A1480" s="85"/>
      <c r="B1480" s="86"/>
      <c r="C1480" s="22"/>
      <c r="D1480" s="85"/>
      <c r="E1480" s="87"/>
      <c r="F1480" s="85"/>
      <c r="G1480" s="22"/>
      <c r="H1480" s="88"/>
      <c r="J1480" s="22"/>
      <c r="M1480" s="89"/>
      <c r="N1480" s="60"/>
      <c r="O1480" s="90"/>
      <c r="P1480" s="91"/>
      <c r="Q1480" s="92"/>
      <c r="R1480" s="68" t="str">
        <f t="shared" si="26"/>
        <v/>
      </c>
      <c r="S1480" s="22"/>
    </row>
    <row r="1481" spans="1:19" ht="18" customHeight="1">
      <c r="A1481" s="85"/>
      <c r="B1481" s="86"/>
      <c r="C1481" s="22"/>
      <c r="D1481" s="85"/>
      <c r="E1481" s="87"/>
      <c r="F1481" s="85"/>
      <c r="G1481" s="22"/>
      <c r="H1481" s="88"/>
      <c r="J1481" s="22"/>
      <c r="M1481" s="89"/>
      <c r="N1481" s="60"/>
      <c r="O1481" s="90"/>
      <c r="P1481" s="91"/>
      <c r="Q1481" s="92"/>
      <c r="R1481" s="68" t="str">
        <f t="shared" si="26"/>
        <v/>
      </c>
      <c r="S1481" s="22"/>
    </row>
    <row r="1482" spans="1:19" ht="18" customHeight="1">
      <c r="A1482" s="85"/>
      <c r="B1482" s="86"/>
      <c r="C1482" s="22"/>
      <c r="D1482" s="85"/>
      <c r="E1482" s="87"/>
      <c r="F1482" s="85"/>
      <c r="G1482" s="22"/>
      <c r="H1482" s="88"/>
      <c r="J1482" s="22"/>
      <c r="M1482" s="89"/>
      <c r="N1482" s="60"/>
      <c r="O1482" s="90"/>
      <c r="P1482" s="91"/>
      <c r="Q1482" s="92"/>
      <c r="R1482" s="68" t="str">
        <f t="shared" si="26"/>
        <v/>
      </c>
      <c r="S1482" s="22"/>
    </row>
    <row r="1483" spans="1:19" ht="18" customHeight="1">
      <c r="A1483" s="85"/>
      <c r="B1483" s="86"/>
      <c r="C1483" s="22"/>
      <c r="D1483" s="85"/>
      <c r="E1483" s="87"/>
      <c r="F1483" s="85"/>
      <c r="G1483" s="22"/>
      <c r="H1483" s="88"/>
      <c r="J1483" s="22"/>
      <c r="M1483" s="89"/>
      <c r="N1483" s="60"/>
      <c r="O1483" s="90"/>
      <c r="P1483" s="91"/>
      <c r="Q1483" s="92"/>
      <c r="R1483" s="68" t="str">
        <f t="shared" si="26"/>
        <v/>
      </c>
      <c r="S1483" s="22"/>
    </row>
    <row r="1484" spans="1:19" ht="18" customHeight="1">
      <c r="A1484" s="85"/>
      <c r="B1484" s="86"/>
      <c r="C1484" s="22"/>
      <c r="D1484" s="85"/>
      <c r="E1484" s="87"/>
      <c r="F1484" s="85"/>
      <c r="G1484" s="22"/>
      <c r="H1484" s="88"/>
      <c r="J1484" s="22"/>
      <c r="M1484" s="89"/>
      <c r="N1484" s="60"/>
      <c r="O1484" s="90"/>
      <c r="P1484" s="91"/>
      <c r="Q1484" s="92"/>
      <c r="R1484" s="68" t="str">
        <f t="shared" si="26"/>
        <v/>
      </c>
      <c r="S1484" s="22"/>
    </row>
    <row r="1485" spans="1:19" ht="18" customHeight="1">
      <c r="A1485" s="85"/>
      <c r="B1485" s="86"/>
      <c r="C1485" s="22"/>
      <c r="D1485" s="85"/>
      <c r="E1485" s="87"/>
      <c r="F1485" s="85"/>
      <c r="G1485" s="22"/>
      <c r="H1485" s="88"/>
      <c r="J1485" s="22"/>
      <c r="M1485" s="89"/>
      <c r="N1485" s="60"/>
      <c r="O1485" s="90"/>
      <c r="P1485" s="91"/>
      <c r="Q1485" s="92"/>
      <c r="R1485" s="68" t="str">
        <f t="shared" si="26"/>
        <v/>
      </c>
      <c r="S1485" s="22"/>
    </row>
    <row r="1486" spans="1:19" ht="18" customHeight="1">
      <c r="A1486" s="85"/>
      <c r="B1486" s="86"/>
      <c r="C1486" s="22"/>
      <c r="D1486" s="85"/>
      <c r="E1486" s="87"/>
      <c r="F1486" s="85"/>
      <c r="G1486" s="22"/>
      <c r="H1486" s="88"/>
      <c r="J1486" s="22"/>
      <c r="M1486" s="89"/>
      <c r="N1486" s="60"/>
      <c r="O1486" s="90"/>
      <c r="P1486" s="91"/>
      <c r="Q1486" s="92"/>
      <c r="R1486" s="68" t="str">
        <f t="shared" si="26"/>
        <v/>
      </c>
      <c r="S1486" s="22"/>
    </row>
    <row r="1487" spans="1:19" ht="18" customHeight="1">
      <c r="A1487" s="85"/>
      <c r="B1487" s="86"/>
      <c r="C1487" s="22"/>
      <c r="D1487" s="85"/>
      <c r="E1487" s="87"/>
      <c r="F1487" s="85"/>
      <c r="G1487" s="22"/>
      <c r="H1487" s="88"/>
      <c r="J1487" s="22"/>
      <c r="M1487" s="89"/>
      <c r="N1487" s="60"/>
      <c r="O1487" s="90"/>
      <c r="P1487" s="91"/>
      <c r="Q1487" s="92"/>
      <c r="R1487" s="68" t="str">
        <f t="shared" si="26"/>
        <v/>
      </c>
      <c r="S1487" s="22"/>
    </row>
    <row r="1488" spans="1:19" ht="18" customHeight="1">
      <c r="A1488" s="85"/>
      <c r="B1488" s="86"/>
      <c r="C1488" s="22"/>
      <c r="D1488" s="85"/>
      <c r="E1488" s="87"/>
      <c r="F1488" s="85"/>
      <c r="G1488" s="22"/>
      <c r="H1488" s="88"/>
      <c r="J1488" s="22"/>
      <c r="M1488" s="89"/>
      <c r="N1488" s="60"/>
      <c r="O1488" s="90"/>
      <c r="P1488" s="91"/>
      <c r="Q1488" s="92"/>
      <c r="R1488" s="68" t="str">
        <f t="shared" si="26"/>
        <v/>
      </c>
      <c r="S1488" s="22"/>
    </row>
    <row r="1489" spans="1:19" ht="18" customHeight="1">
      <c r="A1489" s="85"/>
      <c r="B1489" s="86"/>
      <c r="C1489" s="22"/>
      <c r="D1489" s="85"/>
      <c r="E1489" s="87"/>
      <c r="F1489" s="85"/>
      <c r="G1489" s="22"/>
      <c r="H1489" s="88"/>
      <c r="J1489" s="22"/>
      <c r="M1489" s="89"/>
      <c r="N1489" s="60"/>
      <c r="O1489" s="90"/>
      <c r="P1489" s="91"/>
      <c r="Q1489" s="92"/>
      <c r="R1489" s="68" t="str">
        <f t="shared" si="26"/>
        <v/>
      </c>
      <c r="S1489" s="22"/>
    </row>
    <row r="1490" spans="1:19" ht="18" customHeight="1">
      <c r="A1490" s="85"/>
      <c r="B1490" s="86"/>
      <c r="C1490" s="22"/>
      <c r="D1490" s="85"/>
      <c r="E1490" s="87"/>
      <c r="F1490" s="85"/>
      <c r="G1490" s="22"/>
      <c r="H1490" s="88"/>
      <c r="J1490" s="22"/>
      <c r="M1490" s="89"/>
      <c r="N1490" s="60"/>
      <c r="O1490" s="90"/>
      <c r="P1490" s="91"/>
      <c r="Q1490" s="92"/>
      <c r="R1490" s="68" t="str">
        <f t="shared" si="26"/>
        <v/>
      </c>
      <c r="S1490" s="22"/>
    </row>
    <row r="1491" spans="1:19" ht="18" customHeight="1">
      <c r="A1491" s="85"/>
      <c r="B1491" s="86"/>
      <c r="C1491" s="22"/>
      <c r="D1491" s="85"/>
      <c r="E1491" s="87"/>
      <c r="F1491" s="85"/>
      <c r="G1491" s="22"/>
      <c r="H1491" s="88"/>
      <c r="J1491" s="22"/>
      <c r="M1491" s="89"/>
      <c r="N1491" s="60"/>
      <c r="O1491" s="90"/>
      <c r="P1491" s="91"/>
      <c r="Q1491" s="92"/>
      <c r="R1491" s="68" t="str">
        <f t="shared" si="26"/>
        <v/>
      </c>
      <c r="S1491" s="22"/>
    </row>
    <row r="1492" spans="1:19" ht="18" customHeight="1">
      <c r="A1492" s="85"/>
      <c r="B1492" s="86"/>
      <c r="C1492" s="22"/>
      <c r="D1492" s="85"/>
      <c r="E1492" s="87"/>
      <c r="F1492" s="85"/>
      <c r="G1492" s="22"/>
      <c r="H1492" s="88"/>
      <c r="J1492" s="22"/>
      <c r="M1492" s="89"/>
      <c r="N1492" s="60"/>
      <c r="O1492" s="90"/>
      <c r="P1492" s="91"/>
      <c r="Q1492" s="92"/>
      <c r="R1492" s="68" t="str">
        <f t="shared" si="26"/>
        <v/>
      </c>
      <c r="S1492" s="22"/>
    </row>
    <row r="1493" spans="1:19" ht="18" customHeight="1">
      <c r="A1493" s="85"/>
      <c r="B1493" s="86"/>
      <c r="C1493" s="22"/>
      <c r="D1493" s="85"/>
      <c r="E1493" s="87"/>
      <c r="F1493" s="85"/>
      <c r="G1493" s="22"/>
      <c r="H1493" s="88"/>
      <c r="J1493" s="22"/>
      <c r="M1493" s="89"/>
      <c r="N1493" s="60"/>
      <c r="O1493" s="90"/>
      <c r="P1493" s="91"/>
      <c r="Q1493" s="92"/>
      <c r="R1493" s="68" t="str">
        <f t="shared" si="26"/>
        <v/>
      </c>
      <c r="S1493" s="22"/>
    </row>
    <row r="1494" spans="1:19" ht="18" customHeight="1">
      <c r="A1494" s="85"/>
      <c r="B1494" s="86"/>
      <c r="C1494" s="22"/>
      <c r="D1494" s="85"/>
      <c r="E1494" s="87"/>
      <c r="F1494" s="85"/>
      <c r="G1494" s="22"/>
      <c r="H1494" s="88"/>
      <c r="J1494" s="22"/>
      <c r="M1494" s="89"/>
      <c r="N1494" s="60"/>
      <c r="O1494" s="90"/>
      <c r="P1494" s="91"/>
      <c r="Q1494" s="92"/>
      <c r="R1494" s="68" t="str">
        <f t="shared" si="26"/>
        <v/>
      </c>
      <c r="S1494" s="22"/>
    </row>
    <row r="1495" spans="1:19" ht="18" customHeight="1">
      <c r="A1495" s="85"/>
      <c r="B1495" s="86"/>
      <c r="C1495" s="22"/>
      <c r="D1495" s="85"/>
      <c r="E1495" s="87"/>
      <c r="F1495" s="85"/>
      <c r="G1495" s="22"/>
      <c r="H1495" s="88"/>
      <c r="J1495" s="22"/>
      <c r="M1495" s="89"/>
      <c r="N1495" s="60"/>
      <c r="O1495" s="90"/>
      <c r="P1495" s="91"/>
      <c r="Q1495" s="92"/>
      <c r="R1495" s="68" t="str">
        <f t="shared" si="26"/>
        <v/>
      </c>
      <c r="S1495" s="22"/>
    </row>
    <row r="1496" spans="1:19" ht="18" customHeight="1">
      <c r="A1496" s="85"/>
      <c r="B1496" s="86"/>
      <c r="C1496" s="22"/>
      <c r="D1496" s="85"/>
      <c r="E1496" s="87"/>
      <c r="F1496" s="85"/>
      <c r="G1496" s="22"/>
      <c r="H1496" s="88"/>
      <c r="J1496" s="22"/>
      <c r="M1496" s="89"/>
      <c r="N1496" s="60"/>
      <c r="O1496" s="90"/>
      <c r="P1496" s="91"/>
      <c r="Q1496" s="92"/>
      <c r="R1496" s="68" t="str">
        <f t="shared" si="26"/>
        <v/>
      </c>
      <c r="S1496" s="22"/>
    </row>
    <row r="1497" spans="1:19" ht="18" customHeight="1">
      <c r="A1497" s="85"/>
      <c r="B1497" s="86"/>
      <c r="C1497" s="22"/>
      <c r="D1497" s="85"/>
      <c r="E1497" s="87"/>
      <c r="F1497" s="85"/>
      <c r="G1497" s="22"/>
      <c r="H1497" s="88"/>
      <c r="J1497" s="22"/>
      <c r="M1497" s="89"/>
      <c r="N1497" s="60"/>
      <c r="O1497" s="90"/>
      <c r="P1497" s="91"/>
      <c r="Q1497" s="92"/>
      <c r="R1497" s="68" t="str">
        <f t="shared" si="26"/>
        <v/>
      </c>
      <c r="S1497" s="22"/>
    </row>
    <row r="1498" spans="1:19" ht="18" customHeight="1">
      <c r="A1498" s="85"/>
      <c r="B1498" s="86"/>
      <c r="C1498" s="22"/>
      <c r="D1498" s="85"/>
      <c r="E1498" s="87"/>
      <c r="F1498" s="85"/>
      <c r="G1498" s="22"/>
      <c r="H1498" s="88"/>
      <c r="J1498" s="22"/>
      <c r="M1498" s="89"/>
      <c r="N1498" s="60"/>
      <c r="O1498" s="90"/>
      <c r="P1498" s="91"/>
      <c r="Q1498" s="92"/>
      <c r="R1498" s="68" t="str">
        <f t="shared" si="26"/>
        <v/>
      </c>
      <c r="S1498" s="22"/>
    </row>
    <row r="1499" spans="1:19" ht="18" customHeight="1">
      <c r="A1499" s="85"/>
      <c r="B1499" s="86"/>
      <c r="C1499" s="22"/>
      <c r="D1499" s="85"/>
      <c r="E1499" s="87"/>
      <c r="F1499" s="85"/>
      <c r="G1499" s="22"/>
      <c r="H1499" s="88"/>
      <c r="J1499" s="22"/>
      <c r="M1499" s="89"/>
      <c r="N1499" s="60"/>
      <c r="O1499" s="90"/>
      <c r="P1499" s="91"/>
      <c r="Q1499" s="92"/>
      <c r="R1499" s="68" t="str">
        <f t="shared" si="26"/>
        <v/>
      </c>
      <c r="S1499" s="22"/>
    </row>
    <row r="1500" spans="1:19" ht="18" customHeight="1">
      <c r="A1500" s="85"/>
      <c r="B1500" s="86"/>
      <c r="C1500" s="22"/>
      <c r="D1500" s="85"/>
      <c r="E1500" s="87"/>
      <c r="F1500" s="85"/>
      <c r="G1500" s="22"/>
      <c r="H1500" s="88"/>
      <c r="J1500" s="22"/>
      <c r="M1500" s="89"/>
      <c r="N1500" s="60"/>
      <c r="O1500" s="90"/>
      <c r="P1500" s="91"/>
      <c r="Q1500" s="92"/>
      <c r="R1500" s="68" t="str">
        <f t="shared" si="26"/>
        <v/>
      </c>
      <c r="S1500" s="22"/>
    </row>
    <row r="1501" spans="1:19" ht="18" customHeight="1">
      <c r="A1501" s="85"/>
      <c r="B1501" s="86"/>
      <c r="C1501" s="22"/>
      <c r="D1501" s="85"/>
      <c r="E1501" s="87"/>
      <c r="F1501" s="85"/>
      <c r="G1501" s="22"/>
      <c r="H1501" s="88"/>
      <c r="J1501" s="22"/>
      <c r="M1501" s="89"/>
      <c r="N1501" s="60"/>
      <c r="O1501" s="90"/>
      <c r="P1501" s="91"/>
      <c r="Q1501" s="92"/>
      <c r="R1501" s="68" t="str">
        <f t="shared" si="26"/>
        <v/>
      </c>
      <c r="S1501" s="22"/>
    </row>
    <row r="1502" spans="1:19" ht="18" customHeight="1">
      <c r="A1502" s="85"/>
      <c r="B1502" s="86"/>
      <c r="C1502" s="22"/>
      <c r="D1502" s="85"/>
      <c r="E1502" s="87"/>
      <c r="F1502" s="85"/>
      <c r="G1502" s="22"/>
      <c r="H1502" s="88"/>
      <c r="J1502" s="22"/>
      <c r="M1502" s="89"/>
      <c r="N1502" s="60"/>
      <c r="O1502" s="90"/>
      <c r="P1502" s="91"/>
      <c r="Q1502" s="92"/>
      <c r="R1502" s="68" t="str">
        <f t="shared" si="26"/>
        <v/>
      </c>
      <c r="S1502" s="22"/>
    </row>
    <row r="1503" spans="1:19" ht="18" customHeight="1">
      <c r="A1503" s="85"/>
      <c r="B1503" s="86"/>
      <c r="C1503" s="22"/>
      <c r="D1503" s="85"/>
      <c r="E1503" s="87"/>
      <c r="F1503" s="85"/>
      <c r="G1503" s="22"/>
      <c r="H1503" s="88"/>
      <c r="J1503" s="22"/>
      <c r="M1503" s="89"/>
      <c r="N1503" s="60"/>
      <c r="O1503" s="90"/>
      <c r="P1503" s="91"/>
      <c r="Q1503" s="92"/>
      <c r="R1503" s="68" t="str">
        <f t="shared" si="26"/>
        <v/>
      </c>
      <c r="S1503" s="22"/>
    </row>
    <row r="1504" spans="1:19" ht="18" customHeight="1">
      <c r="A1504" s="85"/>
      <c r="B1504" s="86"/>
      <c r="C1504" s="22"/>
      <c r="D1504" s="85"/>
      <c r="E1504" s="87"/>
      <c r="F1504" s="85"/>
      <c r="G1504" s="22"/>
      <c r="H1504" s="88"/>
      <c r="J1504" s="22"/>
      <c r="M1504" s="89"/>
      <c r="N1504" s="60"/>
      <c r="O1504" s="90"/>
      <c r="P1504" s="91"/>
      <c r="Q1504" s="92"/>
      <c r="R1504" s="68" t="str">
        <f t="shared" si="26"/>
        <v/>
      </c>
      <c r="S1504" s="22"/>
    </row>
    <row r="1505" spans="1:19" ht="18" customHeight="1">
      <c r="A1505" s="85"/>
      <c r="B1505" s="86"/>
      <c r="C1505" s="22"/>
      <c r="D1505" s="85"/>
      <c r="E1505" s="87"/>
      <c r="F1505" s="85"/>
      <c r="G1505" s="22"/>
      <c r="H1505" s="88"/>
      <c r="J1505" s="22"/>
      <c r="M1505" s="89"/>
      <c r="N1505" s="60"/>
      <c r="O1505" s="90"/>
      <c r="P1505" s="91"/>
      <c r="Q1505" s="92"/>
      <c r="R1505" s="68" t="str">
        <f t="shared" si="26"/>
        <v/>
      </c>
      <c r="S1505" s="22"/>
    </row>
    <row r="1506" spans="1:19" ht="18" customHeight="1">
      <c r="A1506" s="85"/>
      <c r="B1506" s="86"/>
      <c r="C1506" s="22"/>
      <c r="D1506" s="85"/>
      <c r="E1506" s="87"/>
      <c r="F1506" s="85"/>
      <c r="G1506" s="22"/>
      <c r="H1506" s="88"/>
      <c r="J1506" s="22"/>
      <c r="M1506" s="89"/>
      <c r="N1506" s="60"/>
      <c r="O1506" s="90"/>
      <c r="P1506" s="91"/>
      <c r="Q1506" s="92"/>
      <c r="R1506" s="68" t="str">
        <f t="shared" si="26"/>
        <v/>
      </c>
      <c r="S1506" s="22"/>
    </row>
    <row r="1507" spans="1:19" ht="18" customHeight="1">
      <c r="A1507" s="85"/>
      <c r="B1507" s="86"/>
      <c r="C1507" s="22"/>
      <c r="D1507" s="85"/>
      <c r="E1507" s="87"/>
      <c r="F1507" s="85"/>
      <c r="G1507" s="22"/>
      <c r="H1507" s="88"/>
      <c r="J1507" s="22"/>
      <c r="M1507" s="89"/>
      <c r="N1507" s="60"/>
      <c r="O1507" s="90"/>
      <c r="P1507" s="91"/>
      <c r="Q1507" s="92"/>
      <c r="R1507" s="68" t="str">
        <f t="shared" si="26"/>
        <v/>
      </c>
      <c r="S1507" s="22"/>
    </row>
    <row r="1508" spans="1:19" ht="18" customHeight="1">
      <c r="A1508" s="85"/>
      <c r="B1508" s="86"/>
      <c r="C1508" s="22"/>
      <c r="D1508" s="85"/>
      <c r="E1508" s="87"/>
      <c r="F1508" s="85"/>
      <c r="G1508" s="22"/>
      <c r="H1508" s="88"/>
      <c r="J1508" s="22"/>
      <c r="M1508" s="89"/>
      <c r="N1508" s="60"/>
      <c r="O1508" s="90"/>
      <c r="P1508" s="91"/>
      <c r="Q1508" s="92"/>
      <c r="R1508" s="68" t="str">
        <f t="shared" si="26"/>
        <v/>
      </c>
      <c r="S1508" s="22"/>
    </row>
    <row r="1509" spans="1:19" ht="18" customHeight="1">
      <c r="A1509" s="85"/>
      <c r="B1509" s="86"/>
      <c r="C1509" s="22"/>
      <c r="D1509" s="85"/>
      <c r="E1509" s="87"/>
      <c r="F1509" s="85"/>
      <c r="G1509" s="22"/>
      <c r="H1509" s="88"/>
      <c r="J1509" s="22"/>
      <c r="M1509" s="89"/>
      <c r="N1509" s="60"/>
      <c r="O1509" s="90"/>
      <c r="P1509" s="91"/>
      <c r="Q1509" s="92"/>
      <c r="R1509" s="68" t="str">
        <f t="shared" si="26"/>
        <v/>
      </c>
      <c r="S1509" s="22"/>
    </row>
    <row r="1510" spans="1:19" ht="18" customHeight="1">
      <c r="A1510" s="85"/>
      <c r="B1510" s="86"/>
      <c r="C1510" s="22"/>
      <c r="D1510" s="85"/>
      <c r="E1510" s="87"/>
      <c r="F1510" s="85"/>
      <c r="G1510" s="22"/>
      <c r="H1510" s="88"/>
      <c r="J1510" s="22"/>
      <c r="M1510" s="89"/>
      <c r="N1510" s="60"/>
      <c r="O1510" s="90"/>
      <c r="P1510" s="91"/>
      <c r="Q1510" s="92"/>
      <c r="R1510" s="68" t="str">
        <f t="shared" si="26"/>
        <v/>
      </c>
      <c r="S1510" s="22"/>
    </row>
    <row r="1511" spans="1:19" ht="18" customHeight="1">
      <c r="A1511" s="85"/>
      <c r="B1511" s="86"/>
      <c r="C1511" s="22"/>
      <c r="D1511" s="85"/>
      <c r="E1511" s="87"/>
      <c r="F1511" s="85"/>
      <c r="G1511" s="22"/>
      <c r="H1511" s="88"/>
      <c r="J1511" s="22"/>
      <c r="M1511" s="89"/>
      <c r="N1511" s="60"/>
      <c r="O1511" s="90"/>
      <c r="P1511" s="91"/>
      <c r="Q1511" s="92"/>
      <c r="R1511" s="68" t="str">
        <f t="shared" si="26"/>
        <v/>
      </c>
      <c r="S1511" s="22"/>
    </row>
    <row r="1512" spans="1:19" ht="18" customHeight="1">
      <c r="A1512" s="85"/>
      <c r="B1512" s="86"/>
      <c r="C1512" s="22"/>
      <c r="D1512" s="85"/>
      <c r="E1512" s="87"/>
      <c r="F1512" s="85"/>
      <c r="G1512" s="22"/>
      <c r="H1512" s="88"/>
      <c r="J1512" s="22"/>
      <c r="M1512" s="89"/>
      <c r="N1512" s="60"/>
      <c r="O1512" s="90"/>
      <c r="P1512" s="91"/>
      <c r="Q1512" s="92"/>
      <c r="R1512" s="68" t="str">
        <f t="shared" si="26"/>
        <v/>
      </c>
      <c r="S1512" s="22"/>
    </row>
    <row r="1513" spans="1:19" ht="18" customHeight="1">
      <c r="A1513" s="85"/>
      <c r="B1513" s="86"/>
      <c r="C1513" s="22"/>
      <c r="D1513" s="85"/>
      <c r="E1513" s="87"/>
      <c r="F1513" s="85"/>
      <c r="G1513" s="22"/>
      <c r="H1513" s="88"/>
      <c r="J1513" s="22"/>
      <c r="M1513" s="89"/>
      <c r="N1513" s="60"/>
      <c r="O1513" s="90"/>
      <c r="P1513" s="91"/>
      <c r="Q1513" s="92"/>
      <c r="R1513" s="68" t="str">
        <f t="shared" si="26"/>
        <v/>
      </c>
      <c r="S1513" s="22"/>
    </row>
    <row r="1514" spans="1:19" ht="18" customHeight="1">
      <c r="A1514" s="85"/>
      <c r="B1514" s="86"/>
      <c r="C1514" s="22"/>
      <c r="D1514" s="85"/>
      <c r="E1514" s="87"/>
      <c r="F1514" s="85"/>
      <c r="G1514" s="22"/>
      <c r="H1514" s="88"/>
      <c r="J1514" s="22"/>
      <c r="M1514" s="89"/>
      <c r="N1514" s="60"/>
      <c r="O1514" s="90"/>
      <c r="P1514" s="91"/>
      <c r="Q1514" s="92"/>
      <c r="R1514" s="68" t="str">
        <f t="shared" si="26"/>
        <v/>
      </c>
      <c r="S1514" s="22"/>
    </row>
    <row r="1515" spans="1:19" ht="18" customHeight="1">
      <c r="A1515" s="85"/>
      <c r="B1515" s="86"/>
      <c r="C1515" s="22"/>
      <c r="D1515" s="85"/>
      <c r="E1515" s="87"/>
      <c r="F1515" s="85"/>
      <c r="G1515" s="22"/>
      <c r="H1515" s="88"/>
      <c r="J1515" s="22"/>
      <c r="M1515" s="89"/>
      <c r="N1515" s="60"/>
      <c r="O1515" s="90"/>
      <c r="P1515" s="91"/>
      <c r="Q1515" s="92"/>
      <c r="R1515" s="68" t="str">
        <f t="shared" si="26"/>
        <v/>
      </c>
      <c r="S1515" s="22"/>
    </row>
    <row r="1516" spans="1:19" ht="18" customHeight="1">
      <c r="A1516" s="85"/>
      <c r="B1516" s="86"/>
      <c r="C1516" s="22"/>
      <c r="D1516" s="85"/>
      <c r="E1516" s="87"/>
      <c r="F1516" s="85"/>
      <c r="G1516" s="22"/>
      <c r="H1516" s="88"/>
      <c r="J1516" s="22"/>
      <c r="M1516" s="89"/>
      <c r="N1516" s="60"/>
      <c r="O1516" s="90"/>
      <c r="P1516" s="91"/>
      <c r="Q1516" s="92"/>
      <c r="R1516" s="68" t="str">
        <f t="shared" si="26"/>
        <v/>
      </c>
      <c r="S1516" s="22"/>
    </row>
    <row r="1517" spans="1:19" ht="18" customHeight="1">
      <c r="A1517" s="85"/>
      <c r="B1517" s="86"/>
      <c r="C1517" s="22"/>
      <c r="D1517" s="85"/>
      <c r="E1517" s="87"/>
      <c r="F1517" s="85"/>
      <c r="G1517" s="22"/>
      <c r="H1517" s="88"/>
      <c r="J1517" s="22"/>
      <c r="M1517" s="89"/>
      <c r="N1517" s="60"/>
      <c r="O1517" s="90"/>
      <c r="P1517" s="91"/>
      <c r="Q1517" s="92"/>
      <c r="R1517" s="68" t="str">
        <f t="shared" si="26"/>
        <v/>
      </c>
      <c r="S1517" s="22"/>
    </row>
    <row r="1518" spans="1:19" ht="18" customHeight="1">
      <c r="A1518" s="85"/>
      <c r="B1518" s="86"/>
      <c r="C1518" s="22"/>
      <c r="D1518" s="85"/>
      <c r="E1518" s="87"/>
      <c r="F1518" s="85"/>
      <c r="G1518" s="22"/>
      <c r="H1518" s="88"/>
      <c r="J1518" s="22"/>
      <c r="M1518" s="89"/>
      <c r="N1518" s="60"/>
      <c r="O1518" s="90"/>
      <c r="P1518" s="91"/>
      <c r="Q1518" s="92"/>
      <c r="R1518" s="68" t="str">
        <f t="shared" si="26"/>
        <v/>
      </c>
      <c r="S1518" s="22"/>
    </row>
    <row r="1519" spans="1:19" ht="18" customHeight="1">
      <c r="A1519" s="85"/>
      <c r="B1519" s="86"/>
      <c r="C1519" s="22"/>
      <c r="D1519" s="85"/>
      <c r="E1519" s="87"/>
      <c r="F1519" s="85"/>
      <c r="G1519" s="22"/>
      <c r="H1519" s="88"/>
      <c r="J1519" s="22"/>
      <c r="M1519" s="89"/>
      <c r="N1519" s="60"/>
      <c r="O1519" s="90"/>
      <c r="P1519" s="91"/>
      <c r="Q1519" s="92"/>
      <c r="R1519" s="68" t="str">
        <f t="shared" si="26"/>
        <v/>
      </c>
      <c r="S1519" s="22"/>
    </row>
    <row r="1520" spans="1:19" ht="18" customHeight="1">
      <c r="A1520" s="85"/>
      <c r="B1520" s="86"/>
      <c r="C1520" s="22"/>
      <c r="D1520" s="85"/>
      <c r="E1520" s="87"/>
      <c r="F1520" s="85"/>
      <c r="G1520" s="22"/>
      <c r="H1520" s="88"/>
      <c r="J1520" s="22"/>
      <c r="M1520" s="89"/>
      <c r="N1520" s="60"/>
      <c r="O1520" s="90"/>
      <c r="P1520" s="91"/>
      <c r="Q1520" s="92"/>
      <c r="R1520" s="68" t="str">
        <f t="shared" si="26"/>
        <v/>
      </c>
      <c r="S1520" s="22"/>
    </row>
    <row r="1521" spans="1:19" ht="18" customHeight="1">
      <c r="A1521" s="85"/>
      <c r="B1521" s="86"/>
      <c r="C1521" s="22"/>
      <c r="D1521" s="85"/>
      <c r="E1521" s="87"/>
      <c r="F1521" s="85"/>
      <c r="G1521" s="22"/>
      <c r="H1521" s="88"/>
      <c r="J1521" s="22"/>
      <c r="M1521" s="89"/>
      <c r="N1521" s="60"/>
      <c r="O1521" s="90"/>
      <c r="P1521" s="91"/>
      <c r="Q1521" s="92"/>
      <c r="R1521" s="68" t="str">
        <f t="shared" si="26"/>
        <v/>
      </c>
      <c r="S1521" s="22"/>
    </row>
    <row r="1522" spans="1:19" ht="18" customHeight="1">
      <c r="A1522" s="85"/>
      <c r="B1522" s="86"/>
      <c r="C1522" s="22"/>
      <c r="D1522" s="85"/>
      <c r="E1522" s="87"/>
      <c r="F1522" s="85"/>
      <c r="G1522" s="22"/>
      <c r="H1522" s="88"/>
      <c r="J1522" s="22"/>
      <c r="M1522" s="89"/>
      <c r="N1522" s="60"/>
      <c r="O1522" s="90"/>
      <c r="P1522" s="91"/>
      <c r="Q1522" s="92"/>
      <c r="R1522" s="68" t="str">
        <f t="shared" si="26"/>
        <v/>
      </c>
      <c r="S1522" s="22"/>
    </row>
    <row r="1523" spans="1:19" ht="18" customHeight="1">
      <c r="A1523" s="85"/>
      <c r="B1523" s="86"/>
      <c r="C1523" s="22"/>
      <c r="D1523" s="85"/>
      <c r="E1523" s="87"/>
      <c r="F1523" s="85"/>
      <c r="G1523" s="22"/>
      <c r="H1523" s="88"/>
      <c r="J1523" s="22"/>
      <c r="M1523" s="89"/>
      <c r="N1523" s="60"/>
      <c r="O1523" s="90"/>
      <c r="P1523" s="91"/>
      <c r="Q1523" s="92"/>
      <c r="R1523" s="68" t="str">
        <f t="shared" si="26"/>
        <v/>
      </c>
      <c r="S1523" s="22"/>
    </row>
    <row r="1524" spans="1:19" ht="18" customHeight="1">
      <c r="A1524" s="85"/>
      <c r="B1524" s="86"/>
      <c r="C1524" s="22"/>
      <c r="D1524" s="85"/>
      <c r="E1524" s="87"/>
      <c r="F1524" s="85"/>
      <c r="G1524" s="22"/>
      <c r="H1524" s="88"/>
      <c r="J1524" s="22"/>
      <c r="M1524" s="89"/>
      <c r="N1524" s="60"/>
      <c r="O1524" s="90"/>
      <c r="P1524" s="91"/>
      <c r="Q1524" s="92"/>
      <c r="R1524" s="68" t="str">
        <f t="shared" ref="R1524:R1587" si="27">IF(SUM(Q1524)&gt;0,SUM(Q1524-P1524),"")</f>
        <v/>
      </c>
      <c r="S1524" s="22"/>
    </row>
    <row r="1525" spans="1:19" ht="18" customHeight="1">
      <c r="A1525" s="85"/>
      <c r="B1525" s="86"/>
      <c r="C1525" s="22"/>
      <c r="D1525" s="85"/>
      <c r="E1525" s="87"/>
      <c r="F1525" s="85"/>
      <c r="G1525" s="22"/>
      <c r="H1525" s="88"/>
      <c r="J1525" s="22"/>
      <c r="M1525" s="89"/>
      <c r="N1525" s="60"/>
      <c r="O1525" s="90"/>
      <c r="P1525" s="91"/>
      <c r="Q1525" s="92"/>
      <c r="R1525" s="68" t="str">
        <f t="shared" si="27"/>
        <v/>
      </c>
      <c r="S1525" s="22"/>
    </row>
    <row r="1526" spans="1:19" ht="18" customHeight="1">
      <c r="A1526" s="85"/>
      <c r="B1526" s="86"/>
      <c r="C1526" s="22"/>
      <c r="D1526" s="85"/>
      <c r="E1526" s="87"/>
      <c r="F1526" s="85"/>
      <c r="G1526" s="22"/>
      <c r="H1526" s="88"/>
      <c r="J1526" s="22"/>
      <c r="M1526" s="89"/>
      <c r="N1526" s="60"/>
      <c r="O1526" s="90"/>
      <c r="P1526" s="91"/>
      <c r="Q1526" s="92"/>
      <c r="R1526" s="68" t="str">
        <f t="shared" si="27"/>
        <v/>
      </c>
      <c r="S1526" s="22"/>
    </row>
    <row r="1527" spans="1:19" ht="18" customHeight="1">
      <c r="A1527" s="85"/>
      <c r="B1527" s="86"/>
      <c r="C1527" s="22"/>
      <c r="D1527" s="85"/>
      <c r="E1527" s="87"/>
      <c r="F1527" s="85"/>
      <c r="G1527" s="22"/>
      <c r="H1527" s="88"/>
      <c r="J1527" s="22"/>
      <c r="M1527" s="89"/>
      <c r="N1527" s="60"/>
      <c r="O1527" s="90"/>
      <c r="P1527" s="91"/>
      <c r="Q1527" s="92"/>
      <c r="R1527" s="68" t="str">
        <f t="shared" si="27"/>
        <v/>
      </c>
      <c r="S1527" s="22"/>
    </row>
    <row r="1528" spans="1:19" ht="18" customHeight="1">
      <c r="A1528" s="85"/>
      <c r="B1528" s="86"/>
      <c r="C1528" s="22"/>
      <c r="D1528" s="85"/>
      <c r="E1528" s="87"/>
      <c r="F1528" s="85"/>
      <c r="G1528" s="22"/>
      <c r="H1528" s="88"/>
      <c r="J1528" s="22"/>
      <c r="M1528" s="89"/>
      <c r="N1528" s="60"/>
      <c r="O1528" s="90"/>
      <c r="P1528" s="91"/>
      <c r="Q1528" s="92"/>
      <c r="R1528" s="68" t="str">
        <f t="shared" si="27"/>
        <v/>
      </c>
      <c r="S1528" s="22"/>
    </row>
    <row r="1529" spans="1:19" ht="18" customHeight="1">
      <c r="A1529" s="85"/>
      <c r="B1529" s="86"/>
      <c r="C1529" s="22"/>
      <c r="D1529" s="85"/>
      <c r="E1529" s="87"/>
      <c r="F1529" s="85"/>
      <c r="G1529" s="22"/>
      <c r="H1529" s="88"/>
      <c r="J1529" s="22"/>
      <c r="M1529" s="89"/>
      <c r="N1529" s="60"/>
      <c r="O1529" s="90"/>
      <c r="P1529" s="91"/>
      <c r="Q1529" s="92"/>
      <c r="R1529" s="68" t="str">
        <f t="shared" si="27"/>
        <v/>
      </c>
      <c r="S1529" s="22"/>
    </row>
    <row r="1530" spans="1:19" ht="18" customHeight="1">
      <c r="A1530" s="85"/>
      <c r="B1530" s="86"/>
      <c r="C1530" s="22"/>
      <c r="D1530" s="85"/>
      <c r="E1530" s="87"/>
      <c r="F1530" s="85"/>
      <c r="G1530" s="22"/>
      <c r="H1530" s="88"/>
      <c r="J1530" s="22"/>
      <c r="M1530" s="89"/>
      <c r="N1530" s="60"/>
      <c r="O1530" s="90"/>
      <c r="P1530" s="91"/>
      <c r="Q1530" s="92"/>
      <c r="R1530" s="68" t="str">
        <f t="shared" si="27"/>
        <v/>
      </c>
      <c r="S1530" s="22"/>
    </row>
    <row r="1531" spans="1:19" ht="18" customHeight="1">
      <c r="A1531" s="85"/>
      <c r="B1531" s="86"/>
      <c r="C1531" s="22"/>
      <c r="D1531" s="85"/>
      <c r="E1531" s="87"/>
      <c r="F1531" s="85"/>
      <c r="G1531" s="22"/>
      <c r="H1531" s="88"/>
      <c r="J1531" s="22"/>
      <c r="M1531" s="89"/>
      <c r="N1531" s="60"/>
      <c r="O1531" s="90"/>
      <c r="P1531" s="91"/>
      <c r="Q1531" s="92"/>
      <c r="R1531" s="68" t="str">
        <f t="shared" si="27"/>
        <v/>
      </c>
      <c r="S1531" s="22"/>
    </row>
    <row r="1532" spans="1:19" ht="18" customHeight="1">
      <c r="A1532" s="85"/>
      <c r="B1532" s="86"/>
      <c r="C1532" s="22"/>
      <c r="D1532" s="85"/>
      <c r="E1532" s="87"/>
      <c r="F1532" s="85"/>
      <c r="G1532" s="22"/>
      <c r="H1532" s="88"/>
      <c r="J1532" s="22"/>
      <c r="M1532" s="89"/>
      <c r="N1532" s="60"/>
      <c r="O1532" s="90"/>
      <c r="P1532" s="91"/>
      <c r="Q1532" s="92"/>
      <c r="R1532" s="68" t="str">
        <f t="shared" si="27"/>
        <v/>
      </c>
      <c r="S1532" s="22"/>
    </row>
    <row r="1533" spans="1:19" ht="18" customHeight="1">
      <c r="A1533" s="85"/>
      <c r="B1533" s="86"/>
      <c r="C1533" s="22"/>
      <c r="D1533" s="85"/>
      <c r="E1533" s="87"/>
      <c r="F1533" s="85"/>
      <c r="G1533" s="22"/>
      <c r="H1533" s="88"/>
      <c r="J1533" s="22"/>
      <c r="M1533" s="89"/>
      <c r="N1533" s="60"/>
      <c r="O1533" s="90"/>
      <c r="P1533" s="91"/>
      <c r="Q1533" s="92"/>
      <c r="R1533" s="68" t="str">
        <f t="shared" si="27"/>
        <v/>
      </c>
      <c r="S1533" s="22"/>
    </row>
    <row r="1534" spans="1:19" ht="18" customHeight="1">
      <c r="A1534" s="85"/>
      <c r="B1534" s="86"/>
      <c r="C1534" s="22"/>
      <c r="D1534" s="85"/>
      <c r="E1534" s="87"/>
      <c r="F1534" s="85"/>
      <c r="G1534" s="22"/>
      <c r="H1534" s="88"/>
      <c r="J1534" s="22"/>
      <c r="M1534" s="89"/>
      <c r="N1534" s="60"/>
      <c r="O1534" s="90"/>
      <c r="P1534" s="91"/>
      <c r="Q1534" s="92"/>
      <c r="R1534" s="68" t="str">
        <f t="shared" si="27"/>
        <v/>
      </c>
      <c r="S1534" s="22"/>
    </row>
    <row r="1535" spans="1:19" ht="18" customHeight="1">
      <c r="A1535" s="85"/>
      <c r="B1535" s="86"/>
      <c r="C1535" s="22"/>
      <c r="D1535" s="85"/>
      <c r="E1535" s="87"/>
      <c r="F1535" s="85"/>
      <c r="G1535" s="22"/>
      <c r="H1535" s="88"/>
      <c r="J1535" s="22"/>
      <c r="M1535" s="89"/>
      <c r="N1535" s="60"/>
      <c r="O1535" s="90"/>
      <c r="P1535" s="91"/>
      <c r="Q1535" s="92"/>
      <c r="R1535" s="68" t="str">
        <f t="shared" si="27"/>
        <v/>
      </c>
      <c r="S1535" s="22"/>
    </row>
    <row r="1536" spans="1:19" ht="18" customHeight="1">
      <c r="A1536" s="85"/>
      <c r="B1536" s="86"/>
      <c r="C1536" s="22"/>
      <c r="D1536" s="85"/>
      <c r="E1536" s="87"/>
      <c r="F1536" s="85"/>
      <c r="G1536" s="22"/>
      <c r="H1536" s="88"/>
      <c r="J1536" s="22"/>
      <c r="M1536" s="89"/>
      <c r="N1536" s="60"/>
      <c r="O1536" s="90"/>
      <c r="P1536" s="91"/>
      <c r="Q1536" s="92"/>
      <c r="R1536" s="68" t="str">
        <f t="shared" si="27"/>
        <v/>
      </c>
      <c r="S1536" s="22"/>
    </row>
    <row r="1537" spans="1:19" ht="18" customHeight="1">
      <c r="A1537" s="85"/>
      <c r="B1537" s="86"/>
      <c r="C1537" s="22"/>
      <c r="D1537" s="85"/>
      <c r="E1537" s="87"/>
      <c r="F1537" s="85"/>
      <c r="G1537" s="22"/>
      <c r="H1537" s="88"/>
      <c r="J1537" s="22"/>
      <c r="M1537" s="89"/>
      <c r="N1537" s="60"/>
      <c r="O1537" s="90"/>
      <c r="P1537" s="91"/>
      <c r="Q1537" s="92"/>
      <c r="R1537" s="68" t="str">
        <f t="shared" si="27"/>
        <v/>
      </c>
      <c r="S1537" s="22"/>
    </row>
    <row r="1538" spans="1:19" ht="18" customHeight="1">
      <c r="A1538" s="85"/>
      <c r="B1538" s="86"/>
      <c r="C1538" s="22"/>
      <c r="D1538" s="85"/>
      <c r="E1538" s="87"/>
      <c r="F1538" s="85"/>
      <c r="G1538" s="22"/>
      <c r="H1538" s="88"/>
      <c r="J1538" s="22"/>
      <c r="M1538" s="89"/>
      <c r="N1538" s="60"/>
      <c r="O1538" s="90"/>
      <c r="P1538" s="91"/>
      <c r="Q1538" s="92"/>
      <c r="R1538" s="68" t="str">
        <f t="shared" si="27"/>
        <v/>
      </c>
      <c r="S1538" s="22"/>
    </row>
    <row r="1539" spans="1:19" ht="18" customHeight="1">
      <c r="A1539" s="85"/>
      <c r="B1539" s="86"/>
      <c r="C1539" s="22"/>
      <c r="D1539" s="85"/>
      <c r="E1539" s="87"/>
      <c r="F1539" s="85"/>
      <c r="G1539" s="22"/>
      <c r="H1539" s="88"/>
      <c r="J1539" s="22"/>
      <c r="M1539" s="89"/>
      <c r="N1539" s="60"/>
      <c r="O1539" s="90"/>
      <c r="P1539" s="91"/>
      <c r="Q1539" s="92"/>
      <c r="R1539" s="68" t="str">
        <f t="shared" si="27"/>
        <v/>
      </c>
      <c r="S1539" s="22"/>
    </row>
    <row r="1540" spans="1:19" ht="18" customHeight="1">
      <c r="A1540" s="85"/>
      <c r="B1540" s="86"/>
      <c r="C1540" s="22"/>
      <c r="D1540" s="85"/>
      <c r="E1540" s="87"/>
      <c r="F1540" s="85"/>
      <c r="G1540" s="22"/>
      <c r="H1540" s="88"/>
      <c r="J1540" s="22"/>
      <c r="M1540" s="89"/>
      <c r="N1540" s="60"/>
      <c r="O1540" s="90"/>
      <c r="P1540" s="91"/>
      <c r="Q1540" s="92"/>
      <c r="R1540" s="68" t="str">
        <f t="shared" si="27"/>
        <v/>
      </c>
      <c r="S1540" s="22"/>
    </row>
    <row r="1541" spans="1:19" ht="18" customHeight="1">
      <c r="A1541" s="85"/>
      <c r="B1541" s="86"/>
      <c r="C1541" s="22"/>
      <c r="D1541" s="85"/>
      <c r="E1541" s="87"/>
      <c r="F1541" s="85"/>
      <c r="G1541" s="22"/>
      <c r="H1541" s="88"/>
      <c r="J1541" s="22"/>
      <c r="M1541" s="89"/>
      <c r="N1541" s="60"/>
      <c r="O1541" s="90"/>
      <c r="P1541" s="91"/>
      <c r="Q1541" s="92"/>
      <c r="R1541" s="68" t="str">
        <f t="shared" si="27"/>
        <v/>
      </c>
      <c r="S1541" s="22"/>
    </row>
    <row r="1542" spans="1:19" ht="18" customHeight="1">
      <c r="A1542" s="85"/>
      <c r="B1542" s="86"/>
      <c r="C1542" s="22"/>
      <c r="D1542" s="85"/>
      <c r="E1542" s="87"/>
      <c r="F1542" s="85"/>
      <c r="G1542" s="22"/>
      <c r="H1542" s="88"/>
      <c r="J1542" s="22"/>
      <c r="M1542" s="89"/>
      <c r="N1542" s="60"/>
      <c r="O1542" s="90"/>
      <c r="P1542" s="91"/>
      <c r="Q1542" s="92"/>
      <c r="R1542" s="68" t="str">
        <f t="shared" si="27"/>
        <v/>
      </c>
      <c r="S1542" s="22"/>
    </row>
    <row r="1543" spans="1:19" ht="18" customHeight="1">
      <c r="A1543" s="85"/>
      <c r="B1543" s="86"/>
      <c r="C1543" s="22"/>
      <c r="D1543" s="85"/>
      <c r="E1543" s="87"/>
      <c r="F1543" s="85"/>
      <c r="G1543" s="22"/>
      <c r="H1543" s="88"/>
      <c r="J1543" s="22"/>
      <c r="M1543" s="89"/>
      <c r="N1543" s="60"/>
      <c r="O1543" s="90"/>
      <c r="P1543" s="91"/>
      <c r="Q1543" s="92"/>
      <c r="R1543" s="68" t="str">
        <f t="shared" si="27"/>
        <v/>
      </c>
      <c r="S1543" s="22"/>
    </row>
    <row r="1544" spans="1:19" ht="18" customHeight="1">
      <c r="A1544" s="85"/>
      <c r="B1544" s="86"/>
      <c r="C1544" s="22"/>
      <c r="D1544" s="85"/>
      <c r="E1544" s="87"/>
      <c r="F1544" s="85"/>
      <c r="G1544" s="22"/>
      <c r="H1544" s="88"/>
      <c r="J1544" s="22"/>
      <c r="M1544" s="89"/>
      <c r="N1544" s="60"/>
      <c r="O1544" s="90"/>
      <c r="P1544" s="91"/>
      <c r="Q1544" s="92"/>
      <c r="R1544" s="68" t="str">
        <f t="shared" si="27"/>
        <v/>
      </c>
      <c r="S1544" s="22"/>
    </row>
    <row r="1545" spans="1:19" ht="18" customHeight="1">
      <c r="A1545" s="85"/>
      <c r="B1545" s="86"/>
      <c r="C1545" s="22"/>
      <c r="D1545" s="85"/>
      <c r="E1545" s="87"/>
      <c r="F1545" s="85"/>
      <c r="G1545" s="22"/>
      <c r="H1545" s="88"/>
      <c r="J1545" s="22"/>
      <c r="M1545" s="89"/>
      <c r="N1545" s="60"/>
      <c r="O1545" s="90"/>
      <c r="P1545" s="91"/>
      <c r="Q1545" s="92"/>
      <c r="R1545" s="68" t="str">
        <f t="shared" si="27"/>
        <v/>
      </c>
      <c r="S1545" s="22"/>
    </row>
    <row r="1546" spans="1:19" ht="18" customHeight="1">
      <c r="A1546" s="85"/>
      <c r="B1546" s="86"/>
      <c r="C1546" s="22"/>
      <c r="D1546" s="85"/>
      <c r="E1546" s="87"/>
      <c r="F1546" s="85"/>
      <c r="G1546" s="22"/>
      <c r="H1546" s="88"/>
      <c r="J1546" s="22"/>
      <c r="M1546" s="89"/>
      <c r="N1546" s="60"/>
      <c r="O1546" s="90"/>
      <c r="P1546" s="91"/>
      <c r="Q1546" s="92"/>
      <c r="R1546" s="68" t="str">
        <f t="shared" si="27"/>
        <v/>
      </c>
      <c r="S1546" s="22"/>
    </row>
    <row r="1547" spans="1:19" ht="18" customHeight="1">
      <c r="A1547" s="85"/>
      <c r="B1547" s="86"/>
      <c r="C1547" s="22"/>
      <c r="D1547" s="85"/>
      <c r="E1547" s="87"/>
      <c r="F1547" s="85"/>
      <c r="G1547" s="22"/>
      <c r="H1547" s="88"/>
      <c r="J1547" s="22"/>
      <c r="M1547" s="89"/>
      <c r="N1547" s="60"/>
      <c r="O1547" s="90"/>
      <c r="P1547" s="91"/>
      <c r="Q1547" s="92"/>
      <c r="R1547" s="68" t="str">
        <f t="shared" si="27"/>
        <v/>
      </c>
      <c r="S1547" s="22"/>
    </row>
    <row r="1548" spans="1:19" ht="18" customHeight="1">
      <c r="A1548" s="85"/>
      <c r="B1548" s="86"/>
      <c r="C1548" s="22"/>
      <c r="D1548" s="85"/>
      <c r="E1548" s="87"/>
      <c r="F1548" s="85"/>
      <c r="G1548" s="22"/>
      <c r="H1548" s="88"/>
      <c r="J1548" s="22"/>
      <c r="M1548" s="89"/>
      <c r="N1548" s="60"/>
      <c r="O1548" s="90"/>
      <c r="P1548" s="91"/>
      <c r="Q1548" s="92"/>
      <c r="R1548" s="68" t="str">
        <f t="shared" si="27"/>
        <v/>
      </c>
      <c r="S1548" s="22"/>
    </row>
    <row r="1549" spans="1:19" ht="18" customHeight="1">
      <c r="A1549" s="85"/>
      <c r="B1549" s="86"/>
      <c r="C1549" s="22"/>
      <c r="D1549" s="85"/>
      <c r="E1549" s="87"/>
      <c r="F1549" s="85"/>
      <c r="G1549" s="22"/>
      <c r="H1549" s="88"/>
      <c r="J1549" s="22"/>
      <c r="M1549" s="89"/>
      <c r="N1549" s="60"/>
      <c r="O1549" s="90"/>
      <c r="P1549" s="91"/>
      <c r="Q1549" s="92"/>
      <c r="R1549" s="68" t="str">
        <f t="shared" si="27"/>
        <v/>
      </c>
      <c r="S1549" s="22"/>
    </row>
    <row r="1550" spans="1:19" ht="18" customHeight="1">
      <c r="A1550" s="85"/>
      <c r="B1550" s="86"/>
      <c r="C1550" s="22"/>
      <c r="D1550" s="85"/>
      <c r="E1550" s="87"/>
      <c r="F1550" s="85"/>
      <c r="G1550" s="22"/>
      <c r="H1550" s="88"/>
      <c r="J1550" s="22"/>
      <c r="M1550" s="89"/>
      <c r="N1550" s="60"/>
      <c r="O1550" s="90"/>
      <c r="P1550" s="91"/>
      <c r="Q1550" s="92"/>
      <c r="R1550" s="68" t="str">
        <f t="shared" si="27"/>
        <v/>
      </c>
      <c r="S1550" s="22"/>
    </row>
    <row r="1551" spans="1:19" ht="18" customHeight="1">
      <c r="A1551" s="85"/>
      <c r="B1551" s="86"/>
      <c r="C1551" s="22"/>
      <c r="D1551" s="85"/>
      <c r="E1551" s="87"/>
      <c r="F1551" s="85"/>
      <c r="G1551" s="22"/>
      <c r="H1551" s="88"/>
      <c r="J1551" s="22"/>
      <c r="M1551" s="89"/>
      <c r="N1551" s="60"/>
      <c r="O1551" s="90"/>
      <c r="P1551" s="91"/>
      <c r="Q1551" s="92"/>
      <c r="R1551" s="68" t="str">
        <f t="shared" si="27"/>
        <v/>
      </c>
      <c r="S1551" s="22"/>
    </row>
    <row r="1552" spans="1:19" ht="18" customHeight="1">
      <c r="A1552" s="85"/>
      <c r="B1552" s="86"/>
      <c r="C1552" s="22"/>
      <c r="D1552" s="85"/>
      <c r="E1552" s="87"/>
      <c r="F1552" s="85"/>
      <c r="G1552" s="22"/>
      <c r="H1552" s="88"/>
      <c r="J1552" s="22"/>
      <c r="M1552" s="89"/>
      <c r="N1552" s="60"/>
      <c r="O1552" s="90"/>
      <c r="P1552" s="91"/>
      <c r="Q1552" s="92"/>
      <c r="R1552" s="68" t="str">
        <f t="shared" si="27"/>
        <v/>
      </c>
      <c r="S1552" s="22"/>
    </row>
    <row r="1553" spans="1:19" ht="18" customHeight="1">
      <c r="A1553" s="85"/>
      <c r="B1553" s="86"/>
      <c r="C1553" s="22"/>
      <c r="D1553" s="85"/>
      <c r="E1553" s="87"/>
      <c r="F1553" s="85"/>
      <c r="G1553" s="22"/>
      <c r="H1553" s="88"/>
      <c r="J1553" s="22"/>
      <c r="M1553" s="89"/>
      <c r="N1553" s="60"/>
      <c r="O1553" s="90"/>
      <c r="P1553" s="91"/>
      <c r="Q1553" s="92"/>
      <c r="R1553" s="68" t="str">
        <f t="shared" si="27"/>
        <v/>
      </c>
      <c r="S1553" s="22"/>
    </row>
    <row r="1554" spans="1:19" ht="18" customHeight="1">
      <c r="A1554" s="85"/>
      <c r="B1554" s="86"/>
      <c r="C1554" s="22"/>
      <c r="D1554" s="85"/>
      <c r="E1554" s="87"/>
      <c r="F1554" s="85"/>
      <c r="G1554" s="22"/>
      <c r="H1554" s="88"/>
      <c r="J1554" s="22"/>
      <c r="M1554" s="89"/>
      <c r="N1554" s="60"/>
      <c r="O1554" s="90"/>
      <c r="P1554" s="91"/>
      <c r="Q1554" s="92"/>
      <c r="R1554" s="68" t="str">
        <f t="shared" si="27"/>
        <v/>
      </c>
      <c r="S1554" s="22"/>
    </row>
    <row r="1555" spans="1:19" ht="18" customHeight="1">
      <c r="A1555" s="85"/>
      <c r="B1555" s="86"/>
      <c r="C1555" s="22"/>
      <c r="D1555" s="85"/>
      <c r="E1555" s="87"/>
      <c r="F1555" s="85"/>
      <c r="G1555" s="22"/>
      <c r="H1555" s="88"/>
      <c r="J1555" s="22"/>
      <c r="M1555" s="89"/>
      <c r="N1555" s="60"/>
      <c r="O1555" s="90"/>
      <c r="P1555" s="91"/>
      <c r="Q1555" s="92"/>
      <c r="R1555" s="68" t="str">
        <f t="shared" si="27"/>
        <v/>
      </c>
      <c r="S1555" s="22"/>
    </row>
    <row r="1556" spans="1:19" ht="18" customHeight="1">
      <c r="A1556" s="85"/>
      <c r="B1556" s="86"/>
      <c r="C1556" s="22"/>
      <c r="D1556" s="85"/>
      <c r="E1556" s="87"/>
      <c r="F1556" s="85"/>
      <c r="G1556" s="22"/>
      <c r="H1556" s="88"/>
      <c r="J1556" s="22"/>
      <c r="M1556" s="89"/>
      <c r="N1556" s="60"/>
      <c r="O1556" s="90"/>
      <c r="P1556" s="91"/>
      <c r="Q1556" s="92"/>
      <c r="R1556" s="68" t="str">
        <f t="shared" si="27"/>
        <v/>
      </c>
      <c r="S1556" s="22"/>
    </row>
    <row r="1557" spans="1:19" ht="18" customHeight="1">
      <c r="A1557" s="85"/>
      <c r="B1557" s="86"/>
      <c r="C1557" s="22"/>
      <c r="D1557" s="85"/>
      <c r="E1557" s="87"/>
      <c r="F1557" s="85"/>
      <c r="G1557" s="22"/>
      <c r="H1557" s="88"/>
      <c r="J1557" s="22"/>
      <c r="M1557" s="89"/>
      <c r="N1557" s="60"/>
      <c r="O1557" s="90"/>
      <c r="P1557" s="91"/>
      <c r="Q1557" s="92"/>
      <c r="R1557" s="68" t="str">
        <f t="shared" si="27"/>
        <v/>
      </c>
      <c r="S1557" s="22"/>
    </row>
    <row r="1558" spans="1:19" ht="18" customHeight="1">
      <c r="A1558" s="85"/>
      <c r="B1558" s="86"/>
      <c r="C1558" s="22"/>
      <c r="D1558" s="85"/>
      <c r="E1558" s="87"/>
      <c r="F1558" s="85"/>
      <c r="G1558" s="22"/>
      <c r="H1558" s="88"/>
      <c r="J1558" s="22"/>
      <c r="M1558" s="89"/>
      <c r="N1558" s="60"/>
      <c r="O1558" s="90"/>
      <c r="P1558" s="91"/>
      <c r="Q1558" s="92"/>
      <c r="R1558" s="68" t="str">
        <f t="shared" si="27"/>
        <v/>
      </c>
      <c r="S1558" s="22"/>
    </row>
    <row r="1559" spans="1:19" ht="18" customHeight="1">
      <c r="A1559" s="85"/>
      <c r="B1559" s="86"/>
      <c r="C1559" s="22"/>
      <c r="D1559" s="85"/>
      <c r="E1559" s="87"/>
      <c r="F1559" s="85"/>
      <c r="G1559" s="22"/>
      <c r="H1559" s="88"/>
      <c r="J1559" s="22"/>
      <c r="M1559" s="89"/>
      <c r="N1559" s="60"/>
      <c r="O1559" s="90"/>
      <c r="P1559" s="91"/>
      <c r="Q1559" s="92"/>
      <c r="R1559" s="68" t="str">
        <f t="shared" si="27"/>
        <v/>
      </c>
      <c r="S1559" s="22"/>
    </row>
    <row r="1560" spans="1:19" ht="18" customHeight="1">
      <c r="A1560" s="85"/>
      <c r="B1560" s="86"/>
      <c r="C1560" s="22"/>
      <c r="D1560" s="85"/>
      <c r="E1560" s="87"/>
      <c r="F1560" s="85"/>
      <c r="G1560" s="22"/>
      <c r="H1560" s="88"/>
      <c r="J1560" s="22"/>
      <c r="M1560" s="89"/>
      <c r="N1560" s="60"/>
      <c r="O1560" s="90"/>
      <c r="P1560" s="91"/>
      <c r="Q1560" s="92"/>
      <c r="R1560" s="68" t="str">
        <f t="shared" si="27"/>
        <v/>
      </c>
      <c r="S1560" s="22"/>
    </row>
    <row r="1561" spans="1:19" ht="18" customHeight="1">
      <c r="A1561" s="85"/>
      <c r="B1561" s="86"/>
      <c r="C1561" s="22"/>
      <c r="D1561" s="85"/>
      <c r="E1561" s="87"/>
      <c r="F1561" s="85"/>
      <c r="G1561" s="22"/>
      <c r="H1561" s="88"/>
      <c r="J1561" s="22"/>
      <c r="M1561" s="89"/>
      <c r="N1561" s="60"/>
      <c r="O1561" s="90"/>
      <c r="P1561" s="91"/>
      <c r="Q1561" s="92"/>
      <c r="R1561" s="68" t="str">
        <f t="shared" si="27"/>
        <v/>
      </c>
      <c r="S1561" s="22"/>
    </row>
    <row r="1562" spans="1:19" ht="18" customHeight="1">
      <c r="A1562" s="85"/>
      <c r="B1562" s="86"/>
      <c r="C1562" s="22"/>
      <c r="D1562" s="85"/>
      <c r="E1562" s="87"/>
      <c r="F1562" s="85"/>
      <c r="G1562" s="22"/>
      <c r="H1562" s="88"/>
      <c r="J1562" s="22"/>
      <c r="M1562" s="89"/>
      <c r="N1562" s="60"/>
      <c r="O1562" s="90"/>
      <c r="P1562" s="91"/>
      <c r="Q1562" s="92"/>
      <c r="R1562" s="68" t="str">
        <f t="shared" si="27"/>
        <v/>
      </c>
      <c r="S1562" s="22"/>
    </row>
    <row r="1563" spans="1:19" ht="18" customHeight="1">
      <c r="A1563" s="85"/>
      <c r="B1563" s="86"/>
      <c r="C1563" s="22"/>
      <c r="D1563" s="85"/>
      <c r="E1563" s="87"/>
      <c r="F1563" s="85"/>
      <c r="G1563" s="22"/>
      <c r="H1563" s="88"/>
      <c r="J1563" s="22"/>
      <c r="M1563" s="89"/>
      <c r="N1563" s="60"/>
      <c r="O1563" s="90"/>
      <c r="P1563" s="91"/>
      <c r="Q1563" s="92"/>
      <c r="R1563" s="68" t="str">
        <f t="shared" si="27"/>
        <v/>
      </c>
      <c r="S1563" s="22"/>
    </row>
    <row r="1564" spans="1:19" ht="18" customHeight="1">
      <c r="A1564" s="85"/>
      <c r="B1564" s="86"/>
      <c r="C1564" s="22"/>
      <c r="D1564" s="85"/>
      <c r="E1564" s="87"/>
      <c r="F1564" s="85"/>
      <c r="G1564" s="22"/>
      <c r="H1564" s="88"/>
      <c r="J1564" s="22"/>
      <c r="M1564" s="89"/>
      <c r="N1564" s="60"/>
      <c r="O1564" s="90"/>
      <c r="P1564" s="91"/>
      <c r="Q1564" s="92"/>
      <c r="R1564" s="68" t="str">
        <f t="shared" si="27"/>
        <v/>
      </c>
      <c r="S1564" s="22"/>
    </row>
    <row r="1565" spans="1:19" ht="18" customHeight="1">
      <c r="A1565" s="85"/>
      <c r="B1565" s="86"/>
      <c r="C1565" s="22"/>
      <c r="D1565" s="85"/>
      <c r="E1565" s="87"/>
      <c r="F1565" s="85"/>
      <c r="G1565" s="22"/>
      <c r="H1565" s="88"/>
      <c r="J1565" s="22"/>
      <c r="M1565" s="89"/>
      <c r="N1565" s="60"/>
      <c r="O1565" s="90"/>
      <c r="P1565" s="91"/>
      <c r="Q1565" s="92"/>
      <c r="R1565" s="68" t="str">
        <f t="shared" si="27"/>
        <v/>
      </c>
      <c r="S1565" s="22"/>
    </row>
    <row r="1566" spans="1:19" ht="18" customHeight="1">
      <c r="A1566" s="85"/>
      <c r="B1566" s="86"/>
      <c r="C1566" s="22"/>
      <c r="D1566" s="85"/>
      <c r="E1566" s="87"/>
      <c r="F1566" s="85"/>
      <c r="G1566" s="22"/>
      <c r="H1566" s="88"/>
      <c r="J1566" s="22"/>
      <c r="M1566" s="89"/>
      <c r="N1566" s="60"/>
      <c r="O1566" s="90"/>
      <c r="P1566" s="91"/>
      <c r="Q1566" s="92"/>
      <c r="R1566" s="68" t="str">
        <f t="shared" si="27"/>
        <v/>
      </c>
      <c r="S1566" s="22"/>
    </row>
    <row r="1567" spans="1:19" ht="18" customHeight="1">
      <c r="A1567" s="85"/>
      <c r="B1567" s="86"/>
      <c r="C1567" s="22"/>
      <c r="D1567" s="85"/>
      <c r="E1567" s="87"/>
      <c r="F1567" s="85"/>
      <c r="G1567" s="22"/>
      <c r="H1567" s="88"/>
      <c r="J1567" s="22"/>
      <c r="M1567" s="89"/>
      <c r="N1567" s="60"/>
      <c r="O1567" s="90"/>
      <c r="P1567" s="91"/>
      <c r="Q1567" s="92"/>
      <c r="R1567" s="68" t="str">
        <f t="shared" si="27"/>
        <v/>
      </c>
      <c r="S1567" s="22"/>
    </row>
    <row r="1568" spans="1:19" ht="18" customHeight="1">
      <c r="A1568" s="85"/>
      <c r="B1568" s="86"/>
      <c r="C1568" s="22"/>
      <c r="D1568" s="85"/>
      <c r="E1568" s="87"/>
      <c r="F1568" s="85"/>
      <c r="G1568" s="22"/>
      <c r="H1568" s="88"/>
      <c r="J1568" s="22"/>
      <c r="M1568" s="89"/>
      <c r="N1568" s="60"/>
      <c r="O1568" s="90"/>
      <c r="P1568" s="91"/>
      <c r="Q1568" s="92"/>
      <c r="R1568" s="68" t="str">
        <f t="shared" si="27"/>
        <v/>
      </c>
      <c r="S1568" s="22"/>
    </row>
    <row r="1569" spans="1:19" ht="18" customHeight="1">
      <c r="A1569" s="85"/>
      <c r="B1569" s="86"/>
      <c r="C1569" s="22"/>
      <c r="D1569" s="85"/>
      <c r="E1569" s="87"/>
      <c r="F1569" s="85"/>
      <c r="G1569" s="22"/>
      <c r="H1569" s="88"/>
      <c r="J1569" s="22"/>
      <c r="M1569" s="89"/>
      <c r="N1569" s="60"/>
      <c r="O1569" s="90"/>
      <c r="P1569" s="91"/>
      <c r="Q1569" s="92"/>
      <c r="R1569" s="68" t="str">
        <f t="shared" si="27"/>
        <v/>
      </c>
      <c r="S1569" s="22"/>
    </row>
    <row r="1570" spans="1:19" ht="18" customHeight="1">
      <c r="A1570" s="85"/>
      <c r="B1570" s="86"/>
      <c r="C1570" s="22"/>
      <c r="D1570" s="85"/>
      <c r="E1570" s="87"/>
      <c r="F1570" s="85"/>
      <c r="G1570" s="22"/>
      <c r="H1570" s="88"/>
      <c r="J1570" s="22"/>
      <c r="M1570" s="89"/>
      <c r="N1570" s="60"/>
      <c r="O1570" s="90"/>
      <c r="P1570" s="91"/>
      <c r="Q1570" s="92"/>
      <c r="R1570" s="68" t="str">
        <f t="shared" si="27"/>
        <v/>
      </c>
      <c r="S1570" s="22"/>
    </row>
    <row r="1571" spans="1:19" ht="18" customHeight="1">
      <c r="A1571" s="85"/>
      <c r="B1571" s="86"/>
      <c r="C1571" s="22"/>
      <c r="D1571" s="85"/>
      <c r="E1571" s="87"/>
      <c r="F1571" s="85"/>
      <c r="G1571" s="22"/>
      <c r="H1571" s="88"/>
      <c r="J1571" s="22"/>
      <c r="M1571" s="89"/>
      <c r="N1571" s="60"/>
      <c r="O1571" s="90"/>
      <c r="P1571" s="91"/>
      <c r="Q1571" s="92"/>
      <c r="R1571" s="68" t="str">
        <f t="shared" si="27"/>
        <v/>
      </c>
      <c r="S1571" s="22"/>
    </row>
    <row r="1572" spans="1:19" ht="18" customHeight="1">
      <c r="A1572" s="85"/>
      <c r="B1572" s="86"/>
      <c r="C1572" s="22"/>
      <c r="D1572" s="85"/>
      <c r="E1572" s="87"/>
      <c r="F1572" s="85"/>
      <c r="G1572" s="22"/>
      <c r="H1572" s="88"/>
      <c r="J1572" s="22"/>
      <c r="M1572" s="89"/>
      <c r="N1572" s="60"/>
      <c r="O1572" s="90"/>
      <c r="P1572" s="91"/>
      <c r="Q1572" s="92"/>
      <c r="R1572" s="68" t="str">
        <f t="shared" si="27"/>
        <v/>
      </c>
      <c r="S1572" s="22"/>
    </row>
    <row r="1573" spans="1:19" ht="18" customHeight="1">
      <c r="A1573" s="85"/>
      <c r="B1573" s="86"/>
      <c r="C1573" s="22"/>
      <c r="D1573" s="85"/>
      <c r="E1573" s="87"/>
      <c r="F1573" s="85"/>
      <c r="G1573" s="22"/>
      <c r="H1573" s="88"/>
      <c r="J1573" s="22"/>
      <c r="M1573" s="89"/>
      <c r="N1573" s="60"/>
      <c r="O1573" s="90"/>
      <c r="P1573" s="91"/>
      <c r="Q1573" s="92"/>
      <c r="R1573" s="68" t="str">
        <f t="shared" si="27"/>
        <v/>
      </c>
      <c r="S1573" s="22"/>
    </row>
    <row r="1574" spans="1:19" ht="18" customHeight="1">
      <c r="A1574" s="85"/>
      <c r="B1574" s="86"/>
      <c r="C1574" s="22"/>
      <c r="D1574" s="85"/>
      <c r="E1574" s="87"/>
      <c r="F1574" s="85"/>
      <c r="G1574" s="22"/>
      <c r="H1574" s="88"/>
      <c r="J1574" s="22"/>
      <c r="M1574" s="89"/>
      <c r="N1574" s="60"/>
      <c r="O1574" s="90"/>
      <c r="P1574" s="91"/>
      <c r="Q1574" s="92"/>
      <c r="R1574" s="68" t="str">
        <f t="shared" si="27"/>
        <v/>
      </c>
      <c r="S1574" s="22"/>
    </row>
    <row r="1575" spans="1:19" ht="18" customHeight="1">
      <c r="A1575" s="85"/>
      <c r="B1575" s="86"/>
      <c r="C1575" s="22"/>
      <c r="D1575" s="85"/>
      <c r="E1575" s="87"/>
      <c r="F1575" s="85"/>
      <c r="G1575" s="22"/>
      <c r="H1575" s="88"/>
      <c r="J1575" s="22"/>
      <c r="M1575" s="89"/>
      <c r="N1575" s="60"/>
      <c r="O1575" s="90"/>
      <c r="P1575" s="91"/>
      <c r="Q1575" s="92"/>
      <c r="R1575" s="68" t="str">
        <f t="shared" si="27"/>
        <v/>
      </c>
      <c r="S1575" s="22"/>
    </row>
    <row r="1576" spans="1:19" ht="18" customHeight="1">
      <c r="A1576" s="85"/>
      <c r="B1576" s="86"/>
      <c r="C1576" s="22"/>
      <c r="D1576" s="85"/>
      <c r="E1576" s="87"/>
      <c r="F1576" s="85"/>
      <c r="G1576" s="22"/>
      <c r="H1576" s="88"/>
      <c r="J1576" s="22"/>
      <c r="M1576" s="89"/>
      <c r="N1576" s="60"/>
      <c r="O1576" s="90"/>
      <c r="P1576" s="91"/>
      <c r="Q1576" s="92"/>
      <c r="R1576" s="68" t="str">
        <f t="shared" si="27"/>
        <v/>
      </c>
      <c r="S1576" s="22"/>
    </row>
    <row r="1577" spans="1:19" ht="18" customHeight="1">
      <c r="A1577" s="85"/>
      <c r="B1577" s="86"/>
      <c r="C1577" s="22"/>
      <c r="D1577" s="85"/>
      <c r="E1577" s="87"/>
      <c r="F1577" s="85"/>
      <c r="G1577" s="22"/>
      <c r="H1577" s="88"/>
      <c r="J1577" s="22"/>
      <c r="M1577" s="89"/>
      <c r="N1577" s="60"/>
      <c r="O1577" s="90"/>
      <c r="P1577" s="91"/>
      <c r="Q1577" s="92"/>
      <c r="R1577" s="68" t="str">
        <f t="shared" si="27"/>
        <v/>
      </c>
      <c r="S1577" s="22"/>
    </row>
    <row r="1578" spans="1:19" ht="18" customHeight="1">
      <c r="A1578" s="85"/>
      <c r="B1578" s="86"/>
      <c r="C1578" s="22"/>
      <c r="D1578" s="85"/>
      <c r="E1578" s="87"/>
      <c r="F1578" s="85"/>
      <c r="G1578" s="22"/>
      <c r="H1578" s="88"/>
      <c r="J1578" s="22"/>
      <c r="M1578" s="89"/>
      <c r="N1578" s="60"/>
      <c r="O1578" s="90"/>
      <c r="P1578" s="91"/>
      <c r="Q1578" s="92"/>
      <c r="R1578" s="68" t="str">
        <f t="shared" si="27"/>
        <v/>
      </c>
      <c r="S1578" s="22"/>
    </row>
    <row r="1579" spans="1:19" ht="18" customHeight="1">
      <c r="A1579" s="85"/>
      <c r="B1579" s="86"/>
      <c r="C1579" s="22"/>
      <c r="D1579" s="85"/>
      <c r="E1579" s="87"/>
      <c r="F1579" s="85"/>
      <c r="G1579" s="22"/>
      <c r="H1579" s="88"/>
      <c r="J1579" s="22"/>
      <c r="M1579" s="89"/>
      <c r="N1579" s="60"/>
      <c r="O1579" s="90"/>
      <c r="P1579" s="91"/>
      <c r="Q1579" s="92"/>
      <c r="R1579" s="68" t="str">
        <f t="shared" si="27"/>
        <v/>
      </c>
      <c r="S1579" s="22"/>
    </row>
    <row r="1580" spans="1:19" ht="18" customHeight="1">
      <c r="A1580" s="85"/>
      <c r="B1580" s="86"/>
      <c r="C1580" s="22"/>
      <c r="D1580" s="85"/>
      <c r="E1580" s="87"/>
      <c r="F1580" s="85"/>
      <c r="G1580" s="22"/>
      <c r="H1580" s="88"/>
      <c r="J1580" s="22"/>
      <c r="M1580" s="89"/>
      <c r="N1580" s="60"/>
      <c r="O1580" s="90"/>
      <c r="P1580" s="91"/>
      <c r="Q1580" s="92"/>
      <c r="R1580" s="68" t="str">
        <f t="shared" si="27"/>
        <v/>
      </c>
      <c r="S1580" s="22"/>
    </row>
    <row r="1581" spans="1:19" ht="18" customHeight="1">
      <c r="A1581" s="85"/>
      <c r="B1581" s="86"/>
      <c r="C1581" s="22"/>
      <c r="D1581" s="85"/>
      <c r="E1581" s="87"/>
      <c r="F1581" s="85"/>
      <c r="G1581" s="22"/>
      <c r="H1581" s="88"/>
      <c r="J1581" s="22"/>
      <c r="M1581" s="89"/>
      <c r="N1581" s="60"/>
      <c r="O1581" s="90"/>
      <c r="P1581" s="91"/>
      <c r="Q1581" s="92"/>
      <c r="R1581" s="68" t="str">
        <f t="shared" si="27"/>
        <v/>
      </c>
      <c r="S1581" s="22"/>
    </row>
    <row r="1582" spans="1:19" ht="18" customHeight="1">
      <c r="A1582" s="85"/>
      <c r="B1582" s="86"/>
      <c r="C1582" s="22"/>
      <c r="D1582" s="85"/>
      <c r="E1582" s="87"/>
      <c r="F1582" s="85"/>
      <c r="G1582" s="22"/>
      <c r="H1582" s="88"/>
      <c r="J1582" s="22"/>
      <c r="M1582" s="89"/>
      <c r="N1582" s="60"/>
      <c r="O1582" s="90"/>
      <c r="P1582" s="91"/>
      <c r="Q1582" s="92"/>
      <c r="R1582" s="68" t="str">
        <f t="shared" si="27"/>
        <v/>
      </c>
      <c r="S1582" s="22"/>
    </row>
    <row r="1583" spans="1:19" ht="18" customHeight="1">
      <c r="A1583" s="85"/>
      <c r="B1583" s="86"/>
      <c r="C1583" s="22"/>
      <c r="D1583" s="85"/>
      <c r="E1583" s="87"/>
      <c r="F1583" s="85"/>
      <c r="G1583" s="22"/>
      <c r="H1583" s="88"/>
      <c r="J1583" s="22"/>
      <c r="M1583" s="89"/>
      <c r="N1583" s="60"/>
      <c r="O1583" s="90"/>
      <c r="P1583" s="91"/>
      <c r="Q1583" s="92"/>
      <c r="R1583" s="68" t="str">
        <f t="shared" si="27"/>
        <v/>
      </c>
      <c r="S1583" s="22"/>
    </row>
    <row r="1584" spans="1:19" ht="18" customHeight="1">
      <c r="A1584" s="85"/>
      <c r="B1584" s="86"/>
      <c r="C1584" s="22"/>
      <c r="D1584" s="85"/>
      <c r="E1584" s="87"/>
      <c r="F1584" s="85"/>
      <c r="G1584" s="22"/>
      <c r="H1584" s="88"/>
      <c r="J1584" s="22"/>
      <c r="M1584" s="89"/>
      <c r="N1584" s="60"/>
      <c r="O1584" s="90"/>
      <c r="P1584" s="91"/>
      <c r="Q1584" s="92"/>
      <c r="R1584" s="68" t="str">
        <f t="shared" si="27"/>
        <v/>
      </c>
      <c r="S1584" s="22"/>
    </row>
    <row r="1585" spans="1:19" ht="18" customHeight="1">
      <c r="A1585" s="85"/>
      <c r="B1585" s="86"/>
      <c r="C1585" s="22"/>
      <c r="D1585" s="85"/>
      <c r="E1585" s="87"/>
      <c r="F1585" s="85"/>
      <c r="G1585" s="22"/>
      <c r="H1585" s="88"/>
      <c r="J1585" s="22"/>
      <c r="M1585" s="89"/>
      <c r="N1585" s="60"/>
      <c r="O1585" s="90"/>
      <c r="P1585" s="91"/>
      <c r="Q1585" s="92"/>
      <c r="R1585" s="68" t="str">
        <f t="shared" si="27"/>
        <v/>
      </c>
      <c r="S1585" s="22"/>
    </row>
    <row r="1586" spans="1:19" ht="18" customHeight="1">
      <c r="A1586" s="85"/>
      <c r="B1586" s="86"/>
      <c r="C1586" s="22"/>
      <c r="D1586" s="85"/>
      <c r="E1586" s="87"/>
      <c r="F1586" s="85"/>
      <c r="G1586" s="22"/>
      <c r="H1586" s="88"/>
      <c r="J1586" s="22"/>
      <c r="M1586" s="89"/>
      <c r="N1586" s="60"/>
      <c r="O1586" s="90"/>
      <c r="P1586" s="91"/>
      <c r="Q1586" s="92"/>
      <c r="R1586" s="68" t="str">
        <f t="shared" si="27"/>
        <v/>
      </c>
      <c r="S1586" s="22"/>
    </row>
    <row r="1587" spans="1:19" ht="18" customHeight="1">
      <c r="A1587" s="85"/>
      <c r="B1587" s="86"/>
      <c r="C1587" s="22"/>
      <c r="D1587" s="85"/>
      <c r="E1587" s="87"/>
      <c r="F1587" s="85"/>
      <c r="G1587" s="22"/>
      <c r="H1587" s="88"/>
      <c r="J1587" s="22"/>
      <c r="M1587" s="89"/>
      <c r="N1587" s="60"/>
      <c r="O1587" s="90"/>
      <c r="P1587" s="91"/>
      <c r="Q1587" s="92"/>
      <c r="R1587" s="68" t="str">
        <f t="shared" si="27"/>
        <v/>
      </c>
      <c r="S1587" s="22"/>
    </row>
    <row r="1588" spans="1:19" ht="18" customHeight="1">
      <c r="A1588" s="85"/>
      <c r="B1588" s="86"/>
      <c r="C1588" s="22"/>
      <c r="D1588" s="85"/>
      <c r="E1588" s="87"/>
      <c r="F1588" s="85"/>
      <c r="G1588" s="22"/>
      <c r="H1588" s="88"/>
      <c r="J1588" s="22"/>
      <c r="M1588" s="89"/>
      <c r="N1588" s="60"/>
      <c r="O1588" s="90"/>
      <c r="P1588" s="91"/>
      <c r="Q1588" s="92"/>
      <c r="R1588" s="68" t="str">
        <f t="shared" ref="R1588:R1651" si="28">IF(SUM(Q1588)&gt;0,SUM(Q1588-P1588),"")</f>
        <v/>
      </c>
      <c r="S1588" s="22"/>
    </row>
    <row r="1589" spans="1:19" ht="18" customHeight="1">
      <c r="A1589" s="85"/>
      <c r="B1589" s="86"/>
      <c r="C1589" s="22"/>
      <c r="D1589" s="85"/>
      <c r="E1589" s="87"/>
      <c r="F1589" s="85"/>
      <c r="G1589" s="22"/>
      <c r="H1589" s="88"/>
      <c r="J1589" s="22"/>
      <c r="M1589" s="89"/>
      <c r="N1589" s="60"/>
      <c r="O1589" s="90"/>
      <c r="P1589" s="91"/>
      <c r="Q1589" s="92"/>
      <c r="R1589" s="68" t="str">
        <f t="shared" si="28"/>
        <v/>
      </c>
      <c r="S1589" s="22"/>
    </row>
    <row r="1590" spans="1:19" ht="18" customHeight="1">
      <c r="A1590" s="85"/>
      <c r="B1590" s="86"/>
      <c r="C1590" s="22"/>
      <c r="D1590" s="85"/>
      <c r="E1590" s="87"/>
      <c r="F1590" s="85"/>
      <c r="G1590" s="22"/>
      <c r="H1590" s="88"/>
      <c r="J1590" s="22"/>
      <c r="M1590" s="89"/>
      <c r="N1590" s="60"/>
      <c r="O1590" s="90"/>
      <c r="P1590" s="91"/>
      <c r="Q1590" s="92"/>
      <c r="R1590" s="68" t="str">
        <f t="shared" si="28"/>
        <v/>
      </c>
      <c r="S1590" s="22"/>
    </row>
    <row r="1591" spans="1:19" ht="18" customHeight="1">
      <c r="A1591" s="85"/>
      <c r="B1591" s="86"/>
      <c r="C1591" s="22"/>
      <c r="D1591" s="85"/>
      <c r="E1591" s="87"/>
      <c r="F1591" s="85"/>
      <c r="G1591" s="22"/>
      <c r="H1591" s="88"/>
      <c r="J1591" s="22"/>
      <c r="M1591" s="89"/>
      <c r="N1591" s="60"/>
      <c r="O1591" s="90"/>
      <c r="P1591" s="91"/>
      <c r="Q1591" s="92"/>
      <c r="R1591" s="68" t="str">
        <f t="shared" si="28"/>
        <v/>
      </c>
      <c r="S1591" s="22"/>
    </row>
    <row r="1592" spans="1:19" ht="18" customHeight="1">
      <c r="A1592" s="85"/>
      <c r="B1592" s="86"/>
      <c r="C1592" s="22"/>
      <c r="D1592" s="85"/>
      <c r="E1592" s="87"/>
      <c r="F1592" s="85"/>
      <c r="G1592" s="22"/>
      <c r="H1592" s="88"/>
      <c r="J1592" s="22"/>
      <c r="M1592" s="89"/>
      <c r="N1592" s="60"/>
      <c r="O1592" s="90"/>
      <c r="P1592" s="91"/>
      <c r="Q1592" s="92"/>
      <c r="R1592" s="68" t="str">
        <f t="shared" si="28"/>
        <v/>
      </c>
      <c r="S1592" s="22"/>
    </row>
    <row r="1593" spans="1:19" ht="18" customHeight="1">
      <c r="A1593" s="85"/>
      <c r="B1593" s="86"/>
      <c r="C1593" s="22"/>
      <c r="D1593" s="85"/>
      <c r="E1593" s="87"/>
      <c r="F1593" s="85"/>
      <c r="G1593" s="22"/>
      <c r="H1593" s="88"/>
      <c r="J1593" s="22"/>
      <c r="M1593" s="89"/>
      <c r="N1593" s="60"/>
      <c r="O1593" s="90"/>
      <c r="P1593" s="91"/>
      <c r="Q1593" s="92"/>
      <c r="R1593" s="68" t="str">
        <f t="shared" si="28"/>
        <v/>
      </c>
      <c r="S1593" s="22"/>
    </row>
    <row r="1594" spans="1:19" ht="18" customHeight="1">
      <c r="A1594" s="85"/>
      <c r="B1594" s="86"/>
      <c r="C1594" s="22"/>
      <c r="D1594" s="85"/>
      <c r="E1594" s="87"/>
      <c r="F1594" s="85"/>
      <c r="G1594" s="22"/>
      <c r="H1594" s="88"/>
      <c r="J1594" s="22"/>
      <c r="M1594" s="89"/>
      <c r="N1594" s="60"/>
      <c r="O1594" s="90"/>
      <c r="P1594" s="91"/>
      <c r="Q1594" s="92"/>
      <c r="R1594" s="68" t="str">
        <f t="shared" si="28"/>
        <v/>
      </c>
      <c r="S1594" s="22"/>
    </row>
    <row r="1595" spans="1:19" ht="18" customHeight="1">
      <c r="A1595" s="85"/>
      <c r="B1595" s="86"/>
      <c r="C1595" s="22"/>
      <c r="D1595" s="85"/>
      <c r="E1595" s="87"/>
      <c r="F1595" s="85"/>
      <c r="G1595" s="22"/>
      <c r="H1595" s="88"/>
      <c r="J1595" s="22"/>
      <c r="M1595" s="89"/>
      <c r="N1595" s="60"/>
      <c r="O1595" s="90"/>
      <c r="P1595" s="91"/>
      <c r="Q1595" s="92"/>
      <c r="R1595" s="68" t="str">
        <f t="shared" si="28"/>
        <v/>
      </c>
      <c r="S1595" s="22"/>
    </row>
    <row r="1596" spans="1:19" ht="18" customHeight="1">
      <c r="A1596" s="85"/>
      <c r="B1596" s="86"/>
      <c r="C1596" s="22"/>
      <c r="D1596" s="85"/>
      <c r="E1596" s="87"/>
      <c r="F1596" s="85"/>
      <c r="G1596" s="22"/>
      <c r="H1596" s="88"/>
      <c r="J1596" s="22"/>
      <c r="M1596" s="89"/>
      <c r="N1596" s="60"/>
      <c r="O1596" s="90"/>
      <c r="P1596" s="91"/>
      <c r="Q1596" s="92"/>
      <c r="R1596" s="68" t="str">
        <f t="shared" si="28"/>
        <v/>
      </c>
      <c r="S1596" s="22"/>
    </row>
    <row r="1597" spans="1:19" ht="18" customHeight="1">
      <c r="A1597" s="85"/>
      <c r="B1597" s="86"/>
      <c r="C1597" s="22"/>
      <c r="D1597" s="85"/>
      <c r="E1597" s="87"/>
      <c r="F1597" s="85"/>
      <c r="G1597" s="22"/>
      <c r="H1597" s="88"/>
      <c r="J1597" s="22"/>
      <c r="M1597" s="89"/>
      <c r="N1597" s="60"/>
      <c r="O1597" s="90"/>
      <c r="P1597" s="91"/>
      <c r="Q1597" s="92"/>
      <c r="R1597" s="68" t="str">
        <f t="shared" si="28"/>
        <v/>
      </c>
      <c r="S1597" s="22"/>
    </row>
    <row r="1598" spans="1:19" ht="18" customHeight="1">
      <c r="A1598" s="85"/>
      <c r="B1598" s="86"/>
      <c r="C1598" s="22"/>
      <c r="D1598" s="85"/>
      <c r="E1598" s="87"/>
      <c r="F1598" s="85"/>
      <c r="G1598" s="22"/>
      <c r="H1598" s="88"/>
      <c r="J1598" s="22"/>
      <c r="M1598" s="89"/>
      <c r="N1598" s="60"/>
      <c r="O1598" s="90"/>
      <c r="P1598" s="91"/>
      <c r="Q1598" s="92"/>
      <c r="R1598" s="68" t="str">
        <f t="shared" si="28"/>
        <v/>
      </c>
      <c r="S1598" s="22"/>
    </row>
    <row r="1599" spans="1:19" ht="18" customHeight="1">
      <c r="A1599" s="85"/>
      <c r="B1599" s="86"/>
      <c r="C1599" s="22"/>
      <c r="D1599" s="85"/>
      <c r="E1599" s="87"/>
      <c r="F1599" s="85"/>
      <c r="G1599" s="22"/>
      <c r="H1599" s="88"/>
      <c r="J1599" s="22"/>
      <c r="M1599" s="89"/>
      <c r="N1599" s="60"/>
      <c r="O1599" s="90"/>
      <c r="P1599" s="91"/>
      <c r="Q1599" s="92"/>
      <c r="R1599" s="68" t="str">
        <f t="shared" si="28"/>
        <v/>
      </c>
      <c r="S1599" s="22"/>
    </row>
    <row r="1600" spans="1:19" ht="18" customHeight="1">
      <c r="A1600" s="85"/>
      <c r="B1600" s="86"/>
      <c r="C1600" s="22"/>
      <c r="D1600" s="85"/>
      <c r="E1600" s="87"/>
      <c r="F1600" s="85"/>
      <c r="G1600" s="22"/>
      <c r="H1600" s="88"/>
      <c r="J1600" s="22"/>
      <c r="M1600" s="89"/>
      <c r="N1600" s="60"/>
      <c r="O1600" s="90"/>
      <c r="P1600" s="91"/>
      <c r="Q1600" s="92"/>
      <c r="R1600" s="68" t="str">
        <f t="shared" si="28"/>
        <v/>
      </c>
      <c r="S1600" s="22"/>
    </row>
    <row r="1601" spans="1:19" ht="18" customHeight="1">
      <c r="A1601" s="85"/>
      <c r="B1601" s="86"/>
      <c r="C1601" s="22"/>
      <c r="D1601" s="85"/>
      <c r="E1601" s="87"/>
      <c r="F1601" s="85"/>
      <c r="G1601" s="22"/>
      <c r="H1601" s="88"/>
      <c r="J1601" s="22"/>
      <c r="M1601" s="89"/>
      <c r="N1601" s="60"/>
      <c r="O1601" s="90"/>
      <c r="P1601" s="91"/>
      <c r="Q1601" s="92"/>
      <c r="R1601" s="68" t="str">
        <f t="shared" si="28"/>
        <v/>
      </c>
      <c r="S1601" s="22"/>
    </row>
    <row r="1602" spans="1:19" ht="18" customHeight="1">
      <c r="A1602" s="85"/>
      <c r="B1602" s="86"/>
      <c r="C1602" s="22"/>
      <c r="D1602" s="85"/>
      <c r="E1602" s="87"/>
      <c r="F1602" s="85"/>
      <c r="G1602" s="22"/>
      <c r="H1602" s="88"/>
      <c r="J1602" s="22"/>
      <c r="M1602" s="89"/>
      <c r="N1602" s="60"/>
      <c r="O1602" s="90"/>
      <c r="P1602" s="91"/>
      <c r="Q1602" s="92"/>
      <c r="R1602" s="68" t="str">
        <f t="shared" si="28"/>
        <v/>
      </c>
      <c r="S1602" s="22"/>
    </row>
    <row r="1603" spans="1:19" ht="18" customHeight="1">
      <c r="A1603" s="85"/>
      <c r="B1603" s="86"/>
      <c r="C1603" s="22"/>
      <c r="D1603" s="85"/>
      <c r="E1603" s="87"/>
      <c r="F1603" s="85"/>
      <c r="G1603" s="22"/>
      <c r="H1603" s="88"/>
      <c r="J1603" s="22"/>
      <c r="M1603" s="89"/>
      <c r="N1603" s="60"/>
      <c r="O1603" s="90"/>
      <c r="P1603" s="91"/>
      <c r="Q1603" s="92"/>
      <c r="R1603" s="68" t="str">
        <f t="shared" si="28"/>
        <v/>
      </c>
      <c r="S1603" s="22"/>
    </row>
    <row r="1604" spans="1:19" ht="18" customHeight="1">
      <c r="A1604" s="85"/>
      <c r="B1604" s="86"/>
      <c r="C1604" s="22"/>
      <c r="D1604" s="85"/>
      <c r="E1604" s="87"/>
      <c r="F1604" s="85"/>
      <c r="G1604" s="22"/>
      <c r="H1604" s="88"/>
      <c r="J1604" s="22"/>
      <c r="M1604" s="89"/>
      <c r="N1604" s="60"/>
      <c r="O1604" s="90"/>
      <c r="P1604" s="91"/>
      <c r="Q1604" s="92"/>
      <c r="R1604" s="68" t="str">
        <f t="shared" si="28"/>
        <v/>
      </c>
      <c r="S1604" s="22"/>
    </row>
    <row r="1605" spans="1:19" ht="18" customHeight="1">
      <c r="A1605" s="85"/>
      <c r="B1605" s="86"/>
      <c r="C1605" s="22"/>
      <c r="D1605" s="85"/>
      <c r="E1605" s="87"/>
      <c r="F1605" s="85"/>
      <c r="G1605" s="22"/>
      <c r="H1605" s="88"/>
      <c r="J1605" s="22"/>
      <c r="M1605" s="89"/>
      <c r="N1605" s="60"/>
      <c r="O1605" s="90"/>
      <c r="P1605" s="91"/>
      <c r="Q1605" s="92"/>
      <c r="R1605" s="68" t="str">
        <f t="shared" si="28"/>
        <v/>
      </c>
      <c r="S1605" s="22"/>
    </row>
    <row r="1606" spans="1:19" ht="18" customHeight="1">
      <c r="A1606" s="85"/>
      <c r="B1606" s="86"/>
      <c r="C1606" s="22"/>
      <c r="D1606" s="85"/>
      <c r="E1606" s="87"/>
      <c r="F1606" s="85"/>
      <c r="G1606" s="22"/>
      <c r="H1606" s="88"/>
      <c r="J1606" s="22"/>
      <c r="M1606" s="89"/>
      <c r="N1606" s="60"/>
      <c r="O1606" s="90"/>
      <c r="P1606" s="91"/>
      <c r="Q1606" s="92"/>
      <c r="R1606" s="68" t="str">
        <f t="shared" si="28"/>
        <v/>
      </c>
      <c r="S1606" s="22"/>
    </row>
    <row r="1607" spans="1:19" ht="18" customHeight="1">
      <c r="A1607" s="85"/>
      <c r="B1607" s="86"/>
      <c r="C1607" s="22"/>
      <c r="D1607" s="85"/>
      <c r="E1607" s="87"/>
      <c r="F1607" s="85"/>
      <c r="G1607" s="22"/>
      <c r="H1607" s="88"/>
      <c r="J1607" s="22"/>
      <c r="M1607" s="89"/>
      <c r="N1607" s="60"/>
      <c r="O1607" s="90"/>
      <c r="P1607" s="91"/>
      <c r="Q1607" s="92"/>
      <c r="R1607" s="68" t="str">
        <f t="shared" si="28"/>
        <v/>
      </c>
      <c r="S1607" s="22"/>
    </row>
    <row r="1608" spans="1:19" ht="18" customHeight="1">
      <c r="A1608" s="85"/>
      <c r="B1608" s="86"/>
      <c r="C1608" s="22"/>
      <c r="D1608" s="85"/>
      <c r="E1608" s="87"/>
      <c r="F1608" s="85"/>
      <c r="G1608" s="22"/>
      <c r="H1608" s="88"/>
      <c r="J1608" s="22"/>
      <c r="M1608" s="89"/>
      <c r="N1608" s="60"/>
      <c r="O1608" s="90"/>
      <c r="P1608" s="91"/>
      <c r="Q1608" s="92"/>
      <c r="R1608" s="68" t="str">
        <f t="shared" si="28"/>
        <v/>
      </c>
      <c r="S1608" s="22"/>
    </row>
    <row r="1609" spans="1:19" ht="18" customHeight="1">
      <c r="A1609" s="85"/>
      <c r="B1609" s="86"/>
      <c r="C1609" s="22"/>
      <c r="D1609" s="85"/>
      <c r="E1609" s="87"/>
      <c r="F1609" s="85"/>
      <c r="G1609" s="22"/>
      <c r="H1609" s="88"/>
      <c r="J1609" s="22"/>
      <c r="M1609" s="89"/>
      <c r="N1609" s="60"/>
      <c r="O1609" s="90"/>
      <c r="P1609" s="91"/>
      <c r="Q1609" s="92"/>
      <c r="R1609" s="68" t="str">
        <f t="shared" si="28"/>
        <v/>
      </c>
      <c r="S1609" s="22"/>
    </row>
    <row r="1610" spans="1:19" ht="18" customHeight="1">
      <c r="A1610" s="85"/>
      <c r="B1610" s="86"/>
      <c r="C1610" s="22"/>
      <c r="D1610" s="85"/>
      <c r="E1610" s="87"/>
      <c r="F1610" s="85"/>
      <c r="G1610" s="22"/>
      <c r="H1610" s="88"/>
      <c r="J1610" s="22"/>
      <c r="M1610" s="89"/>
      <c r="N1610" s="60"/>
      <c r="O1610" s="90"/>
      <c r="P1610" s="91"/>
      <c r="Q1610" s="92"/>
      <c r="R1610" s="68" t="str">
        <f t="shared" si="28"/>
        <v/>
      </c>
      <c r="S1610" s="22"/>
    </row>
    <row r="1611" spans="1:19" ht="18" customHeight="1">
      <c r="A1611" s="85"/>
      <c r="B1611" s="86"/>
      <c r="C1611" s="22"/>
      <c r="D1611" s="85"/>
      <c r="E1611" s="87"/>
      <c r="F1611" s="85"/>
      <c r="G1611" s="22"/>
      <c r="H1611" s="88"/>
      <c r="J1611" s="22"/>
      <c r="M1611" s="89"/>
      <c r="N1611" s="60"/>
      <c r="O1611" s="90"/>
      <c r="P1611" s="91"/>
      <c r="Q1611" s="92"/>
      <c r="R1611" s="68" t="str">
        <f t="shared" si="28"/>
        <v/>
      </c>
      <c r="S1611" s="22"/>
    </row>
    <row r="1612" spans="1:19" ht="18" customHeight="1">
      <c r="A1612" s="85"/>
      <c r="B1612" s="86"/>
      <c r="C1612" s="22"/>
      <c r="D1612" s="85"/>
      <c r="E1612" s="87"/>
      <c r="F1612" s="85"/>
      <c r="G1612" s="22"/>
      <c r="H1612" s="88"/>
      <c r="J1612" s="22"/>
      <c r="M1612" s="89"/>
      <c r="N1612" s="60"/>
      <c r="O1612" s="90"/>
      <c r="P1612" s="91"/>
      <c r="Q1612" s="92"/>
      <c r="R1612" s="68" t="str">
        <f t="shared" si="28"/>
        <v/>
      </c>
      <c r="S1612" s="22"/>
    </row>
    <row r="1613" spans="1:19" ht="18" customHeight="1">
      <c r="A1613" s="85"/>
      <c r="B1613" s="86"/>
      <c r="C1613" s="22"/>
      <c r="D1613" s="85"/>
      <c r="E1613" s="87"/>
      <c r="F1613" s="85"/>
      <c r="G1613" s="22"/>
      <c r="H1613" s="88"/>
      <c r="J1613" s="22"/>
      <c r="M1613" s="89"/>
      <c r="N1613" s="60"/>
      <c r="O1613" s="90"/>
      <c r="P1613" s="91"/>
      <c r="Q1613" s="92"/>
      <c r="R1613" s="68" t="str">
        <f t="shared" si="28"/>
        <v/>
      </c>
      <c r="S1613" s="22"/>
    </row>
    <row r="1614" spans="1:19" ht="18" customHeight="1">
      <c r="A1614" s="85"/>
      <c r="B1614" s="86"/>
      <c r="C1614" s="22"/>
      <c r="D1614" s="85"/>
      <c r="E1614" s="87"/>
      <c r="F1614" s="85"/>
      <c r="G1614" s="22"/>
      <c r="H1614" s="88"/>
      <c r="J1614" s="22"/>
      <c r="M1614" s="89"/>
      <c r="N1614" s="60"/>
      <c r="O1614" s="90"/>
      <c r="P1614" s="91"/>
      <c r="Q1614" s="92"/>
      <c r="R1614" s="68" t="str">
        <f t="shared" si="28"/>
        <v/>
      </c>
      <c r="S1614" s="22"/>
    </row>
    <row r="1615" spans="1:19" ht="18" customHeight="1">
      <c r="A1615" s="85"/>
      <c r="B1615" s="86"/>
      <c r="C1615" s="22"/>
      <c r="D1615" s="85"/>
      <c r="E1615" s="87"/>
      <c r="F1615" s="85"/>
      <c r="G1615" s="22"/>
      <c r="H1615" s="88"/>
      <c r="J1615" s="22"/>
      <c r="M1615" s="89"/>
      <c r="N1615" s="60"/>
      <c r="O1615" s="90"/>
      <c r="P1615" s="91"/>
      <c r="Q1615" s="92"/>
      <c r="R1615" s="68" t="str">
        <f t="shared" si="28"/>
        <v/>
      </c>
      <c r="S1615" s="22"/>
    </row>
    <row r="1616" spans="1:19" ht="18" customHeight="1">
      <c r="A1616" s="85"/>
      <c r="B1616" s="86"/>
      <c r="C1616" s="22"/>
      <c r="D1616" s="85"/>
      <c r="E1616" s="87"/>
      <c r="F1616" s="85"/>
      <c r="G1616" s="22"/>
      <c r="H1616" s="88"/>
      <c r="J1616" s="22"/>
      <c r="M1616" s="89"/>
      <c r="N1616" s="60"/>
      <c r="O1616" s="90"/>
      <c r="P1616" s="91"/>
      <c r="Q1616" s="92"/>
      <c r="R1616" s="68" t="str">
        <f t="shared" si="28"/>
        <v/>
      </c>
      <c r="S1616" s="22"/>
    </row>
    <row r="1617" spans="1:19" ht="18" customHeight="1">
      <c r="A1617" s="85"/>
      <c r="B1617" s="86"/>
      <c r="C1617" s="22"/>
      <c r="D1617" s="85"/>
      <c r="E1617" s="87"/>
      <c r="F1617" s="85"/>
      <c r="G1617" s="22"/>
      <c r="H1617" s="88"/>
      <c r="J1617" s="22"/>
      <c r="M1617" s="89"/>
      <c r="N1617" s="60"/>
      <c r="O1617" s="90"/>
      <c r="P1617" s="91"/>
      <c r="Q1617" s="92"/>
      <c r="R1617" s="68" t="str">
        <f t="shared" si="28"/>
        <v/>
      </c>
      <c r="S1617" s="22"/>
    </row>
    <row r="1618" spans="1:19" ht="18" customHeight="1">
      <c r="A1618" s="85"/>
      <c r="B1618" s="86"/>
      <c r="C1618" s="22"/>
      <c r="D1618" s="85"/>
      <c r="E1618" s="87"/>
      <c r="F1618" s="85"/>
      <c r="G1618" s="22"/>
      <c r="H1618" s="88"/>
      <c r="J1618" s="22"/>
      <c r="M1618" s="89"/>
      <c r="N1618" s="60"/>
      <c r="O1618" s="90"/>
      <c r="P1618" s="91"/>
      <c r="Q1618" s="92"/>
      <c r="R1618" s="68" t="str">
        <f t="shared" si="28"/>
        <v/>
      </c>
      <c r="S1618" s="22"/>
    </row>
    <row r="1619" spans="1:19" ht="18" customHeight="1">
      <c r="A1619" s="85"/>
      <c r="B1619" s="86"/>
      <c r="C1619" s="22"/>
      <c r="D1619" s="85"/>
      <c r="E1619" s="87"/>
      <c r="F1619" s="85"/>
      <c r="G1619" s="22"/>
      <c r="H1619" s="88"/>
      <c r="J1619" s="22"/>
      <c r="M1619" s="89"/>
      <c r="N1619" s="60"/>
      <c r="O1619" s="90"/>
      <c r="P1619" s="91"/>
      <c r="Q1619" s="92"/>
      <c r="R1619" s="68" t="str">
        <f t="shared" si="28"/>
        <v/>
      </c>
      <c r="S1619" s="22"/>
    </row>
    <row r="1620" spans="1:19" ht="18" customHeight="1">
      <c r="A1620" s="85"/>
      <c r="B1620" s="86"/>
      <c r="C1620" s="22"/>
      <c r="D1620" s="85"/>
      <c r="E1620" s="87"/>
      <c r="F1620" s="85"/>
      <c r="G1620" s="22"/>
      <c r="H1620" s="88"/>
      <c r="J1620" s="22"/>
      <c r="M1620" s="89"/>
      <c r="N1620" s="60"/>
      <c r="O1620" s="90"/>
      <c r="P1620" s="91"/>
      <c r="Q1620" s="92"/>
      <c r="R1620" s="68" t="str">
        <f t="shared" si="28"/>
        <v/>
      </c>
      <c r="S1620" s="22"/>
    </row>
    <row r="1621" spans="1:19" ht="18" customHeight="1">
      <c r="A1621" s="85"/>
      <c r="B1621" s="86"/>
      <c r="C1621" s="22"/>
      <c r="D1621" s="85"/>
      <c r="E1621" s="87"/>
      <c r="F1621" s="85"/>
      <c r="G1621" s="22"/>
      <c r="H1621" s="88"/>
      <c r="J1621" s="22"/>
      <c r="M1621" s="89"/>
      <c r="N1621" s="60"/>
      <c r="O1621" s="90"/>
      <c r="P1621" s="91"/>
      <c r="Q1621" s="92"/>
      <c r="R1621" s="68" t="str">
        <f t="shared" si="28"/>
        <v/>
      </c>
      <c r="S1621" s="22"/>
    </row>
    <row r="1622" spans="1:19" ht="18" customHeight="1">
      <c r="A1622" s="85"/>
      <c r="B1622" s="86"/>
      <c r="C1622" s="22"/>
      <c r="D1622" s="85"/>
      <c r="E1622" s="87"/>
      <c r="F1622" s="85"/>
      <c r="G1622" s="22"/>
      <c r="H1622" s="88"/>
      <c r="J1622" s="22"/>
      <c r="M1622" s="89"/>
      <c r="N1622" s="60"/>
      <c r="O1622" s="90"/>
      <c r="P1622" s="91"/>
      <c r="Q1622" s="92"/>
      <c r="R1622" s="68" t="str">
        <f t="shared" si="28"/>
        <v/>
      </c>
      <c r="S1622" s="22"/>
    </row>
    <row r="1623" spans="1:19" ht="18" customHeight="1">
      <c r="A1623" s="85"/>
      <c r="B1623" s="86"/>
      <c r="C1623" s="22"/>
      <c r="D1623" s="85"/>
      <c r="E1623" s="87"/>
      <c r="F1623" s="85"/>
      <c r="G1623" s="22"/>
      <c r="H1623" s="88"/>
      <c r="J1623" s="22"/>
      <c r="M1623" s="89"/>
      <c r="N1623" s="60"/>
      <c r="O1623" s="90"/>
      <c r="P1623" s="91"/>
      <c r="Q1623" s="92"/>
      <c r="R1623" s="68" t="str">
        <f t="shared" si="28"/>
        <v/>
      </c>
      <c r="S1623" s="22"/>
    </row>
    <row r="1624" spans="1:19" ht="18" customHeight="1">
      <c r="A1624" s="85"/>
      <c r="B1624" s="86"/>
      <c r="C1624" s="22"/>
      <c r="D1624" s="85"/>
      <c r="E1624" s="87"/>
      <c r="F1624" s="85"/>
      <c r="G1624" s="22"/>
      <c r="H1624" s="88"/>
      <c r="J1624" s="22"/>
      <c r="M1624" s="89"/>
      <c r="N1624" s="60"/>
      <c r="O1624" s="90"/>
      <c r="P1624" s="91"/>
      <c r="Q1624" s="92"/>
      <c r="R1624" s="68" t="str">
        <f t="shared" si="28"/>
        <v/>
      </c>
      <c r="S1624" s="22"/>
    </row>
    <row r="1625" spans="1:19" ht="18" customHeight="1">
      <c r="A1625" s="85"/>
      <c r="B1625" s="86"/>
      <c r="C1625" s="22"/>
      <c r="D1625" s="85"/>
      <c r="E1625" s="87"/>
      <c r="F1625" s="85"/>
      <c r="G1625" s="22"/>
      <c r="H1625" s="88"/>
      <c r="J1625" s="22"/>
      <c r="M1625" s="89"/>
      <c r="N1625" s="60"/>
      <c r="O1625" s="90"/>
      <c r="P1625" s="91"/>
      <c r="Q1625" s="92"/>
      <c r="R1625" s="68" t="str">
        <f t="shared" si="28"/>
        <v/>
      </c>
      <c r="S1625" s="22"/>
    </row>
    <row r="1626" spans="1:19" ht="18" customHeight="1">
      <c r="A1626" s="85"/>
      <c r="B1626" s="86"/>
      <c r="C1626" s="22"/>
      <c r="D1626" s="85"/>
      <c r="E1626" s="87"/>
      <c r="F1626" s="85"/>
      <c r="G1626" s="22"/>
      <c r="H1626" s="88"/>
      <c r="J1626" s="22"/>
      <c r="M1626" s="89"/>
      <c r="N1626" s="60"/>
      <c r="O1626" s="90"/>
      <c r="P1626" s="91"/>
      <c r="Q1626" s="92"/>
      <c r="R1626" s="68" t="str">
        <f t="shared" si="28"/>
        <v/>
      </c>
      <c r="S1626" s="22"/>
    </row>
    <row r="1627" spans="1:19" ht="18" customHeight="1">
      <c r="A1627" s="85"/>
      <c r="B1627" s="86"/>
      <c r="C1627" s="22"/>
      <c r="D1627" s="85"/>
      <c r="E1627" s="87"/>
      <c r="F1627" s="85"/>
      <c r="G1627" s="22"/>
      <c r="H1627" s="88"/>
      <c r="J1627" s="22"/>
      <c r="M1627" s="89"/>
      <c r="N1627" s="60"/>
      <c r="O1627" s="90"/>
      <c r="P1627" s="91"/>
      <c r="Q1627" s="92"/>
      <c r="R1627" s="68" t="str">
        <f t="shared" si="28"/>
        <v/>
      </c>
      <c r="S1627" s="22"/>
    </row>
    <row r="1628" spans="1:19" ht="18" customHeight="1">
      <c r="A1628" s="85"/>
      <c r="B1628" s="86"/>
      <c r="C1628" s="22"/>
      <c r="D1628" s="85"/>
      <c r="E1628" s="87"/>
      <c r="F1628" s="85"/>
      <c r="G1628" s="22"/>
      <c r="H1628" s="88"/>
      <c r="J1628" s="22"/>
      <c r="M1628" s="89"/>
      <c r="N1628" s="60"/>
      <c r="O1628" s="90"/>
      <c r="P1628" s="91"/>
      <c r="Q1628" s="92"/>
      <c r="R1628" s="68" t="str">
        <f t="shared" si="28"/>
        <v/>
      </c>
      <c r="S1628" s="22"/>
    </row>
    <row r="1629" spans="1:19" ht="18" customHeight="1">
      <c r="A1629" s="85"/>
      <c r="B1629" s="86"/>
      <c r="C1629" s="22"/>
      <c r="D1629" s="85"/>
      <c r="E1629" s="87"/>
      <c r="F1629" s="85"/>
      <c r="G1629" s="22"/>
      <c r="H1629" s="88"/>
      <c r="J1629" s="22"/>
      <c r="M1629" s="89"/>
      <c r="N1629" s="60"/>
      <c r="O1629" s="90"/>
      <c r="P1629" s="91"/>
      <c r="Q1629" s="92"/>
      <c r="R1629" s="68" t="str">
        <f t="shared" si="28"/>
        <v/>
      </c>
      <c r="S1629" s="22"/>
    </row>
    <row r="1630" spans="1:19" ht="18" customHeight="1">
      <c r="A1630" s="85"/>
      <c r="B1630" s="86"/>
      <c r="C1630" s="22"/>
      <c r="D1630" s="85"/>
      <c r="E1630" s="87"/>
      <c r="F1630" s="85"/>
      <c r="G1630" s="22"/>
      <c r="H1630" s="88"/>
      <c r="J1630" s="22"/>
      <c r="M1630" s="89"/>
      <c r="N1630" s="60"/>
      <c r="O1630" s="90"/>
      <c r="P1630" s="91"/>
      <c r="Q1630" s="92"/>
      <c r="R1630" s="68" t="str">
        <f t="shared" si="28"/>
        <v/>
      </c>
      <c r="S1630" s="22"/>
    </row>
    <row r="1631" spans="1:19" ht="18" customHeight="1">
      <c r="A1631" s="85"/>
      <c r="B1631" s="86"/>
      <c r="C1631" s="22"/>
      <c r="D1631" s="85"/>
      <c r="E1631" s="87"/>
      <c r="F1631" s="85"/>
      <c r="G1631" s="22"/>
      <c r="H1631" s="88"/>
      <c r="J1631" s="22"/>
      <c r="M1631" s="89"/>
      <c r="N1631" s="60"/>
      <c r="O1631" s="90"/>
      <c r="P1631" s="91"/>
      <c r="Q1631" s="92"/>
      <c r="R1631" s="68" t="str">
        <f t="shared" si="28"/>
        <v/>
      </c>
      <c r="S1631" s="22"/>
    </row>
    <row r="1632" spans="1:19" ht="18" customHeight="1">
      <c r="A1632" s="85"/>
      <c r="B1632" s="86"/>
      <c r="C1632" s="22"/>
      <c r="D1632" s="85"/>
      <c r="E1632" s="87"/>
      <c r="F1632" s="85"/>
      <c r="G1632" s="22"/>
      <c r="H1632" s="88"/>
      <c r="J1632" s="22"/>
      <c r="M1632" s="89"/>
      <c r="N1632" s="60"/>
      <c r="O1632" s="90"/>
      <c r="P1632" s="91"/>
      <c r="Q1632" s="92"/>
      <c r="R1632" s="68" t="str">
        <f t="shared" si="28"/>
        <v/>
      </c>
      <c r="S1632" s="22"/>
    </row>
    <row r="1633" spans="1:19" ht="18" customHeight="1">
      <c r="A1633" s="85"/>
      <c r="B1633" s="86"/>
      <c r="C1633" s="22"/>
      <c r="D1633" s="85"/>
      <c r="E1633" s="87"/>
      <c r="F1633" s="85"/>
      <c r="G1633" s="22"/>
      <c r="H1633" s="88"/>
      <c r="J1633" s="22"/>
      <c r="M1633" s="89"/>
      <c r="N1633" s="60"/>
      <c r="O1633" s="90"/>
      <c r="P1633" s="91"/>
      <c r="Q1633" s="92"/>
      <c r="R1633" s="68" t="str">
        <f t="shared" si="28"/>
        <v/>
      </c>
      <c r="S1633" s="22"/>
    </row>
    <row r="1634" spans="1:19" ht="18" customHeight="1">
      <c r="A1634" s="85"/>
      <c r="B1634" s="86"/>
      <c r="C1634" s="22"/>
      <c r="D1634" s="85"/>
      <c r="E1634" s="87"/>
      <c r="F1634" s="85"/>
      <c r="G1634" s="22"/>
      <c r="H1634" s="88"/>
      <c r="J1634" s="22"/>
      <c r="M1634" s="89"/>
      <c r="N1634" s="60"/>
      <c r="O1634" s="90"/>
      <c r="P1634" s="91"/>
      <c r="Q1634" s="92"/>
      <c r="R1634" s="68" t="str">
        <f t="shared" si="28"/>
        <v/>
      </c>
      <c r="S1634" s="22"/>
    </row>
    <row r="1635" spans="1:19" ht="18" customHeight="1">
      <c r="A1635" s="85"/>
      <c r="B1635" s="86"/>
      <c r="C1635" s="22"/>
      <c r="D1635" s="85"/>
      <c r="E1635" s="87"/>
      <c r="F1635" s="85"/>
      <c r="G1635" s="22"/>
      <c r="H1635" s="88"/>
      <c r="J1635" s="22"/>
      <c r="M1635" s="89"/>
      <c r="N1635" s="60"/>
      <c r="O1635" s="90"/>
      <c r="P1635" s="91"/>
      <c r="Q1635" s="92"/>
      <c r="R1635" s="68" t="str">
        <f t="shared" si="28"/>
        <v/>
      </c>
      <c r="S1635" s="22"/>
    </row>
    <row r="1636" spans="1:19" ht="18" customHeight="1">
      <c r="A1636" s="85"/>
      <c r="B1636" s="86"/>
      <c r="C1636" s="22"/>
      <c r="D1636" s="85"/>
      <c r="E1636" s="87"/>
      <c r="F1636" s="85"/>
      <c r="G1636" s="22"/>
      <c r="H1636" s="88"/>
      <c r="J1636" s="22"/>
      <c r="M1636" s="89"/>
      <c r="N1636" s="60"/>
      <c r="O1636" s="90"/>
      <c r="P1636" s="91"/>
      <c r="Q1636" s="92"/>
      <c r="R1636" s="68" t="str">
        <f t="shared" si="28"/>
        <v/>
      </c>
      <c r="S1636" s="22"/>
    </row>
    <row r="1637" spans="1:19" ht="18" customHeight="1">
      <c r="A1637" s="85"/>
      <c r="B1637" s="86"/>
      <c r="C1637" s="22"/>
      <c r="D1637" s="85"/>
      <c r="E1637" s="87"/>
      <c r="F1637" s="85"/>
      <c r="G1637" s="22"/>
      <c r="H1637" s="88"/>
      <c r="J1637" s="22"/>
      <c r="M1637" s="89"/>
      <c r="N1637" s="60"/>
      <c r="O1637" s="90"/>
      <c r="P1637" s="91"/>
      <c r="Q1637" s="92"/>
      <c r="R1637" s="68" t="str">
        <f t="shared" si="28"/>
        <v/>
      </c>
      <c r="S1637" s="22"/>
    </row>
    <row r="1638" spans="1:19" ht="18" customHeight="1">
      <c r="A1638" s="85"/>
      <c r="B1638" s="86"/>
      <c r="C1638" s="22"/>
      <c r="D1638" s="85"/>
      <c r="E1638" s="87"/>
      <c r="F1638" s="85"/>
      <c r="G1638" s="22"/>
      <c r="H1638" s="88"/>
      <c r="J1638" s="22"/>
      <c r="M1638" s="89"/>
      <c r="N1638" s="60"/>
      <c r="O1638" s="90"/>
      <c r="P1638" s="91"/>
      <c r="Q1638" s="92"/>
      <c r="R1638" s="68" t="str">
        <f t="shared" si="28"/>
        <v/>
      </c>
      <c r="S1638" s="22"/>
    </row>
    <row r="1639" spans="1:19" ht="18" customHeight="1">
      <c r="A1639" s="85"/>
      <c r="B1639" s="86"/>
      <c r="C1639" s="22"/>
      <c r="D1639" s="85"/>
      <c r="E1639" s="87"/>
      <c r="F1639" s="85"/>
      <c r="G1639" s="22"/>
      <c r="H1639" s="88"/>
      <c r="J1639" s="22"/>
      <c r="M1639" s="89"/>
      <c r="N1639" s="60"/>
      <c r="O1639" s="90"/>
      <c r="P1639" s="91"/>
      <c r="Q1639" s="92"/>
      <c r="R1639" s="68" t="str">
        <f t="shared" si="28"/>
        <v/>
      </c>
      <c r="S1639" s="22"/>
    </row>
    <row r="1640" spans="1:19" ht="18" customHeight="1">
      <c r="A1640" s="85"/>
      <c r="B1640" s="86"/>
      <c r="C1640" s="22"/>
      <c r="D1640" s="85"/>
      <c r="E1640" s="87"/>
      <c r="F1640" s="85"/>
      <c r="G1640" s="22"/>
      <c r="H1640" s="88"/>
      <c r="J1640" s="22"/>
      <c r="M1640" s="89"/>
      <c r="N1640" s="60"/>
      <c r="O1640" s="90"/>
      <c r="P1640" s="91"/>
      <c r="Q1640" s="92"/>
      <c r="R1640" s="68" t="str">
        <f t="shared" si="28"/>
        <v/>
      </c>
      <c r="S1640" s="22"/>
    </row>
    <row r="1641" spans="1:19" ht="18" customHeight="1">
      <c r="A1641" s="85"/>
      <c r="B1641" s="86"/>
      <c r="C1641" s="22"/>
      <c r="D1641" s="85"/>
      <c r="E1641" s="87"/>
      <c r="F1641" s="85"/>
      <c r="G1641" s="22"/>
      <c r="H1641" s="88"/>
      <c r="J1641" s="22"/>
      <c r="M1641" s="89"/>
      <c r="N1641" s="60"/>
      <c r="O1641" s="90"/>
      <c r="P1641" s="91"/>
      <c r="Q1641" s="92"/>
      <c r="R1641" s="68" t="str">
        <f t="shared" si="28"/>
        <v/>
      </c>
      <c r="S1641" s="22"/>
    </row>
    <row r="1642" spans="1:19" ht="18" customHeight="1">
      <c r="A1642" s="85"/>
      <c r="B1642" s="86"/>
      <c r="C1642" s="22"/>
      <c r="D1642" s="85"/>
      <c r="E1642" s="87"/>
      <c r="F1642" s="85"/>
      <c r="G1642" s="22"/>
      <c r="H1642" s="88"/>
      <c r="J1642" s="22"/>
      <c r="M1642" s="89"/>
      <c r="N1642" s="60"/>
      <c r="O1642" s="90"/>
      <c r="P1642" s="91"/>
      <c r="Q1642" s="92"/>
      <c r="R1642" s="68" t="str">
        <f t="shared" si="28"/>
        <v/>
      </c>
      <c r="S1642" s="22"/>
    </row>
    <row r="1643" spans="1:19" ht="18" customHeight="1">
      <c r="A1643" s="85"/>
      <c r="B1643" s="86"/>
      <c r="C1643" s="22"/>
      <c r="D1643" s="85"/>
      <c r="E1643" s="87"/>
      <c r="F1643" s="85"/>
      <c r="G1643" s="22"/>
      <c r="H1643" s="88"/>
      <c r="J1643" s="22"/>
      <c r="M1643" s="89"/>
      <c r="N1643" s="60"/>
      <c r="O1643" s="90"/>
      <c r="P1643" s="91"/>
      <c r="Q1643" s="92"/>
      <c r="R1643" s="68" t="str">
        <f t="shared" si="28"/>
        <v/>
      </c>
      <c r="S1643" s="22"/>
    </row>
    <row r="1644" spans="1:19" ht="18" customHeight="1">
      <c r="A1644" s="85"/>
      <c r="B1644" s="86"/>
      <c r="C1644" s="22"/>
      <c r="D1644" s="85"/>
      <c r="E1644" s="87"/>
      <c r="F1644" s="85"/>
      <c r="G1644" s="22"/>
      <c r="H1644" s="88"/>
      <c r="J1644" s="22"/>
      <c r="M1644" s="89"/>
      <c r="N1644" s="60"/>
      <c r="O1644" s="90"/>
      <c r="P1644" s="91"/>
      <c r="Q1644" s="92"/>
      <c r="R1644" s="68" t="str">
        <f t="shared" si="28"/>
        <v/>
      </c>
      <c r="S1644" s="22"/>
    </row>
    <row r="1645" spans="1:19" ht="18" customHeight="1">
      <c r="A1645" s="85"/>
      <c r="B1645" s="86"/>
      <c r="C1645" s="22"/>
      <c r="D1645" s="85"/>
      <c r="E1645" s="87"/>
      <c r="F1645" s="85"/>
      <c r="G1645" s="22"/>
      <c r="H1645" s="88"/>
      <c r="J1645" s="22"/>
      <c r="M1645" s="89"/>
      <c r="N1645" s="60"/>
      <c r="O1645" s="90"/>
      <c r="P1645" s="91"/>
      <c r="Q1645" s="92"/>
      <c r="R1645" s="68" t="str">
        <f t="shared" si="28"/>
        <v/>
      </c>
      <c r="S1645" s="22"/>
    </row>
    <row r="1646" spans="1:19" ht="18" customHeight="1">
      <c r="A1646" s="85"/>
      <c r="B1646" s="86"/>
      <c r="C1646" s="22"/>
      <c r="D1646" s="85"/>
      <c r="E1646" s="87"/>
      <c r="F1646" s="85"/>
      <c r="G1646" s="22"/>
      <c r="H1646" s="88"/>
      <c r="J1646" s="22"/>
      <c r="M1646" s="89"/>
      <c r="N1646" s="60"/>
      <c r="O1646" s="90"/>
      <c r="P1646" s="91"/>
      <c r="Q1646" s="92"/>
      <c r="R1646" s="68" t="str">
        <f t="shared" si="28"/>
        <v/>
      </c>
      <c r="S1646" s="22"/>
    </row>
    <row r="1647" spans="1:19" ht="18" customHeight="1">
      <c r="A1647" s="85"/>
      <c r="B1647" s="86"/>
      <c r="C1647" s="22"/>
      <c r="D1647" s="85"/>
      <c r="E1647" s="87"/>
      <c r="F1647" s="85"/>
      <c r="G1647" s="22"/>
      <c r="H1647" s="88"/>
      <c r="J1647" s="22"/>
      <c r="M1647" s="89"/>
      <c r="N1647" s="60"/>
      <c r="O1647" s="90"/>
      <c r="P1647" s="91"/>
      <c r="Q1647" s="92"/>
      <c r="R1647" s="68" t="str">
        <f t="shared" si="28"/>
        <v/>
      </c>
      <c r="S1647" s="22"/>
    </row>
    <row r="1648" spans="1:19" ht="18" customHeight="1">
      <c r="A1648" s="85"/>
      <c r="B1648" s="86"/>
      <c r="C1648" s="22"/>
      <c r="D1648" s="85"/>
      <c r="E1648" s="87"/>
      <c r="F1648" s="85"/>
      <c r="G1648" s="22"/>
      <c r="H1648" s="88"/>
      <c r="J1648" s="22"/>
      <c r="M1648" s="89"/>
      <c r="N1648" s="60"/>
      <c r="O1648" s="90"/>
      <c r="P1648" s="91"/>
      <c r="Q1648" s="92"/>
      <c r="R1648" s="68" t="str">
        <f t="shared" si="28"/>
        <v/>
      </c>
      <c r="S1648" s="22"/>
    </row>
    <row r="1649" spans="1:19" ht="18" customHeight="1">
      <c r="A1649" s="85"/>
      <c r="B1649" s="86"/>
      <c r="C1649" s="22"/>
      <c r="D1649" s="85"/>
      <c r="E1649" s="87"/>
      <c r="F1649" s="85"/>
      <c r="G1649" s="22"/>
      <c r="H1649" s="88"/>
      <c r="J1649" s="22"/>
      <c r="M1649" s="89"/>
      <c r="N1649" s="60"/>
      <c r="O1649" s="90"/>
      <c r="P1649" s="91"/>
      <c r="Q1649" s="92"/>
      <c r="R1649" s="68" t="str">
        <f t="shared" si="28"/>
        <v/>
      </c>
      <c r="S1649" s="22"/>
    </row>
    <row r="1650" spans="1:19" ht="18" customHeight="1">
      <c r="A1650" s="85"/>
      <c r="B1650" s="86"/>
      <c r="C1650" s="22"/>
      <c r="D1650" s="85"/>
      <c r="E1650" s="87"/>
      <c r="F1650" s="85"/>
      <c r="G1650" s="22"/>
      <c r="H1650" s="88"/>
      <c r="J1650" s="22"/>
      <c r="M1650" s="89"/>
      <c r="N1650" s="60"/>
      <c r="O1650" s="90"/>
      <c r="P1650" s="91"/>
      <c r="Q1650" s="92"/>
      <c r="R1650" s="68" t="str">
        <f t="shared" si="28"/>
        <v/>
      </c>
      <c r="S1650" s="22"/>
    </row>
    <row r="1651" spans="1:19" ht="18" customHeight="1">
      <c r="A1651" s="85"/>
      <c r="B1651" s="86"/>
      <c r="C1651" s="22"/>
      <c r="D1651" s="85"/>
      <c r="E1651" s="87"/>
      <c r="F1651" s="85"/>
      <c r="G1651" s="22"/>
      <c r="H1651" s="88"/>
      <c r="J1651" s="22"/>
      <c r="M1651" s="89"/>
      <c r="N1651" s="60"/>
      <c r="O1651" s="90"/>
      <c r="P1651" s="91"/>
      <c r="Q1651" s="92"/>
      <c r="R1651" s="68" t="str">
        <f t="shared" si="28"/>
        <v/>
      </c>
      <c r="S1651" s="22"/>
    </row>
    <row r="1652" spans="1:19" ht="18" customHeight="1">
      <c r="A1652" s="85"/>
      <c r="B1652" s="86"/>
      <c r="C1652" s="22"/>
      <c r="D1652" s="85"/>
      <c r="E1652" s="87"/>
      <c r="F1652" s="85"/>
      <c r="G1652" s="22"/>
      <c r="H1652" s="88"/>
      <c r="J1652" s="22"/>
      <c r="M1652" s="89"/>
      <c r="N1652" s="60"/>
      <c r="O1652" s="90"/>
      <c r="P1652" s="91"/>
      <c r="Q1652" s="92"/>
      <c r="R1652" s="68" t="str">
        <f t="shared" ref="R1652:R1715" si="29">IF(SUM(Q1652)&gt;0,SUM(Q1652-P1652),"")</f>
        <v/>
      </c>
      <c r="S1652" s="22"/>
    </row>
    <row r="1653" spans="1:19" ht="18" customHeight="1">
      <c r="A1653" s="85"/>
      <c r="B1653" s="86"/>
      <c r="C1653" s="22"/>
      <c r="D1653" s="85"/>
      <c r="E1653" s="87"/>
      <c r="F1653" s="85"/>
      <c r="G1653" s="22"/>
      <c r="H1653" s="88"/>
      <c r="J1653" s="22"/>
      <c r="M1653" s="89"/>
      <c r="N1653" s="60"/>
      <c r="O1653" s="90"/>
      <c r="P1653" s="91"/>
      <c r="Q1653" s="92"/>
      <c r="R1653" s="68" t="str">
        <f t="shared" si="29"/>
        <v/>
      </c>
      <c r="S1653" s="22"/>
    </row>
    <row r="1654" spans="1:19" ht="18" customHeight="1">
      <c r="A1654" s="85"/>
      <c r="B1654" s="86"/>
      <c r="C1654" s="22"/>
      <c r="D1654" s="85"/>
      <c r="E1654" s="87"/>
      <c r="F1654" s="85"/>
      <c r="G1654" s="22"/>
      <c r="H1654" s="88"/>
      <c r="J1654" s="22"/>
      <c r="M1654" s="89"/>
      <c r="N1654" s="60"/>
      <c r="O1654" s="90"/>
      <c r="P1654" s="91"/>
      <c r="Q1654" s="92"/>
      <c r="R1654" s="68" t="str">
        <f t="shared" si="29"/>
        <v/>
      </c>
      <c r="S1654" s="22"/>
    </row>
    <row r="1655" spans="1:19" ht="18" customHeight="1">
      <c r="A1655" s="85"/>
      <c r="B1655" s="86"/>
      <c r="C1655" s="22"/>
      <c r="D1655" s="85"/>
      <c r="E1655" s="87"/>
      <c r="F1655" s="85"/>
      <c r="G1655" s="22"/>
      <c r="H1655" s="88"/>
      <c r="J1655" s="22"/>
      <c r="M1655" s="89"/>
      <c r="N1655" s="60"/>
      <c r="O1655" s="90"/>
      <c r="P1655" s="91"/>
      <c r="Q1655" s="92"/>
      <c r="R1655" s="68" t="str">
        <f t="shared" si="29"/>
        <v/>
      </c>
      <c r="S1655" s="22"/>
    </row>
    <row r="1656" spans="1:19" ht="18" customHeight="1">
      <c r="A1656" s="85"/>
      <c r="B1656" s="86"/>
      <c r="C1656" s="22"/>
      <c r="D1656" s="85"/>
      <c r="E1656" s="87"/>
      <c r="F1656" s="85"/>
      <c r="G1656" s="22"/>
      <c r="H1656" s="88"/>
      <c r="J1656" s="22"/>
      <c r="M1656" s="89"/>
      <c r="N1656" s="60"/>
      <c r="O1656" s="90"/>
      <c r="P1656" s="91"/>
      <c r="Q1656" s="92"/>
      <c r="R1656" s="68" t="str">
        <f t="shared" si="29"/>
        <v/>
      </c>
      <c r="S1656" s="22"/>
    </row>
    <row r="1657" spans="1:19" ht="18" customHeight="1">
      <c r="A1657" s="85"/>
      <c r="B1657" s="86"/>
      <c r="C1657" s="22"/>
      <c r="D1657" s="85"/>
      <c r="E1657" s="87"/>
      <c r="F1657" s="85"/>
      <c r="G1657" s="22"/>
      <c r="H1657" s="88"/>
      <c r="J1657" s="22"/>
      <c r="M1657" s="89"/>
      <c r="N1657" s="60"/>
      <c r="O1657" s="90"/>
      <c r="P1657" s="91"/>
      <c r="Q1657" s="92"/>
      <c r="R1657" s="68" t="str">
        <f t="shared" si="29"/>
        <v/>
      </c>
      <c r="S1657" s="22"/>
    </row>
    <row r="1658" spans="1:19" ht="18" customHeight="1">
      <c r="A1658" s="85"/>
      <c r="B1658" s="86"/>
      <c r="C1658" s="22"/>
      <c r="D1658" s="85"/>
      <c r="E1658" s="87"/>
      <c r="F1658" s="85"/>
      <c r="G1658" s="22"/>
      <c r="H1658" s="88"/>
      <c r="J1658" s="22"/>
      <c r="M1658" s="89"/>
      <c r="N1658" s="60"/>
      <c r="O1658" s="90"/>
      <c r="P1658" s="91"/>
      <c r="Q1658" s="92"/>
      <c r="R1658" s="68" t="str">
        <f t="shared" si="29"/>
        <v/>
      </c>
      <c r="S1658" s="22"/>
    </row>
    <row r="1659" spans="1:19" ht="18" customHeight="1">
      <c r="A1659" s="85"/>
      <c r="B1659" s="86"/>
      <c r="C1659" s="22"/>
      <c r="D1659" s="85"/>
      <c r="E1659" s="87"/>
      <c r="F1659" s="85"/>
      <c r="G1659" s="22"/>
      <c r="H1659" s="88"/>
      <c r="J1659" s="22"/>
      <c r="M1659" s="89"/>
      <c r="N1659" s="60"/>
      <c r="O1659" s="90"/>
      <c r="P1659" s="91"/>
      <c r="Q1659" s="92"/>
      <c r="R1659" s="68" t="str">
        <f t="shared" si="29"/>
        <v/>
      </c>
      <c r="S1659" s="22"/>
    </row>
    <row r="1660" spans="1:19" ht="18" customHeight="1">
      <c r="A1660" s="85"/>
      <c r="B1660" s="86"/>
      <c r="C1660" s="22"/>
      <c r="D1660" s="85"/>
      <c r="E1660" s="87"/>
      <c r="F1660" s="85"/>
      <c r="G1660" s="22"/>
      <c r="H1660" s="88"/>
      <c r="J1660" s="22"/>
      <c r="M1660" s="89"/>
      <c r="N1660" s="60"/>
      <c r="O1660" s="90"/>
      <c r="P1660" s="91"/>
      <c r="Q1660" s="92"/>
      <c r="R1660" s="68" t="str">
        <f t="shared" si="29"/>
        <v/>
      </c>
      <c r="S1660" s="22"/>
    </row>
    <row r="1661" spans="1:19" ht="18" customHeight="1">
      <c r="A1661" s="85"/>
      <c r="B1661" s="86"/>
      <c r="C1661" s="22"/>
      <c r="D1661" s="85"/>
      <c r="E1661" s="87"/>
      <c r="F1661" s="85"/>
      <c r="G1661" s="22"/>
      <c r="H1661" s="88"/>
      <c r="J1661" s="22"/>
      <c r="M1661" s="89"/>
      <c r="N1661" s="60"/>
      <c r="O1661" s="90"/>
      <c r="P1661" s="91"/>
      <c r="Q1661" s="92"/>
      <c r="R1661" s="68" t="str">
        <f t="shared" si="29"/>
        <v/>
      </c>
      <c r="S1661" s="22"/>
    </row>
    <row r="1662" spans="1:19" ht="18" customHeight="1">
      <c r="A1662" s="85"/>
      <c r="B1662" s="86"/>
      <c r="C1662" s="22"/>
      <c r="D1662" s="85"/>
      <c r="E1662" s="87"/>
      <c r="F1662" s="85"/>
      <c r="G1662" s="22"/>
      <c r="H1662" s="88"/>
      <c r="J1662" s="22"/>
      <c r="M1662" s="89"/>
      <c r="N1662" s="60"/>
      <c r="O1662" s="90"/>
      <c r="P1662" s="91"/>
      <c r="Q1662" s="92"/>
      <c r="R1662" s="68" t="str">
        <f t="shared" si="29"/>
        <v/>
      </c>
      <c r="S1662" s="22"/>
    </row>
    <row r="1663" spans="1:19" ht="18" customHeight="1">
      <c r="A1663" s="85"/>
      <c r="B1663" s="86"/>
      <c r="C1663" s="22"/>
      <c r="D1663" s="85"/>
      <c r="E1663" s="87"/>
      <c r="F1663" s="85"/>
      <c r="G1663" s="22"/>
      <c r="H1663" s="88"/>
      <c r="J1663" s="22"/>
      <c r="M1663" s="89"/>
      <c r="N1663" s="60"/>
      <c r="O1663" s="90"/>
      <c r="P1663" s="91"/>
      <c r="Q1663" s="92"/>
      <c r="R1663" s="68" t="str">
        <f t="shared" si="29"/>
        <v/>
      </c>
      <c r="S1663" s="22"/>
    </row>
    <row r="1664" spans="1:19" ht="18" customHeight="1">
      <c r="A1664" s="85"/>
      <c r="B1664" s="86"/>
      <c r="C1664" s="22"/>
      <c r="D1664" s="85"/>
      <c r="E1664" s="87"/>
      <c r="F1664" s="85"/>
      <c r="G1664" s="22"/>
      <c r="H1664" s="88"/>
      <c r="J1664" s="22"/>
      <c r="M1664" s="89"/>
      <c r="N1664" s="60"/>
      <c r="O1664" s="90"/>
      <c r="P1664" s="91"/>
      <c r="Q1664" s="92"/>
      <c r="R1664" s="68" t="str">
        <f t="shared" si="29"/>
        <v/>
      </c>
      <c r="S1664" s="22"/>
    </row>
    <row r="1665" spans="1:19" ht="18" customHeight="1">
      <c r="A1665" s="85"/>
      <c r="B1665" s="86"/>
      <c r="C1665" s="22"/>
      <c r="D1665" s="85"/>
      <c r="E1665" s="87"/>
      <c r="F1665" s="85"/>
      <c r="G1665" s="22"/>
      <c r="H1665" s="88"/>
      <c r="J1665" s="22"/>
      <c r="M1665" s="89"/>
      <c r="N1665" s="60"/>
      <c r="O1665" s="90"/>
      <c r="P1665" s="91"/>
      <c r="Q1665" s="92"/>
      <c r="R1665" s="68" t="str">
        <f t="shared" si="29"/>
        <v/>
      </c>
      <c r="S1665" s="22"/>
    </row>
    <row r="1666" spans="1:19" ht="18" customHeight="1">
      <c r="A1666" s="85"/>
      <c r="B1666" s="86"/>
      <c r="C1666" s="22"/>
      <c r="D1666" s="85"/>
      <c r="E1666" s="87"/>
      <c r="F1666" s="85"/>
      <c r="G1666" s="22"/>
      <c r="H1666" s="88"/>
      <c r="J1666" s="22"/>
      <c r="M1666" s="89"/>
      <c r="N1666" s="60"/>
      <c r="O1666" s="90"/>
      <c r="P1666" s="91"/>
      <c r="Q1666" s="92"/>
      <c r="R1666" s="68" t="str">
        <f t="shared" si="29"/>
        <v/>
      </c>
      <c r="S1666" s="22"/>
    </row>
    <row r="1667" spans="1:19" ht="18" customHeight="1">
      <c r="A1667" s="85"/>
      <c r="B1667" s="86"/>
      <c r="C1667" s="22"/>
      <c r="D1667" s="85"/>
      <c r="E1667" s="87"/>
      <c r="F1667" s="85"/>
      <c r="G1667" s="22"/>
      <c r="H1667" s="88"/>
      <c r="J1667" s="22"/>
      <c r="M1667" s="89"/>
      <c r="N1667" s="60"/>
      <c r="O1667" s="90"/>
      <c r="P1667" s="91"/>
      <c r="Q1667" s="92"/>
      <c r="R1667" s="68" t="str">
        <f t="shared" si="29"/>
        <v/>
      </c>
      <c r="S1667" s="22"/>
    </row>
    <row r="1668" spans="1:19" ht="18" customHeight="1">
      <c r="A1668" s="85"/>
      <c r="B1668" s="86"/>
      <c r="C1668" s="22"/>
      <c r="D1668" s="85"/>
      <c r="E1668" s="87"/>
      <c r="F1668" s="85"/>
      <c r="G1668" s="22"/>
      <c r="H1668" s="88"/>
      <c r="J1668" s="22"/>
      <c r="M1668" s="89"/>
      <c r="N1668" s="60"/>
      <c r="O1668" s="90"/>
      <c r="P1668" s="91"/>
      <c r="Q1668" s="92"/>
      <c r="R1668" s="68" t="str">
        <f t="shared" si="29"/>
        <v/>
      </c>
      <c r="S1668" s="22"/>
    </row>
    <row r="1669" spans="1:19" ht="18" customHeight="1">
      <c r="A1669" s="85"/>
      <c r="B1669" s="86"/>
      <c r="C1669" s="22"/>
      <c r="D1669" s="85"/>
      <c r="E1669" s="87"/>
      <c r="F1669" s="85"/>
      <c r="G1669" s="22"/>
      <c r="H1669" s="88"/>
      <c r="J1669" s="22"/>
      <c r="M1669" s="89"/>
      <c r="N1669" s="60"/>
      <c r="O1669" s="90"/>
      <c r="P1669" s="91"/>
      <c r="Q1669" s="92"/>
      <c r="R1669" s="68" t="str">
        <f t="shared" si="29"/>
        <v/>
      </c>
      <c r="S1669" s="22"/>
    </row>
    <row r="1670" spans="1:19" ht="18" customHeight="1">
      <c r="A1670" s="85"/>
      <c r="B1670" s="86"/>
      <c r="C1670" s="22"/>
      <c r="D1670" s="85"/>
      <c r="E1670" s="87"/>
      <c r="F1670" s="85"/>
      <c r="G1670" s="22"/>
      <c r="H1670" s="88"/>
      <c r="J1670" s="22"/>
      <c r="M1670" s="89"/>
      <c r="N1670" s="60"/>
      <c r="O1670" s="90"/>
      <c r="P1670" s="91"/>
      <c r="Q1670" s="92"/>
      <c r="R1670" s="68" t="str">
        <f t="shared" si="29"/>
        <v/>
      </c>
      <c r="S1670" s="22"/>
    </row>
    <row r="1671" spans="1:19" ht="18" customHeight="1">
      <c r="A1671" s="85"/>
      <c r="B1671" s="86"/>
      <c r="C1671" s="22"/>
      <c r="D1671" s="85"/>
      <c r="E1671" s="87"/>
      <c r="F1671" s="85"/>
      <c r="G1671" s="22"/>
      <c r="H1671" s="88"/>
      <c r="J1671" s="22"/>
      <c r="M1671" s="89"/>
      <c r="N1671" s="60"/>
      <c r="O1671" s="90"/>
      <c r="P1671" s="91"/>
      <c r="Q1671" s="92"/>
      <c r="R1671" s="68" t="str">
        <f t="shared" si="29"/>
        <v/>
      </c>
      <c r="S1671" s="22"/>
    </row>
    <row r="1672" spans="1:19" ht="18" customHeight="1">
      <c r="A1672" s="85"/>
      <c r="B1672" s="86"/>
      <c r="C1672" s="22"/>
      <c r="D1672" s="85"/>
      <c r="E1672" s="87"/>
      <c r="F1672" s="85"/>
      <c r="G1672" s="22"/>
      <c r="H1672" s="88"/>
      <c r="J1672" s="22"/>
      <c r="M1672" s="89"/>
      <c r="N1672" s="60"/>
      <c r="O1672" s="90"/>
      <c r="P1672" s="91"/>
      <c r="Q1672" s="92"/>
      <c r="R1672" s="68" t="str">
        <f t="shared" si="29"/>
        <v/>
      </c>
      <c r="S1672" s="22"/>
    </row>
    <row r="1673" spans="1:19" ht="18" customHeight="1">
      <c r="A1673" s="85"/>
      <c r="B1673" s="86"/>
      <c r="C1673" s="22"/>
      <c r="D1673" s="85"/>
      <c r="E1673" s="87"/>
      <c r="F1673" s="85"/>
      <c r="G1673" s="22"/>
      <c r="H1673" s="88"/>
      <c r="J1673" s="22"/>
      <c r="M1673" s="89"/>
      <c r="N1673" s="60"/>
      <c r="O1673" s="90"/>
      <c r="P1673" s="91"/>
      <c r="Q1673" s="92"/>
      <c r="R1673" s="68" t="str">
        <f t="shared" si="29"/>
        <v/>
      </c>
      <c r="S1673" s="22"/>
    </row>
    <row r="1674" spans="1:19" ht="18" customHeight="1">
      <c r="A1674" s="85"/>
      <c r="B1674" s="86"/>
      <c r="C1674" s="22"/>
      <c r="D1674" s="85"/>
      <c r="E1674" s="87"/>
      <c r="F1674" s="85"/>
      <c r="G1674" s="22"/>
      <c r="H1674" s="88"/>
      <c r="J1674" s="22"/>
      <c r="M1674" s="89"/>
      <c r="N1674" s="60"/>
      <c r="O1674" s="90"/>
      <c r="P1674" s="91"/>
      <c r="Q1674" s="92"/>
      <c r="R1674" s="68" t="str">
        <f t="shared" si="29"/>
        <v/>
      </c>
      <c r="S1674" s="22"/>
    </row>
    <row r="1675" spans="1:19" ht="18" customHeight="1">
      <c r="A1675" s="85"/>
      <c r="B1675" s="86"/>
      <c r="C1675" s="22"/>
      <c r="D1675" s="85"/>
      <c r="E1675" s="87"/>
      <c r="F1675" s="85"/>
      <c r="G1675" s="22"/>
      <c r="H1675" s="88"/>
      <c r="J1675" s="22"/>
      <c r="M1675" s="89"/>
      <c r="N1675" s="60"/>
      <c r="O1675" s="90"/>
      <c r="P1675" s="91"/>
      <c r="Q1675" s="92"/>
      <c r="R1675" s="68" t="str">
        <f t="shared" si="29"/>
        <v/>
      </c>
      <c r="S1675" s="22"/>
    </row>
    <row r="1676" spans="1:19" ht="18" customHeight="1">
      <c r="A1676" s="85"/>
      <c r="B1676" s="86"/>
      <c r="C1676" s="22"/>
      <c r="D1676" s="85"/>
      <c r="E1676" s="87"/>
      <c r="F1676" s="85"/>
      <c r="G1676" s="22"/>
      <c r="H1676" s="88"/>
      <c r="J1676" s="22"/>
      <c r="M1676" s="89"/>
      <c r="N1676" s="60"/>
      <c r="O1676" s="90"/>
      <c r="P1676" s="91"/>
      <c r="Q1676" s="92"/>
      <c r="R1676" s="68" t="str">
        <f t="shared" si="29"/>
        <v/>
      </c>
      <c r="S1676" s="22"/>
    </row>
    <row r="1677" spans="1:19" ht="18" customHeight="1">
      <c r="A1677" s="85"/>
      <c r="B1677" s="86"/>
      <c r="C1677" s="22"/>
      <c r="D1677" s="85"/>
      <c r="E1677" s="87"/>
      <c r="F1677" s="85"/>
      <c r="G1677" s="22"/>
      <c r="H1677" s="88"/>
      <c r="J1677" s="22"/>
      <c r="M1677" s="89"/>
      <c r="N1677" s="60"/>
      <c r="O1677" s="90"/>
      <c r="P1677" s="91"/>
      <c r="Q1677" s="92"/>
      <c r="R1677" s="68" t="str">
        <f t="shared" si="29"/>
        <v/>
      </c>
      <c r="S1677" s="22"/>
    </row>
    <row r="1678" spans="1:19" ht="18" customHeight="1">
      <c r="A1678" s="85"/>
      <c r="B1678" s="86"/>
      <c r="C1678" s="22"/>
      <c r="D1678" s="85"/>
      <c r="E1678" s="87"/>
      <c r="F1678" s="85"/>
      <c r="G1678" s="22"/>
      <c r="H1678" s="88"/>
      <c r="J1678" s="22"/>
      <c r="M1678" s="89"/>
      <c r="N1678" s="60"/>
      <c r="O1678" s="90"/>
      <c r="P1678" s="91"/>
      <c r="Q1678" s="92"/>
      <c r="R1678" s="68" t="str">
        <f t="shared" si="29"/>
        <v/>
      </c>
      <c r="S1678" s="22"/>
    </row>
    <row r="1679" spans="1:19" ht="18" customHeight="1">
      <c r="A1679" s="85"/>
      <c r="B1679" s="86"/>
      <c r="C1679" s="22"/>
      <c r="D1679" s="85"/>
      <c r="E1679" s="87"/>
      <c r="F1679" s="85"/>
      <c r="G1679" s="22"/>
      <c r="H1679" s="88"/>
      <c r="J1679" s="22"/>
      <c r="M1679" s="89"/>
      <c r="N1679" s="60"/>
      <c r="O1679" s="90"/>
      <c r="P1679" s="91"/>
      <c r="Q1679" s="92"/>
      <c r="R1679" s="68" t="str">
        <f t="shared" si="29"/>
        <v/>
      </c>
      <c r="S1679" s="22"/>
    </row>
    <row r="1680" spans="1:19" ht="18" customHeight="1">
      <c r="A1680" s="85"/>
      <c r="B1680" s="86"/>
      <c r="C1680" s="22"/>
      <c r="D1680" s="85"/>
      <c r="E1680" s="87"/>
      <c r="F1680" s="85"/>
      <c r="G1680" s="22"/>
      <c r="H1680" s="88"/>
      <c r="J1680" s="22"/>
      <c r="M1680" s="89"/>
      <c r="N1680" s="60"/>
      <c r="O1680" s="90"/>
      <c r="P1680" s="91"/>
      <c r="Q1680" s="92"/>
      <c r="R1680" s="68" t="str">
        <f t="shared" si="29"/>
        <v/>
      </c>
      <c r="S1680" s="22"/>
    </row>
    <row r="1681" spans="1:19" ht="18" customHeight="1">
      <c r="A1681" s="85"/>
      <c r="B1681" s="86"/>
      <c r="C1681" s="22"/>
      <c r="D1681" s="85"/>
      <c r="E1681" s="87"/>
      <c r="F1681" s="85"/>
      <c r="G1681" s="22"/>
      <c r="H1681" s="88"/>
      <c r="J1681" s="22"/>
      <c r="M1681" s="89"/>
      <c r="N1681" s="60"/>
      <c r="O1681" s="90"/>
      <c r="P1681" s="91"/>
      <c r="Q1681" s="92"/>
      <c r="R1681" s="68" t="str">
        <f t="shared" si="29"/>
        <v/>
      </c>
      <c r="S1681" s="22"/>
    </row>
    <row r="1682" spans="1:19" ht="18" customHeight="1">
      <c r="A1682" s="85"/>
      <c r="B1682" s="86"/>
      <c r="C1682" s="22"/>
      <c r="D1682" s="85"/>
      <c r="E1682" s="87"/>
      <c r="F1682" s="85"/>
      <c r="G1682" s="22"/>
      <c r="H1682" s="88"/>
      <c r="J1682" s="22"/>
      <c r="M1682" s="89"/>
      <c r="N1682" s="60"/>
      <c r="O1682" s="90"/>
      <c r="P1682" s="91"/>
      <c r="Q1682" s="92"/>
      <c r="R1682" s="68" t="str">
        <f t="shared" si="29"/>
        <v/>
      </c>
      <c r="S1682" s="22"/>
    </row>
    <row r="1683" spans="1:19" ht="18" customHeight="1">
      <c r="A1683" s="85"/>
      <c r="B1683" s="86"/>
      <c r="C1683" s="22"/>
      <c r="D1683" s="85"/>
      <c r="E1683" s="87"/>
      <c r="F1683" s="85"/>
      <c r="G1683" s="22"/>
      <c r="H1683" s="88"/>
      <c r="J1683" s="22"/>
      <c r="M1683" s="89"/>
      <c r="N1683" s="60"/>
      <c r="O1683" s="90"/>
      <c r="P1683" s="91"/>
      <c r="Q1683" s="92"/>
      <c r="R1683" s="68" t="str">
        <f t="shared" si="29"/>
        <v/>
      </c>
      <c r="S1683" s="22"/>
    </row>
    <row r="1684" spans="1:19" ht="18" customHeight="1">
      <c r="A1684" s="85"/>
      <c r="B1684" s="86"/>
      <c r="C1684" s="22"/>
      <c r="D1684" s="85"/>
      <c r="E1684" s="87"/>
      <c r="F1684" s="85"/>
      <c r="G1684" s="22"/>
      <c r="H1684" s="88"/>
      <c r="J1684" s="22"/>
      <c r="M1684" s="89"/>
      <c r="N1684" s="60"/>
      <c r="O1684" s="90"/>
      <c r="P1684" s="91"/>
      <c r="Q1684" s="92"/>
      <c r="R1684" s="68" t="str">
        <f t="shared" si="29"/>
        <v/>
      </c>
      <c r="S1684" s="22"/>
    </row>
    <row r="1685" spans="1:19" ht="18" customHeight="1">
      <c r="A1685" s="85"/>
      <c r="B1685" s="86"/>
      <c r="C1685" s="22"/>
      <c r="D1685" s="85"/>
      <c r="E1685" s="87"/>
      <c r="F1685" s="85"/>
      <c r="G1685" s="22"/>
      <c r="H1685" s="88"/>
      <c r="J1685" s="22"/>
      <c r="M1685" s="89"/>
      <c r="N1685" s="60"/>
      <c r="O1685" s="90"/>
      <c r="P1685" s="91"/>
      <c r="Q1685" s="92"/>
      <c r="R1685" s="68" t="str">
        <f t="shared" si="29"/>
        <v/>
      </c>
      <c r="S1685" s="22"/>
    </row>
    <row r="1686" spans="1:19" ht="18" customHeight="1">
      <c r="A1686" s="85"/>
      <c r="B1686" s="86"/>
      <c r="C1686" s="22"/>
      <c r="D1686" s="85"/>
      <c r="E1686" s="87"/>
      <c r="F1686" s="85"/>
      <c r="G1686" s="22"/>
      <c r="H1686" s="88"/>
      <c r="J1686" s="22"/>
      <c r="M1686" s="89"/>
      <c r="N1686" s="60"/>
      <c r="O1686" s="90"/>
      <c r="P1686" s="91"/>
      <c r="Q1686" s="92"/>
      <c r="R1686" s="68" t="str">
        <f t="shared" si="29"/>
        <v/>
      </c>
      <c r="S1686" s="22"/>
    </row>
    <row r="1687" spans="1:19" ht="18" customHeight="1">
      <c r="A1687" s="85"/>
      <c r="B1687" s="86"/>
      <c r="C1687" s="22"/>
      <c r="D1687" s="85"/>
      <c r="E1687" s="87"/>
      <c r="F1687" s="85"/>
      <c r="G1687" s="22"/>
      <c r="H1687" s="88"/>
      <c r="J1687" s="22"/>
      <c r="M1687" s="89"/>
      <c r="N1687" s="60"/>
      <c r="O1687" s="90"/>
      <c r="P1687" s="91"/>
      <c r="Q1687" s="92"/>
      <c r="R1687" s="68" t="str">
        <f t="shared" si="29"/>
        <v/>
      </c>
      <c r="S1687" s="22"/>
    </row>
    <row r="1688" spans="1:19" ht="18" customHeight="1">
      <c r="A1688" s="85"/>
      <c r="B1688" s="86"/>
      <c r="C1688" s="22"/>
      <c r="D1688" s="85"/>
      <c r="E1688" s="87"/>
      <c r="F1688" s="85"/>
      <c r="G1688" s="22"/>
      <c r="H1688" s="88"/>
      <c r="J1688" s="22"/>
      <c r="M1688" s="89"/>
      <c r="N1688" s="60"/>
      <c r="O1688" s="90"/>
      <c r="P1688" s="91"/>
      <c r="Q1688" s="92"/>
      <c r="R1688" s="68" t="str">
        <f t="shared" si="29"/>
        <v/>
      </c>
      <c r="S1688" s="22"/>
    </row>
    <row r="1689" spans="1:19" ht="18" customHeight="1">
      <c r="A1689" s="85"/>
      <c r="B1689" s="86"/>
      <c r="C1689" s="22"/>
      <c r="D1689" s="85"/>
      <c r="E1689" s="87"/>
      <c r="F1689" s="85"/>
      <c r="G1689" s="22"/>
      <c r="H1689" s="88"/>
      <c r="J1689" s="22"/>
      <c r="M1689" s="89"/>
      <c r="N1689" s="60"/>
      <c r="O1689" s="90"/>
      <c r="P1689" s="91"/>
      <c r="Q1689" s="92"/>
      <c r="R1689" s="68" t="str">
        <f t="shared" si="29"/>
        <v/>
      </c>
      <c r="S1689" s="22"/>
    </row>
    <row r="1690" spans="1:19" ht="18" customHeight="1">
      <c r="A1690" s="85"/>
      <c r="B1690" s="86"/>
      <c r="C1690" s="22"/>
      <c r="D1690" s="85"/>
      <c r="E1690" s="87"/>
      <c r="F1690" s="85"/>
      <c r="G1690" s="22"/>
      <c r="H1690" s="88"/>
      <c r="J1690" s="22"/>
      <c r="M1690" s="89"/>
      <c r="N1690" s="60"/>
      <c r="O1690" s="90"/>
      <c r="P1690" s="91"/>
      <c r="Q1690" s="92"/>
      <c r="R1690" s="68" t="str">
        <f t="shared" si="29"/>
        <v/>
      </c>
      <c r="S1690" s="22"/>
    </row>
    <row r="1691" spans="1:19" ht="18" customHeight="1">
      <c r="A1691" s="85"/>
      <c r="B1691" s="86"/>
      <c r="C1691" s="22"/>
      <c r="D1691" s="85"/>
      <c r="E1691" s="87"/>
      <c r="F1691" s="85"/>
      <c r="G1691" s="22"/>
      <c r="H1691" s="88"/>
      <c r="J1691" s="22"/>
      <c r="M1691" s="89"/>
      <c r="N1691" s="60"/>
      <c r="O1691" s="90"/>
      <c r="P1691" s="91"/>
      <c r="Q1691" s="92"/>
      <c r="R1691" s="68" t="str">
        <f t="shared" si="29"/>
        <v/>
      </c>
      <c r="S1691" s="22"/>
    </row>
    <row r="1692" spans="1:19" ht="18" customHeight="1">
      <c r="A1692" s="85"/>
      <c r="B1692" s="86"/>
      <c r="C1692" s="22"/>
      <c r="D1692" s="85"/>
      <c r="E1692" s="87"/>
      <c r="F1692" s="85"/>
      <c r="G1692" s="22"/>
      <c r="H1692" s="88"/>
      <c r="J1692" s="22"/>
      <c r="M1692" s="89"/>
      <c r="N1692" s="60"/>
      <c r="O1692" s="90"/>
      <c r="P1692" s="91"/>
      <c r="Q1692" s="92"/>
      <c r="R1692" s="68" t="str">
        <f t="shared" si="29"/>
        <v/>
      </c>
      <c r="S1692" s="22"/>
    </row>
    <row r="1693" spans="1:19" ht="18" customHeight="1">
      <c r="A1693" s="85"/>
      <c r="B1693" s="86"/>
      <c r="C1693" s="22"/>
      <c r="D1693" s="85"/>
      <c r="E1693" s="87"/>
      <c r="F1693" s="85"/>
      <c r="G1693" s="22"/>
      <c r="H1693" s="88"/>
      <c r="J1693" s="22"/>
      <c r="M1693" s="89"/>
      <c r="N1693" s="60"/>
      <c r="O1693" s="90"/>
      <c r="P1693" s="91"/>
      <c r="Q1693" s="92"/>
      <c r="R1693" s="68" t="str">
        <f t="shared" si="29"/>
        <v/>
      </c>
      <c r="S1693" s="22"/>
    </row>
    <row r="1694" spans="1:19" ht="18" customHeight="1">
      <c r="A1694" s="85"/>
      <c r="B1694" s="86"/>
      <c r="C1694" s="22"/>
      <c r="D1694" s="85"/>
      <c r="E1694" s="87"/>
      <c r="F1694" s="85"/>
      <c r="G1694" s="22"/>
      <c r="H1694" s="88"/>
      <c r="J1694" s="22"/>
      <c r="M1694" s="89"/>
      <c r="N1694" s="60"/>
      <c r="O1694" s="90"/>
      <c r="P1694" s="91"/>
      <c r="Q1694" s="92"/>
      <c r="R1694" s="68" t="str">
        <f t="shared" si="29"/>
        <v/>
      </c>
      <c r="S1694" s="22"/>
    </row>
    <row r="1695" spans="1:19" ht="18" customHeight="1">
      <c r="A1695" s="85"/>
      <c r="B1695" s="86"/>
      <c r="C1695" s="22"/>
      <c r="D1695" s="85"/>
      <c r="E1695" s="87"/>
      <c r="F1695" s="85"/>
      <c r="G1695" s="22"/>
      <c r="H1695" s="88"/>
      <c r="J1695" s="22"/>
      <c r="M1695" s="89"/>
      <c r="N1695" s="60"/>
      <c r="O1695" s="90"/>
      <c r="P1695" s="91"/>
      <c r="Q1695" s="92"/>
      <c r="R1695" s="68" t="str">
        <f t="shared" si="29"/>
        <v/>
      </c>
      <c r="S1695" s="22"/>
    </row>
    <row r="1696" spans="1:19" ht="18" customHeight="1">
      <c r="A1696" s="85"/>
      <c r="B1696" s="86"/>
      <c r="C1696" s="22"/>
      <c r="D1696" s="85"/>
      <c r="E1696" s="87"/>
      <c r="F1696" s="85"/>
      <c r="G1696" s="22"/>
      <c r="H1696" s="88"/>
      <c r="J1696" s="22"/>
      <c r="M1696" s="89"/>
      <c r="N1696" s="60"/>
      <c r="O1696" s="90"/>
      <c r="P1696" s="91"/>
      <c r="Q1696" s="92"/>
      <c r="R1696" s="68" t="str">
        <f t="shared" si="29"/>
        <v/>
      </c>
      <c r="S1696" s="22"/>
    </row>
    <row r="1697" spans="1:19" ht="18" customHeight="1">
      <c r="A1697" s="85"/>
      <c r="B1697" s="86"/>
      <c r="C1697" s="22"/>
      <c r="D1697" s="85"/>
      <c r="E1697" s="87"/>
      <c r="F1697" s="85"/>
      <c r="G1697" s="22"/>
      <c r="H1697" s="88"/>
      <c r="J1697" s="22"/>
      <c r="M1697" s="89"/>
      <c r="N1697" s="60"/>
      <c r="O1697" s="90"/>
      <c r="P1697" s="91"/>
      <c r="Q1697" s="92"/>
      <c r="R1697" s="68" t="str">
        <f t="shared" si="29"/>
        <v/>
      </c>
      <c r="S1697" s="22"/>
    </row>
    <row r="1698" spans="1:19" ht="18" customHeight="1">
      <c r="A1698" s="85"/>
      <c r="B1698" s="86"/>
      <c r="C1698" s="22"/>
      <c r="D1698" s="85"/>
      <c r="E1698" s="87"/>
      <c r="F1698" s="85"/>
      <c r="G1698" s="22"/>
      <c r="H1698" s="88"/>
      <c r="J1698" s="22"/>
      <c r="M1698" s="89"/>
      <c r="N1698" s="60"/>
      <c r="O1698" s="90"/>
      <c r="P1698" s="91"/>
      <c r="Q1698" s="92"/>
      <c r="R1698" s="68" t="str">
        <f t="shared" si="29"/>
        <v/>
      </c>
      <c r="S1698" s="22"/>
    </row>
    <row r="1699" spans="1:19" ht="18" customHeight="1">
      <c r="A1699" s="85"/>
      <c r="B1699" s="86"/>
      <c r="C1699" s="22"/>
      <c r="D1699" s="85"/>
      <c r="E1699" s="87"/>
      <c r="F1699" s="85"/>
      <c r="G1699" s="22"/>
      <c r="H1699" s="88"/>
      <c r="J1699" s="22"/>
      <c r="M1699" s="89"/>
      <c r="N1699" s="60"/>
      <c r="O1699" s="90"/>
      <c r="P1699" s="91"/>
      <c r="Q1699" s="92"/>
      <c r="R1699" s="68" t="str">
        <f t="shared" si="29"/>
        <v/>
      </c>
      <c r="S1699" s="22"/>
    </row>
    <row r="1700" spans="1:19" ht="18" customHeight="1">
      <c r="A1700" s="85"/>
      <c r="B1700" s="86"/>
      <c r="C1700" s="22"/>
      <c r="D1700" s="85"/>
      <c r="E1700" s="87"/>
      <c r="F1700" s="85"/>
      <c r="G1700" s="22"/>
      <c r="H1700" s="88"/>
      <c r="J1700" s="22"/>
      <c r="M1700" s="89"/>
      <c r="N1700" s="60"/>
      <c r="O1700" s="90"/>
      <c r="P1700" s="91"/>
      <c r="Q1700" s="92"/>
      <c r="R1700" s="68" t="str">
        <f t="shared" si="29"/>
        <v/>
      </c>
      <c r="S1700" s="22"/>
    </row>
    <row r="1701" spans="1:19" ht="18" customHeight="1">
      <c r="A1701" s="85"/>
      <c r="B1701" s="86"/>
      <c r="C1701" s="22"/>
      <c r="D1701" s="85"/>
      <c r="E1701" s="87"/>
      <c r="F1701" s="85"/>
      <c r="G1701" s="22"/>
      <c r="H1701" s="88"/>
      <c r="J1701" s="22"/>
      <c r="M1701" s="89"/>
      <c r="N1701" s="60"/>
      <c r="O1701" s="90"/>
      <c r="P1701" s="91"/>
      <c r="Q1701" s="92"/>
      <c r="R1701" s="68" t="str">
        <f t="shared" si="29"/>
        <v/>
      </c>
      <c r="S1701" s="22"/>
    </row>
    <row r="1702" spans="1:19" ht="18" customHeight="1">
      <c r="A1702" s="85"/>
      <c r="B1702" s="86"/>
      <c r="C1702" s="22"/>
      <c r="D1702" s="85"/>
      <c r="E1702" s="87"/>
      <c r="F1702" s="85"/>
      <c r="G1702" s="22"/>
      <c r="H1702" s="88"/>
      <c r="J1702" s="22"/>
      <c r="M1702" s="89"/>
      <c r="N1702" s="60"/>
      <c r="O1702" s="90"/>
      <c r="P1702" s="91"/>
      <c r="Q1702" s="92"/>
      <c r="R1702" s="68" t="str">
        <f t="shared" si="29"/>
        <v/>
      </c>
      <c r="S1702" s="22"/>
    </row>
    <row r="1703" spans="1:19" ht="18" customHeight="1">
      <c r="A1703" s="85"/>
      <c r="B1703" s="86"/>
      <c r="C1703" s="22"/>
      <c r="D1703" s="85"/>
      <c r="E1703" s="87"/>
      <c r="F1703" s="85"/>
      <c r="G1703" s="22"/>
      <c r="H1703" s="88"/>
      <c r="J1703" s="22"/>
      <c r="M1703" s="89"/>
      <c r="N1703" s="60"/>
      <c r="O1703" s="90"/>
      <c r="P1703" s="91"/>
      <c r="Q1703" s="92"/>
      <c r="R1703" s="68" t="str">
        <f t="shared" si="29"/>
        <v/>
      </c>
      <c r="S1703" s="22"/>
    </row>
    <row r="1704" spans="1:19" ht="18" customHeight="1">
      <c r="A1704" s="85"/>
      <c r="B1704" s="86"/>
      <c r="C1704" s="22"/>
      <c r="D1704" s="85"/>
      <c r="E1704" s="87"/>
      <c r="F1704" s="85"/>
      <c r="G1704" s="22"/>
      <c r="H1704" s="88"/>
      <c r="J1704" s="22"/>
      <c r="M1704" s="89"/>
      <c r="N1704" s="60"/>
      <c r="O1704" s="90"/>
      <c r="P1704" s="91"/>
      <c r="Q1704" s="92"/>
      <c r="R1704" s="68" t="str">
        <f t="shared" si="29"/>
        <v/>
      </c>
      <c r="S1704" s="22"/>
    </row>
    <row r="1705" spans="1:19" ht="18" customHeight="1">
      <c r="A1705" s="85"/>
      <c r="B1705" s="86"/>
      <c r="C1705" s="22"/>
      <c r="D1705" s="85"/>
      <c r="E1705" s="87"/>
      <c r="F1705" s="85"/>
      <c r="G1705" s="22"/>
      <c r="H1705" s="88"/>
      <c r="J1705" s="22"/>
      <c r="M1705" s="89"/>
      <c r="N1705" s="60"/>
      <c r="O1705" s="90"/>
      <c r="P1705" s="91"/>
      <c r="Q1705" s="92"/>
      <c r="R1705" s="68" t="str">
        <f t="shared" si="29"/>
        <v/>
      </c>
      <c r="S1705" s="22"/>
    </row>
    <row r="1706" spans="1:19" ht="18" customHeight="1">
      <c r="A1706" s="85"/>
      <c r="B1706" s="86"/>
      <c r="C1706" s="22"/>
      <c r="D1706" s="85"/>
      <c r="E1706" s="87"/>
      <c r="F1706" s="85"/>
      <c r="G1706" s="22"/>
      <c r="H1706" s="88"/>
      <c r="J1706" s="22"/>
      <c r="M1706" s="89"/>
      <c r="N1706" s="60"/>
      <c r="O1706" s="90"/>
      <c r="P1706" s="91"/>
      <c r="Q1706" s="92"/>
      <c r="R1706" s="68" t="str">
        <f t="shared" si="29"/>
        <v/>
      </c>
      <c r="S1706" s="22"/>
    </row>
    <row r="1707" spans="1:19" ht="18" customHeight="1">
      <c r="A1707" s="85"/>
      <c r="B1707" s="86"/>
      <c r="C1707" s="22"/>
      <c r="D1707" s="85"/>
      <c r="E1707" s="87"/>
      <c r="F1707" s="85"/>
      <c r="G1707" s="22"/>
      <c r="H1707" s="88"/>
      <c r="J1707" s="22"/>
      <c r="M1707" s="89"/>
      <c r="N1707" s="60"/>
      <c r="O1707" s="90"/>
      <c r="P1707" s="91"/>
      <c r="Q1707" s="92"/>
      <c r="R1707" s="68" t="str">
        <f t="shared" si="29"/>
        <v/>
      </c>
      <c r="S1707" s="22"/>
    </row>
    <row r="1708" spans="1:19" ht="18" customHeight="1">
      <c r="A1708" s="85"/>
      <c r="B1708" s="86"/>
      <c r="C1708" s="22"/>
      <c r="D1708" s="85"/>
      <c r="E1708" s="87"/>
      <c r="F1708" s="85"/>
      <c r="G1708" s="22"/>
      <c r="H1708" s="88"/>
      <c r="J1708" s="22"/>
      <c r="M1708" s="89"/>
      <c r="N1708" s="60"/>
      <c r="O1708" s="90"/>
      <c r="P1708" s="91"/>
      <c r="Q1708" s="92"/>
      <c r="R1708" s="68" t="str">
        <f t="shared" si="29"/>
        <v/>
      </c>
      <c r="S1708" s="22"/>
    </row>
    <row r="1709" spans="1:19" ht="18" customHeight="1">
      <c r="A1709" s="85"/>
      <c r="B1709" s="86"/>
      <c r="C1709" s="22"/>
      <c r="D1709" s="85"/>
      <c r="E1709" s="87"/>
      <c r="F1709" s="85"/>
      <c r="G1709" s="22"/>
      <c r="H1709" s="88"/>
      <c r="J1709" s="22"/>
      <c r="M1709" s="89"/>
      <c r="N1709" s="60"/>
      <c r="O1709" s="90"/>
      <c r="P1709" s="91"/>
      <c r="Q1709" s="92"/>
      <c r="R1709" s="68" t="str">
        <f t="shared" si="29"/>
        <v/>
      </c>
      <c r="S1709" s="22"/>
    </row>
    <row r="1710" spans="1:19" ht="18" customHeight="1">
      <c r="A1710" s="85"/>
      <c r="B1710" s="86"/>
      <c r="C1710" s="22"/>
      <c r="D1710" s="85"/>
      <c r="E1710" s="87"/>
      <c r="F1710" s="85"/>
      <c r="G1710" s="22"/>
      <c r="H1710" s="88"/>
      <c r="J1710" s="22"/>
      <c r="M1710" s="89"/>
      <c r="N1710" s="60"/>
      <c r="O1710" s="90"/>
      <c r="P1710" s="91"/>
      <c r="Q1710" s="92"/>
      <c r="R1710" s="68" t="str">
        <f t="shared" si="29"/>
        <v/>
      </c>
      <c r="S1710" s="22"/>
    </row>
    <row r="1711" spans="1:19" ht="18" customHeight="1">
      <c r="A1711" s="85"/>
      <c r="B1711" s="86"/>
      <c r="C1711" s="22"/>
      <c r="D1711" s="85"/>
      <c r="E1711" s="87"/>
      <c r="F1711" s="85"/>
      <c r="G1711" s="22"/>
      <c r="H1711" s="88"/>
      <c r="J1711" s="22"/>
      <c r="M1711" s="89"/>
      <c r="N1711" s="60"/>
      <c r="O1711" s="90"/>
      <c r="P1711" s="91"/>
      <c r="Q1711" s="92"/>
      <c r="R1711" s="68" t="str">
        <f t="shared" si="29"/>
        <v/>
      </c>
      <c r="S1711" s="22"/>
    </row>
    <row r="1712" spans="1:19" ht="18" customHeight="1">
      <c r="A1712" s="85"/>
      <c r="B1712" s="86"/>
      <c r="C1712" s="22"/>
      <c r="D1712" s="85"/>
      <c r="E1712" s="87"/>
      <c r="F1712" s="85"/>
      <c r="G1712" s="22"/>
      <c r="H1712" s="88"/>
      <c r="J1712" s="22"/>
      <c r="M1712" s="89"/>
      <c r="N1712" s="60"/>
      <c r="O1712" s="90"/>
      <c r="P1712" s="91"/>
      <c r="Q1712" s="92"/>
      <c r="R1712" s="68" t="str">
        <f t="shared" si="29"/>
        <v/>
      </c>
      <c r="S1712" s="22"/>
    </row>
    <row r="1713" spans="1:19" ht="18" customHeight="1">
      <c r="A1713" s="85"/>
      <c r="B1713" s="86"/>
      <c r="C1713" s="22"/>
      <c r="D1713" s="85"/>
      <c r="E1713" s="87"/>
      <c r="F1713" s="85"/>
      <c r="G1713" s="22"/>
      <c r="H1713" s="88"/>
      <c r="J1713" s="22"/>
      <c r="M1713" s="89"/>
      <c r="N1713" s="60"/>
      <c r="O1713" s="90"/>
      <c r="P1713" s="91"/>
      <c r="Q1713" s="92"/>
      <c r="R1713" s="68" t="str">
        <f t="shared" si="29"/>
        <v/>
      </c>
      <c r="S1713" s="22"/>
    </row>
    <row r="1714" spans="1:19" ht="18" customHeight="1">
      <c r="A1714" s="85"/>
      <c r="B1714" s="86"/>
      <c r="C1714" s="22"/>
      <c r="D1714" s="85"/>
      <c r="E1714" s="87"/>
      <c r="F1714" s="85"/>
      <c r="G1714" s="22"/>
      <c r="H1714" s="88"/>
      <c r="J1714" s="22"/>
      <c r="M1714" s="89"/>
      <c r="N1714" s="60"/>
      <c r="O1714" s="90"/>
      <c r="P1714" s="91"/>
      <c r="Q1714" s="92"/>
      <c r="R1714" s="68" t="str">
        <f t="shared" si="29"/>
        <v/>
      </c>
      <c r="S1714" s="22"/>
    </row>
    <row r="1715" spans="1:19" ht="18" customHeight="1">
      <c r="A1715" s="85"/>
      <c r="B1715" s="86"/>
      <c r="C1715" s="22"/>
      <c r="D1715" s="85"/>
      <c r="E1715" s="87"/>
      <c r="F1715" s="85"/>
      <c r="G1715" s="22"/>
      <c r="H1715" s="88"/>
      <c r="J1715" s="22"/>
      <c r="M1715" s="89"/>
      <c r="N1715" s="60"/>
      <c r="O1715" s="90"/>
      <c r="P1715" s="91"/>
      <c r="Q1715" s="92"/>
      <c r="R1715" s="68" t="str">
        <f t="shared" si="29"/>
        <v/>
      </c>
      <c r="S1715" s="22"/>
    </row>
    <row r="1716" spans="1:19" ht="18" customHeight="1">
      <c r="A1716" s="85"/>
      <c r="B1716" s="86"/>
      <c r="C1716" s="22"/>
      <c r="D1716" s="85"/>
      <c r="E1716" s="87"/>
      <c r="F1716" s="85"/>
      <c r="G1716" s="22"/>
      <c r="H1716" s="88"/>
      <c r="J1716" s="22"/>
      <c r="M1716" s="89"/>
      <c r="N1716" s="60"/>
      <c r="O1716" s="90"/>
      <c r="P1716" s="91"/>
      <c r="Q1716" s="92"/>
      <c r="R1716" s="68" t="str">
        <f t="shared" ref="R1716:R1779" si="30">IF(SUM(Q1716)&gt;0,SUM(Q1716-P1716),"")</f>
        <v/>
      </c>
      <c r="S1716" s="22"/>
    </row>
    <row r="1717" spans="1:19" ht="18" customHeight="1">
      <c r="A1717" s="85"/>
      <c r="B1717" s="86"/>
      <c r="C1717" s="22"/>
      <c r="D1717" s="85"/>
      <c r="E1717" s="87"/>
      <c r="F1717" s="85"/>
      <c r="G1717" s="22"/>
      <c r="H1717" s="88"/>
      <c r="J1717" s="22"/>
      <c r="M1717" s="89"/>
      <c r="N1717" s="60"/>
      <c r="O1717" s="90"/>
      <c r="P1717" s="91"/>
      <c r="Q1717" s="92"/>
      <c r="R1717" s="68" t="str">
        <f t="shared" si="30"/>
        <v/>
      </c>
      <c r="S1717" s="22"/>
    </row>
    <row r="1718" spans="1:19" ht="18" customHeight="1">
      <c r="A1718" s="85"/>
      <c r="B1718" s="86"/>
      <c r="C1718" s="22"/>
      <c r="D1718" s="85"/>
      <c r="E1718" s="87"/>
      <c r="F1718" s="85"/>
      <c r="G1718" s="22"/>
      <c r="H1718" s="88"/>
      <c r="J1718" s="22"/>
      <c r="M1718" s="89"/>
      <c r="N1718" s="60"/>
      <c r="O1718" s="90"/>
      <c r="P1718" s="91"/>
      <c r="Q1718" s="92"/>
      <c r="R1718" s="68" t="str">
        <f t="shared" si="30"/>
        <v/>
      </c>
      <c r="S1718" s="22"/>
    </row>
    <row r="1719" spans="1:19" ht="18" customHeight="1">
      <c r="A1719" s="85"/>
      <c r="B1719" s="86"/>
      <c r="C1719" s="22"/>
      <c r="D1719" s="85"/>
      <c r="E1719" s="87"/>
      <c r="F1719" s="85"/>
      <c r="G1719" s="22"/>
      <c r="H1719" s="88"/>
      <c r="J1719" s="22"/>
      <c r="M1719" s="89"/>
      <c r="N1719" s="60"/>
      <c r="O1719" s="90"/>
      <c r="P1719" s="91"/>
      <c r="Q1719" s="92"/>
      <c r="R1719" s="68" t="str">
        <f t="shared" si="30"/>
        <v/>
      </c>
      <c r="S1719" s="22"/>
    </row>
    <row r="1720" spans="1:19" ht="18" customHeight="1">
      <c r="A1720" s="85"/>
      <c r="B1720" s="86"/>
      <c r="C1720" s="22"/>
      <c r="D1720" s="85"/>
      <c r="E1720" s="87"/>
      <c r="F1720" s="85"/>
      <c r="G1720" s="22"/>
      <c r="H1720" s="88"/>
      <c r="J1720" s="22"/>
      <c r="M1720" s="89"/>
      <c r="N1720" s="60"/>
      <c r="O1720" s="90"/>
      <c r="P1720" s="91"/>
      <c r="Q1720" s="92"/>
      <c r="R1720" s="68" t="str">
        <f t="shared" si="30"/>
        <v/>
      </c>
      <c r="S1720" s="22"/>
    </row>
    <row r="1721" spans="1:19" ht="18" customHeight="1">
      <c r="A1721" s="85"/>
      <c r="B1721" s="86"/>
      <c r="C1721" s="22"/>
      <c r="D1721" s="85"/>
      <c r="E1721" s="87"/>
      <c r="F1721" s="85"/>
      <c r="G1721" s="22"/>
      <c r="H1721" s="88"/>
      <c r="J1721" s="22"/>
      <c r="M1721" s="89"/>
      <c r="N1721" s="60"/>
      <c r="O1721" s="90"/>
      <c r="P1721" s="91"/>
      <c r="Q1721" s="92"/>
      <c r="R1721" s="68" t="str">
        <f t="shared" si="30"/>
        <v/>
      </c>
      <c r="S1721" s="22"/>
    </row>
    <row r="1722" spans="1:19" ht="18" customHeight="1">
      <c r="A1722" s="85"/>
      <c r="B1722" s="86"/>
      <c r="C1722" s="22"/>
      <c r="D1722" s="85"/>
      <c r="E1722" s="87"/>
      <c r="F1722" s="85"/>
      <c r="G1722" s="22"/>
      <c r="H1722" s="88"/>
      <c r="J1722" s="22"/>
      <c r="M1722" s="89"/>
      <c r="N1722" s="60"/>
      <c r="O1722" s="90"/>
      <c r="P1722" s="91"/>
      <c r="Q1722" s="92"/>
      <c r="R1722" s="68" t="str">
        <f t="shared" si="30"/>
        <v/>
      </c>
      <c r="S1722" s="22"/>
    </row>
    <row r="1723" spans="1:19" ht="18" customHeight="1">
      <c r="A1723" s="85"/>
      <c r="B1723" s="86"/>
      <c r="C1723" s="22"/>
      <c r="D1723" s="85"/>
      <c r="E1723" s="87"/>
      <c r="F1723" s="85"/>
      <c r="G1723" s="22"/>
      <c r="H1723" s="88"/>
      <c r="J1723" s="22"/>
      <c r="M1723" s="89"/>
      <c r="N1723" s="60"/>
      <c r="O1723" s="90"/>
      <c r="P1723" s="91"/>
      <c r="Q1723" s="92"/>
      <c r="R1723" s="68" t="str">
        <f t="shared" si="30"/>
        <v/>
      </c>
      <c r="S1723" s="22"/>
    </row>
    <row r="1724" spans="1:19" ht="18" customHeight="1">
      <c r="A1724" s="85"/>
      <c r="B1724" s="86"/>
      <c r="C1724" s="22"/>
      <c r="D1724" s="85"/>
      <c r="E1724" s="87"/>
      <c r="F1724" s="85"/>
      <c r="G1724" s="22"/>
      <c r="H1724" s="88"/>
      <c r="J1724" s="22"/>
      <c r="M1724" s="89"/>
      <c r="N1724" s="60"/>
      <c r="O1724" s="90"/>
      <c r="P1724" s="91"/>
      <c r="Q1724" s="92"/>
      <c r="R1724" s="68" t="str">
        <f t="shared" si="30"/>
        <v/>
      </c>
      <c r="S1724" s="22"/>
    </row>
    <row r="1725" spans="1:19" ht="18" customHeight="1">
      <c r="A1725" s="85"/>
      <c r="B1725" s="86"/>
      <c r="C1725" s="22"/>
      <c r="D1725" s="85"/>
      <c r="E1725" s="87"/>
      <c r="F1725" s="85"/>
      <c r="G1725" s="22"/>
      <c r="H1725" s="88"/>
      <c r="J1725" s="22"/>
      <c r="M1725" s="89"/>
      <c r="N1725" s="60"/>
      <c r="O1725" s="90"/>
      <c r="P1725" s="91"/>
      <c r="Q1725" s="92"/>
      <c r="R1725" s="68" t="str">
        <f t="shared" si="30"/>
        <v/>
      </c>
      <c r="S1725" s="22"/>
    </row>
    <row r="1726" spans="1:19" ht="18" customHeight="1">
      <c r="A1726" s="85"/>
      <c r="B1726" s="86"/>
      <c r="C1726" s="22"/>
      <c r="D1726" s="85"/>
      <c r="E1726" s="87"/>
      <c r="F1726" s="85"/>
      <c r="G1726" s="22"/>
      <c r="H1726" s="88"/>
      <c r="J1726" s="22"/>
      <c r="M1726" s="89"/>
      <c r="N1726" s="60"/>
      <c r="O1726" s="90"/>
      <c r="P1726" s="91"/>
      <c r="Q1726" s="92"/>
      <c r="R1726" s="68" t="str">
        <f t="shared" si="30"/>
        <v/>
      </c>
      <c r="S1726" s="22"/>
    </row>
    <row r="1727" spans="1:19" ht="18" customHeight="1">
      <c r="A1727" s="85"/>
      <c r="B1727" s="86"/>
      <c r="C1727" s="22"/>
      <c r="D1727" s="85"/>
      <c r="E1727" s="87"/>
      <c r="F1727" s="85"/>
      <c r="G1727" s="22"/>
      <c r="H1727" s="88"/>
      <c r="J1727" s="22"/>
      <c r="M1727" s="89"/>
      <c r="N1727" s="60"/>
      <c r="O1727" s="90"/>
      <c r="P1727" s="91"/>
      <c r="Q1727" s="92"/>
      <c r="R1727" s="68" t="str">
        <f t="shared" si="30"/>
        <v/>
      </c>
      <c r="S1727" s="22"/>
    </row>
    <row r="1728" spans="1:19" ht="18" customHeight="1">
      <c r="A1728" s="85"/>
      <c r="B1728" s="86"/>
      <c r="C1728" s="22"/>
      <c r="D1728" s="85"/>
      <c r="E1728" s="87"/>
      <c r="F1728" s="85"/>
      <c r="G1728" s="22"/>
      <c r="H1728" s="88"/>
      <c r="J1728" s="22"/>
      <c r="M1728" s="89"/>
      <c r="N1728" s="60"/>
      <c r="O1728" s="90"/>
      <c r="P1728" s="91"/>
      <c r="Q1728" s="92"/>
      <c r="R1728" s="68" t="str">
        <f t="shared" si="30"/>
        <v/>
      </c>
      <c r="S1728" s="22"/>
    </row>
    <row r="1729" spans="1:19" ht="18" customHeight="1">
      <c r="A1729" s="85"/>
      <c r="B1729" s="86"/>
      <c r="C1729" s="22"/>
      <c r="D1729" s="85"/>
      <c r="E1729" s="87"/>
      <c r="F1729" s="85"/>
      <c r="G1729" s="22"/>
      <c r="H1729" s="88"/>
      <c r="J1729" s="22"/>
      <c r="M1729" s="89"/>
      <c r="N1729" s="60"/>
      <c r="O1729" s="90"/>
      <c r="P1729" s="91"/>
      <c r="Q1729" s="92"/>
      <c r="R1729" s="68" t="str">
        <f t="shared" si="30"/>
        <v/>
      </c>
      <c r="S1729" s="22"/>
    </row>
    <row r="1730" spans="1:19" ht="18" customHeight="1">
      <c r="A1730" s="85"/>
      <c r="B1730" s="86"/>
      <c r="C1730" s="22"/>
      <c r="D1730" s="85"/>
      <c r="E1730" s="87"/>
      <c r="F1730" s="85"/>
      <c r="G1730" s="22"/>
      <c r="H1730" s="88"/>
      <c r="J1730" s="22"/>
      <c r="M1730" s="89"/>
      <c r="N1730" s="60"/>
      <c r="O1730" s="90"/>
      <c r="P1730" s="91"/>
      <c r="Q1730" s="92"/>
      <c r="R1730" s="68" t="str">
        <f t="shared" si="30"/>
        <v/>
      </c>
      <c r="S1730" s="22"/>
    </row>
    <row r="1731" spans="1:19" ht="18" customHeight="1">
      <c r="A1731" s="85"/>
      <c r="B1731" s="86"/>
      <c r="C1731" s="22"/>
      <c r="D1731" s="85"/>
      <c r="E1731" s="87"/>
      <c r="F1731" s="85"/>
      <c r="G1731" s="22"/>
      <c r="H1731" s="88"/>
      <c r="J1731" s="22"/>
      <c r="M1731" s="89"/>
      <c r="N1731" s="60"/>
      <c r="O1731" s="90"/>
      <c r="P1731" s="91"/>
      <c r="Q1731" s="92"/>
      <c r="R1731" s="68" t="str">
        <f t="shared" si="30"/>
        <v/>
      </c>
      <c r="S1731" s="22"/>
    </row>
    <row r="1732" spans="1:19" ht="18" customHeight="1">
      <c r="A1732" s="85"/>
      <c r="B1732" s="86"/>
      <c r="C1732" s="22"/>
      <c r="D1732" s="85"/>
      <c r="E1732" s="87"/>
      <c r="F1732" s="85"/>
      <c r="G1732" s="22"/>
      <c r="H1732" s="88"/>
      <c r="J1732" s="22"/>
      <c r="M1732" s="89"/>
      <c r="N1732" s="60"/>
      <c r="O1732" s="90"/>
      <c r="P1732" s="91"/>
      <c r="Q1732" s="92"/>
      <c r="R1732" s="68" t="str">
        <f t="shared" si="30"/>
        <v/>
      </c>
      <c r="S1732" s="22"/>
    </row>
    <row r="1733" spans="1:19" ht="18" customHeight="1">
      <c r="A1733" s="85"/>
      <c r="B1733" s="86"/>
      <c r="C1733" s="22"/>
      <c r="D1733" s="85"/>
      <c r="E1733" s="87"/>
      <c r="F1733" s="85"/>
      <c r="G1733" s="22"/>
      <c r="H1733" s="88"/>
      <c r="J1733" s="22"/>
      <c r="M1733" s="89"/>
      <c r="N1733" s="60"/>
      <c r="O1733" s="90"/>
      <c r="P1733" s="91"/>
      <c r="Q1733" s="92"/>
      <c r="R1733" s="68" t="str">
        <f t="shared" si="30"/>
        <v/>
      </c>
      <c r="S1733" s="22"/>
    </row>
    <row r="1734" spans="1:19" ht="18" customHeight="1">
      <c r="A1734" s="85"/>
      <c r="B1734" s="86"/>
      <c r="C1734" s="22"/>
      <c r="D1734" s="85"/>
      <c r="E1734" s="87"/>
      <c r="F1734" s="85"/>
      <c r="G1734" s="22"/>
      <c r="H1734" s="88"/>
      <c r="J1734" s="22"/>
      <c r="M1734" s="89"/>
      <c r="N1734" s="60"/>
      <c r="O1734" s="90"/>
      <c r="P1734" s="91"/>
      <c r="Q1734" s="92"/>
      <c r="R1734" s="68" t="str">
        <f t="shared" si="30"/>
        <v/>
      </c>
      <c r="S1734" s="22"/>
    </row>
    <row r="1735" spans="1:19" ht="18" customHeight="1">
      <c r="A1735" s="85"/>
      <c r="B1735" s="86"/>
      <c r="C1735" s="22"/>
      <c r="D1735" s="85"/>
      <c r="E1735" s="87"/>
      <c r="F1735" s="85"/>
      <c r="G1735" s="22"/>
      <c r="H1735" s="88"/>
      <c r="J1735" s="22"/>
      <c r="M1735" s="89"/>
      <c r="N1735" s="60"/>
      <c r="O1735" s="90"/>
      <c r="P1735" s="91"/>
      <c r="Q1735" s="92"/>
      <c r="R1735" s="68" t="str">
        <f t="shared" si="30"/>
        <v/>
      </c>
      <c r="S1735" s="22"/>
    </row>
    <row r="1736" spans="1:19" ht="18" customHeight="1">
      <c r="A1736" s="85"/>
      <c r="B1736" s="86"/>
      <c r="C1736" s="22"/>
      <c r="D1736" s="85"/>
      <c r="E1736" s="87"/>
      <c r="F1736" s="85"/>
      <c r="G1736" s="22"/>
      <c r="H1736" s="88"/>
      <c r="J1736" s="22"/>
      <c r="M1736" s="89"/>
      <c r="N1736" s="60"/>
      <c r="O1736" s="90"/>
      <c r="P1736" s="91"/>
      <c r="Q1736" s="92"/>
      <c r="R1736" s="68" t="str">
        <f t="shared" si="30"/>
        <v/>
      </c>
      <c r="S1736" s="22"/>
    </row>
    <row r="1737" spans="1:19" ht="18" customHeight="1">
      <c r="A1737" s="85"/>
      <c r="B1737" s="86"/>
      <c r="C1737" s="22"/>
      <c r="D1737" s="85"/>
      <c r="E1737" s="87"/>
      <c r="F1737" s="85"/>
      <c r="G1737" s="22"/>
      <c r="H1737" s="88"/>
      <c r="J1737" s="22"/>
      <c r="M1737" s="89"/>
      <c r="N1737" s="60"/>
      <c r="O1737" s="90"/>
      <c r="P1737" s="91"/>
      <c r="Q1737" s="92"/>
      <c r="R1737" s="68" t="str">
        <f t="shared" si="30"/>
        <v/>
      </c>
      <c r="S1737" s="22"/>
    </row>
    <row r="1738" spans="1:19" ht="18" customHeight="1">
      <c r="A1738" s="85"/>
      <c r="B1738" s="86"/>
      <c r="C1738" s="22"/>
      <c r="D1738" s="85"/>
      <c r="E1738" s="87"/>
      <c r="F1738" s="85"/>
      <c r="G1738" s="22"/>
      <c r="H1738" s="88"/>
      <c r="J1738" s="22"/>
      <c r="M1738" s="89"/>
      <c r="N1738" s="60"/>
      <c r="O1738" s="90"/>
      <c r="P1738" s="91"/>
      <c r="Q1738" s="92"/>
      <c r="R1738" s="68" t="str">
        <f t="shared" si="30"/>
        <v/>
      </c>
      <c r="S1738" s="22"/>
    </row>
    <row r="1739" spans="1:19" ht="18" customHeight="1">
      <c r="A1739" s="85"/>
      <c r="B1739" s="86"/>
      <c r="C1739" s="22"/>
      <c r="D1739" s="85"/>
      <c r="E1739" s="87"/>
      <c r="F1739" s="85"/>
      <c r="G1739" s="22"/>
      <c r="H1739" s="88"/>
      <c r="J1739" s="22"/>
      <c r="M1739" s="89"/>
      <c r="N1739" s="60"/>
      <c r="O1739" s="90"/>
      <c r="P1739" s="91"/>
      <c r="Q1739" s="92"/>
      <c r="R1739" s="68" t="str">
        <f t="shared" si="30"/>
        <v/>
      </c>
      <c r="S1739" s="22"/>
    </row>
    <row r="1740" spans="1:19" ht="18" customHeight="1">
      <c r="A1740" s="85"/>
      <c r="B1740" s="86"/>
      <c r="C1740" s="22"/>
      <c r="D1740" s="85"/>
      <c r="E1740" s="87"/>
      <c r="F1740" s="85"/>
      <c r="G1740" s="22"/>
      <c r="H1740" s="88"/>
      <c r="J1740" s="22"/>
      <c r="M1740" s="89"/>
      <c r="N1740" s="60"/>
      <c r="O1740" s="90"/>
      <c r="P1740" s="91"/>
      <c r="Q1740" s="92"/>
      <c r="R1740" s="68" t="str">
        <f t="shared" si="30"/>
        <v/>
      </c>
      <c r="S1740" s="22"/>
    </row>
    <row r="1741" spans="1:19" ht="18" customHeight="1">
      <c r="A1741" s="85"/>
      <c r="B1741" s="86"/>
      <c r="C1741" s="22"/>
      <c r="D1741" s="85"/>
      <c r="E1741" s="87"/>
      <c r="F1741" s="85"/>
      <c r="G1741" s="22"/>
      <c r="H1741" s="88"/>
      <c r="J1741" s="22"/>
      <c r="M1741" s="89"/>
      <c r="N1741" s="60"/>
      <c r="O1741" s="90"/>
      <c r="P1741" s="91"/>
      <c r="Q1741" s="92"/>
      <c r="R1741" s="68" t="str">
        <f t="shared" si="30"/>
        <v/>
      </c>
      <c r="S1741" s="22"/>
    </row>
    <row r="1742" spans="1:19" ht="18" customHeight="1">
      <c r="A1742" s="85"/>
      <c r="B1742" s="86"/>
      <c r="C1742" s="22"/>
      <c r="D1742" s="85"/>
      <c r="E1742" s="87"/>
      <c r="F1742" s="85"/>
      <c r="G1742" s="22"/>
      <c r="H1742" s="88"/>
      <c r="J1742" s="22"/>
      <c r="M1742" s="89"/>
      <c r="N1742" s="60"/>
      <c r="O1742" s="90"/>
      <c r="P1742" s="91"/>
      <c r="Q1742" s="92"/>
      <c r="R1742" s="68" t="str">
        <f t="shared" si="30"/>
        <v/>
      </c>
      <c r="S1742" s="22"/>
    </row>
    <row r="1743" spans="1:19" ht="18" customHeight="1">
      <c r="A1743" s="85"/>
      <c r="B1743" s="86"/>
      <c r="C1743" s="22"/>
      <c r="D1743" s="85"/>
      <c r="E1743" s="87"/>
      <c r="F1743" s="85"/>
      <c r="G1743" s="22"/>
      <c r="H1743" s="88"/>
      <c r="J1743" s="22"/>
      <c r="M1743" s="89"/>
      <c r="N1743" s="60"/>
      <c r="O1743" s="90"/>
      <c r="P1743" s="91"/>
      <c r="Q1743" s="92"/>
      <c r="R1743" s="68" t="str">
        <f t="shared" si="30"/>
        <v/>
      </c>
      <c r="S1743" s="22"/>
    </row>
    <row r="1744" spans="1:19" ht="18" customHeight="1">
      <c r="A1744" s="85"/>
      <c r="B1744" s="86"/>
      <c r="C1744" s="22"/>
      <c r="D1744" s="85"/>
      <c r="E1744" s="87"/>
      <c r="F1744" s="85"/>
      <c r="G1744" s="22"/>
      <c r="H1744" s="88"/>
      <c r="J1744" s="22"/>
      <c r="M1744" s="89"/>
      <c r="N1744" s="60"/>
      <c r="O1744" s="90"/>
      <c r="P1744" s="91"/>
      <c r="Q1744" s="92"/>
      <c r="R1744" s="68" t="str">
        <f t="shared" si="30"/>
        <v/>
      </c>
      <c r="S1744" s="22"/>
    </row>
    <row r="1745" spans="1:19" ht="18" customHeight="1">
      <c r="A1745" s="85"/>
      <c r="B1745" s="86"/>
      <c r="C1745" s="22"/>
      <c r="D1745" s="85"/>
      <c r="E1745" s="87"/>
      <c r="F1745" s="85"/>
      <c r="G1745" s="22"/>
      <c r="H1745" s="88"/>
      <c r="J1745" s="22"/>
      <c r="M1745" s="89"/>
      <c r="N1745" s="60"/>
      <c r="O1745" s="90"/>
      <c r="P1745" s="91"/>
      <c r="Q1745" s="92"/>
      <c r="R1745" s="68" t="str">
        <f t="shared" si="30"/>
        <v/>
      </c>
      <c r="S1745" s="22"/>
    </row>
    <row r="1746" spans="1:19" ht="18" customHeight="1">
      <c r="A1746" s="85"/>
      <c r="B1746" s="86"/>
      <c r="C1746" s="22"/>
      <c r="D1746" s="85"/>
      <c r="E1746" s="87"/>
      <c r="F1746" s="85"/>
      <c r="G1746" s="22"/>
      <c r="H1746" s="88"/>
      <c r="J1746" s="22"/>
      <c r="M1746" s="89"/>
      <c r="N1746" s="60"/>
      <c r="O1746" s="90"/>
      <c r="P1746" s="91"/>
      <c r="Q1746" s="92"/>
      <c r="R1746" s="68" t="str">
        <f t="shared" si="30"/>
        <v/>
      </c>
      <c r="S1746" s="22"/>
    </row>
    <row r="1747" spans="1:19" ht="18" customHeight="1">
      <c r="A1747" s="85"/>
      <c r="B1747" s="86"/>
      <c r="C1747" s="22"/>
      <c r="D1747" s="85"/>
      <c r="E1747" s="87"/>
      <c r="F1747" s="85"/>
      <c r="G1747" s="22"/>
      <c r="H1747" s="88"/>
      <c r="J1747" s="22"/>
      <c r="M1747" s="89"/>
      <c r="N1747" s="60"/>
      <c r="O1747" s="90"/>
      <c r="P1747" s="91"/>
      <c r="Q1747" s="92"/>
      <c r="R1747" s="68" t="str">
        <f t="shared" si="30"/>
        <v/>
      </c>
      <c r="S1747" s="22"/>
    </row>
    <row r="1748" spans="1:19" ht="18" customHeight="1">
      <c r="A1748" s="85"/>
      <c r="B1748" s="86"/>
      <c r="C1748" s="22"/>
      <c r="D1748" s="85"/>
      <c r="E1748" s="87"/>
      <c r="F1748" s="85"/>
      <c r="G1748" s="22"/>
      <c r="H1748" s="88"/>
      <c r="J1748" s="22"/>
      <c r="M1748" s="89"/>
      <c r="N1748" s="60"/>
      <c r="O1748" s="90"/>
      <c r="P1748" s="91"/>
      <c r="Q1748" s="92"/>
      <c r="R1748" s="68" t="str">
        <f t="shared" si="30"/>
        <v/>
      </c>
      <c r="S1748" s="22"/>
    </row>
    <row r="1749" spans="1:19" ht="18" customHeight="1">
      <c r="A1749" s="85"/>
      <c r="B1749" s="86"/>
      <c r="C1749" s="22"/>
      <c r="D1749" s="85"/>
      <c r="E1749" s="87"/>
      <c r="F1749" s="85"/>
      <c r="G1749" s="22"/>
      <c r="H1749" s="88"/>
      <c r="J1749" s="22"/>
      <c r="M1749" s="89"/>
      <c r="N1749" s="60"/>
      <c r="O1749" s="90"/>
      <c r="P1749" s="91"/>
      <c r="Q1749" s="92"/>
      <c r="R1749" s="68" t="str">
        <f t="shared" si="30"/>
        <v/>
      </c>
      <c r="S1749" s="22"/>
    </row>
    <row r="1750" spans="1:19" ht="18" customHeight="1">
      <c r="A1750" s="85"/>
      <c r="B1750" s="86"/>
      <c r="C1750" s="22"/>
      <c r="D1750" s="85"/>
      <c r="E1750" s="87"/>
      <c r="F1750" s="85"/>
      <c r="G1750" s="22"/>
      <c r="H1750" s="88"/>
      <c r="J1750" s="22"/>
      <c r="M1750" s="89"/>
      <c r="N1750" s="60"/>
      <c r="O1750" s="90"/>
      <c r="P1750" s="91"/>
      <c r="Q1750" s="92"/>
      <c r="R1750" s="68" t="str">
        <f t="shared" si="30"/>
        <v/>
      </c>
      <c r="S1750" s="22"/>
    </row>
    <row r="1751" spans="1:19" ht="18" customHeight="1">
      <c r="A1751" s="85"/>
      <c r="B1751" s="86"/>
      <c r="C1751" s="22"/>
      <c r="D1751" s="85"/>
      <c r="E1751" s="87"/>
      <c r="F1751" s="85"/>
      <c r="G1751" s="22"/>
      <c r="H1751" s="88"/>
      <c r="J1751" s="22"/>
      <c r="M1751" s="89"/>
      <c r="N1751" s="60"/>
      <c r="O1751" s="90"/>
      <c r="P1751" s="91"/>
      <c r="Q1751" s="92"/>
      <c r="R1751" s="68" t="str">
        <f t="shared" si="30"/>
        <v/>
      </c>
      <c r="S1751" s="22"/>
    </row>
    <row r="1752" spans="1:19" ht="18" customHeight="1">
      <c r="A1752" s="85"/>
      <c r="B1752" s="86"/>
      <c r="C1752" s="22"/>
      <c r="D1752" s="85"/>
      <c r="E1752" s="87"/>
      <c r="F1752" s="85"/>
      <c r="G1752" s="22"/>
      <c r="H1752" s="88"/>
      <c r="J1752" s="22"/>
      <c r="M1752" s="89"/>
      <c r="N1752" s="60"/>
      <c r="O1752" s="90"/>
      <c r="P1752" s="91"/>
      <c r="Q1752" s="92"/>
      <c r="R1752" s="68" t="str">
        <f t="shared" si="30"/>
        <v/>
      </c>
      <c r="S1752" s="22"/>
    </row>
    <row r="1753" spans="1:19" ht="18" customHeight="1">
      <c r="A1753" s="85"/>
      <c r="B1753" s="86"/>
      <c r="C1753" s="22"/>
      <c r="D1753" s="85"/>
      <c r="E1753" s="87"/>
      <c r="F1753" s="85"/>
      <c r="G1753" s="22"/>
      <c r="H1753" s="88"/>
      <c r="J1753" s="22"/>
      <c r="M1753" s="89"/>
      <c r="N1753" s="60"/>
      <c r="O1753" s="90"/>
      <c r="P1753" s="91"/>
      <c r="Q1753" s="92"/>
      <c r="R1753" s="68" t="str">
        <f t="shared" si="30"/>
        <v/>
      </c>
      <c r="S1753" s="22"/>
    </row>
    <row r="1754" spans="1:19" ht="18" customHeight="1">
      <c r="A1754" s="85"/>
      <c r="B1754" s="86"/>
      <c r="C1754" s="22"/>
      <c r="D1754" s="85"/>
      <c r="E1754" s="87"/>
      <c r="F1754" s="85"/>
      <c r="G1754" s="22"/>
      <c r="H1754" s="88"/>
      <c r="J1754" s="22"/>
      <c r="M1754" s="89"/>
      <c r="N1754" s="60"/>
      <c r="O1754" s="90"/>
      <c r="P1754" s="91"/>
      <c r="Q1754" s="92"/>
      <c r="R1754" s="68" t="str">
        <f t="shared" si="30"/>
        <v/>
      </c>
      <c r="S1754" s="22"/>
    </row>
    <row r="1755" spans="1:19" ht="18" customHeight="1">
      <c r="A1755" s="85"/>
      <c r="B1755" s="86"/>
      <c r="C1755" s="22"/>
      <c r="D1755" s="85"/>
      <c r="E1755" s="87"/>
      <c r="F1755" s="85"/>
      <c r="G1755" s="22"/>
      <c r="H1755" s="88"/>
      <c r="J1755" s="22"/>
      <c r="M1755" s="89"/>
      <c r="N1755" s="60"/>
      <c r="O1755" s="90"/>
      <c r="P1755" s="91"/>
      <c r="Q1755" s="92"/>
      <c r="R1755" s="68" t="str">
        <f t="shared" si="30"/>
        <v/>
      </c>
      <c r="S1755" s="22"/>
    </row>
    <row r="1756" spans="1:19" ht="18" customHeight="1">
      <c r="A1756" s="85"/>
      <c r="B1756" s="86"/>
      <c r="C1756" s="22"/>
      <c r="D1756" s="85"/>
      <c r="E1756" s="87"/>
      <c r="F1756" s="85"/>
      <c r="G1756" s="22"/>
      <c r="H1756" s="88"/>
      <c r="J1756" s="22"/>
      <c r="M1756" s="89"/>
      <c r="N1756" s="60"/>
      <c r="O1756" s="90"/>
      <c r="P1756" s="91"/>
      <c r="Q1756" s="92"/>
      <c r="R1756" s="68" t="str">
        <f t="shared" si="30"/>
        <v/>
      </c>
      <c r="S1756" s="22"/>
    </row>
    <row r="1757" spans="1:19" ht="18" customHeight="1">
      <c r="A1757" s="85"/>
      <c r="B1757" s="86"/>
      <c r="C1757" s="22"/>
      <c r="D1757" s="85"/>
      <c r="E1757" s="87"/>
      <c r="F1757" s="85"/>
      <c r="G1757" s="22"/>
      <c r="H1757" s="88"/>
      <c r="J1757" s="22"/>
      <c r="M1757" s="89"/>
      <c r="N1757" s="60"/>
      <c r="O1757" s="90"/>
      <c r="P1757" s="91"/>
      <c r="Q1757" s="92"/>
      <c r="R1757" s="68" t="str">
        <f t="shared" si="30"/>
        <v/>
      </c>
      <c r="S1757" s="22"/>
    </row>
    <row r="1758" spans="1:19" ht="18" customHeight="1">
      <c r="A1758" s="85"/>
      <c r="B1758" s="86"/>
      <c r="C1758" s="22"/>
      <c r="D1758" s="85"/>
      <c r="E1758" s="87"/>
      <c r="F1758" s="85"/>
      <c r="G1758" s="22"/>
      <c r="H1758" s="88"/>
      <c r="J1758" s="22"/>
      <c r="M1758" s="89"/>
      <c r="N1758" s="60"/>
      <c r="O1758" s="90"/>
      <c r="P1758" s="91"/>
      <c r="Q1758" s="92"/>
      <c r="R1758" s="68" t="str">
        <f t="shared" si="30"/>
        <v/>
      </c>
      <c r="S1758" s="22"/>
    </row>
    <row r="1759" spans="1:19" ht="18" customHeight="1">
      <c r="A1759" s="85"/>
      <c r="B1759" s="86"/>
      <c r="C1759" s="22"/>
      <c r="D1759" s="85"/>
      <c r="E1759" s="87"/>
      <c r="F1759" s="85"/>
      <c r="G1759" s="22"/>
      <c r="H1759" s="88"/>
      <c r="J1759" s="22"/>
      <c r="M1759" s="89"/>
      <c r="N1759" s="60"/>
      <c r="O1759" s="90"/>
      <c r="P1759" s="91"/>
      <c r="Q1759" s="92"/>
      <c r="R1759" s="68" t="str">
        <f t="shared" si="30"/>
        <v/>
      </c>
      <c r="S1759" s="22"/>
    </row>
    <row r="1760" spans="1:19" ht="18" customHeight="1">
      <c r="A1760" s="85"/>
      <c r="B1760" s="86"/>
      <c r="C1760" s="22"/>
      <c r="D1760" s="85"/>
      <c r="E1760" s="87"/>
      <c r="F1760" s="85"/>
      <c r="G1760" s="22"/>
      <c r="H1760" s="88"/>
      <c r="J1760" s="22"/>
      <c r="M1760" s="89"/>
      <c r="N1760" s="60"/>
      <c r="O1760" s="90"/>
      <c r="P1760" s="91"/>
      <c r="Q1760" s="92"/>
      <c r="R1760" s="68" t="str">
        <f t="shared" si="30"/>
        <v/>
      </c>
      <c r="S1760" s="22"/>
    </row>
    <row r="1761" spans="1:19" ht="18" customHeight="1">
      <c r="A1761" s="85"/>
      <c r="B1761" s="86"/>
      <c r="C1761" s="22"/>
      <c r="D1761" s="85"/>
      <c r="E1761" s="87"/>
      <c r="F1761" s="85"/>
      <c r="G1761" s="22"/>
      <c r="H1761" s="88"/>
      <c r="J1761" s="22"/>
      <c r="M1761" s="89"/>
      <c r="N1761" s="60"/>
      <c r="O1761" s="90"/>
      <c r="P1761" s="91"/>
      <c r="Q1761" s="92"/>
      <c r="R1761" s="68" t="str">
        <f t="shared" si="30"/>
        <v/>
      </c>
      <c r="S1761" s="22"/>
    </row>
    <row r="1762" spans="1:19" ht="18" customHeight="1">
      <c r="A1762" s="85"/>
      <c r="B1762" s="86"/>
      <c r="C1762" s="22"/>
      <c r="D1762" s="85"/>
      <c r="E1762" s="87"/>
      <c r="F1762" s="85"/>
      <c r="G1762" s="22"/>
      <c r="H1762" s="88"/>
      <c r="J1762" s="22"/>
      <c r="M1762" s="89"/>
      <c r="N1762" s="60"/>
      <c r="O1762" s="90"/>
      <c r="P1762" s="91"/>
      <c r="Q1762" s="92"/>
      <c r="R1762" s="68" t="str">
        <f t="shared" si="30"/>
        <v/>
      </c>
      <c r="S1762" s="22"/>
    </row>
    <row r="1763" spans="1:19" ht="18" customHeight="1">
      <c r="A1763" s="85"/>
      <c r="B1763" s="86"/>
      <c r="C1763" s="22"/>
      <c r="D1763" s="85"/>
      <c r="E1763" s="87"/>
      <c r="F1763" s="85"/>
      <c r="G1763" s="22"/>
      <c r="H1763" s="88"/>
      <c r="J1763" s="22"/>
      <c r="M1763" s="89"/>
      <c r="N1763" s="60"/>
      <c r="O1763" s="90"/>
      <c r="P1763" s="91"/>
      <c r="Q1763" s="92"/>
      <c r="R1763" s="68" t="str">
        <f t="shared" si="30"/>
        <v/>
      </c>
      <c r="S1763" s="22"/>
    </row>
    <row r="1764" spans="1:19" ht="18" customHeight="1">
      <c r="A1764" s="85"/>
      <c r="B1764" s="86"/>
      <c r="C1764" s="22"/>
      <c r="D1764" s="85"/>
      <c r="E1764" s="87"/>
      <c r="F1764" s="85"/>
      <c r="G1764" s="22"/>
      <c r="H1764" s="88"/>
      <c r="J1764" s="22"/>
      <c r="M1764" s="89"/>
      <c r="N1764" s="60"/>
      <c r="O1764" s="90"/>
      <c r="P1764" s="91"/>
      <c r="Q1764" s="92"/>
      <c r="R1764" s="68" t="str">
        <f t="shared" si="30"/>
        <v/>
      </c>
      <c r="S1764" s="22"/>
    </row>
    <row r="1765" spans="1:19" ht="18" customHeight="1">
      <c r="A1765" s="85"/>
      <c r="B1765" s="86"/>
      <c r="C1765" s="22"/>
      <c r="D1765" s="85"/>
      <c r="E1765" s="87"/>
      <c r="F1765" s="85"/>
      <c r="G1765" s="22"/>
      <c r="H1765" s="88"/>
      <c r="J1765" s="22"/>
      <c r="M1765" s="89"/>
      <c r="N1765" s="60"/>
      <c r="O1765" s="90"/>
      <c r="P1765" s="91"/>
      <c r="Q1765" s="92"/>
      <c r="R1765" s="68" t="str">
        <f t="shared" si="30"/>
        <v/>
      </c>
      <c r="S1765" s="22"/>
    </row>
    <row r="1766" spans="1:19" ht="18" customHeight="1">
      <c r="A1766" s="85"/>
      <c r="B1766" s="86"/>
      <c r="C1766" s="22"/>
      <c r="D1766" s="85"/>
      <c r="E1766" s="87"/>
      <c r="F1766" s="85"/>
      <c r="G1766" s="22"/>
      <c r="H1766" s="88"/>
      <c r="J1766" s="22"/>
      <c r="M1766" s="89"/>
      <c r="N1766" s="60"/>
      <c r="O1766" s="90"/>
      <c r="P1766" s="91"/>
      <c r="Q1766" s="92"/>
      <c r="R1766" s="68" t="str">
        <f t="shared" si="30"/>
        <v/>
      </c>
      <c r="S1766" s="22"/>
    </row>
    <row r="1767" spans="1:19" ht="18" customHeight="1">
      <c r="A1767" s="85"/>
      <c r="B1767" s="86"/>
      <c r="C1767" s="22"/>
      <c r="D1767" s="85"/>
      <c r="E1767" s="87"/>
      <c r="F1767" s="85"/>
      <c r="G1767" s="22"/>
      <c r="H1767" s="88"/>
      <c r="J1767" s="22"/>
      <c r="M1767" s="89"/>
      <c r="N1767" s="60"/>
      <c r="O1767" s="90"/>
      <c r="P1767" s="91"/>
      <c r="Q1767" s="92"/>
      <c r="R1767" s="68" t="str">
        <f t="shared" si="30"/>
        <v/>
      </c>
      <c r="S1767" s="22"/>
    </row>
    <row r="1768" spans="1:19" ht="18" customHeight="1">
      <c r="A1768" s="85"/>
      <c r="B1768" s="86"/>
      <c r="C1768" s="22"/>
      <c r="D1768" s="85"/>
      <c r="E1768" s="87"/>
      <c r="F1768" s="85"/>
      <c r="G1768" s="22"/>
      <c r="H1768" s="88"/>
      <c r="J1768" s="22"/>
      <c r="M1768" s="89"/>
      <c r="N1768" s="60"/>
      <c r="O1768" s="90"/>
      <c r="P1768" s="91"/>
      <c r="Q1768" s="92"/>
      <c r="R1768" s="68" t="str">
        <f t="shared" si="30"/>
        <v/>
      </c>
      <c r="S1768" s="22"/>
    </row>
    <row r="1769" spans="1:19" ht="18" customHeight="1">
      <c r="A1769" s="85"/>
      <c r="B1769" s="86"/>
      <c r="C1769" s="22"/>
      <c r="D1769" s="85"/>
      <c r="E1769" s="87"/>
      <c r="F1769" s="85"/>
      <c r="G1769" s="22"/>
      <c r="H1769" s="88"/>
      <c r="J1769" s="22"/>
      <c r="M1769" s="89"/>
      <c r="N1769" s="60"/>
      <c r="O1769" s="90"/>
      <c r="P1769" s="91"/>
      <c r="Q1769" s="92"/>
      <c r="R1769" s="68" t="str">
        <f t="shared" si="30"/>
        <v/>
      </c>
      <c r="S1769" s="22"/>
    </row>
    <row r="1770" spans="1:19" ht="18" customHeight="1">
      <c r="A1770" s="85"/>
      <c r="B1770" s="86"/>
      <c r="C1770" s="22"/>
      <c r="D1770" s="85"/>
      <c r="E1770" s="87"/>
      <c r="F1770" s="85"/>
      <c r="G1770" s="22"/>
      <c r="H1770" s="88"/>
      <c r="J1770" s="22"/>
      <c r="M1770" s="89"/>
      <c r="N1770" s="60"/>
      <c r="O1770" s="90"/>
      <c r="P1770" s="91"/>
      <c r="Q1770" s="92"/>
      <c r="R1770" s="68" t="str">
        <f t="shared" si="30"/>
        <v/>
      </c>
      <c r="S1770" s="22"/>
    </row>
    <row r="1771" spans="1:19" ht="18" customHeight="1">
      <c r="A1771" s="85"/>
      <c r="B1771" s="86"/>
      <c r="C1771" s="22"/>
      <c r="D1771" s="85"/>
      <c r="E1771" s="87"/>
      <c r="F1771" s="85"/>
      <c r="G1771" s="22"/>
      <c r="H1771" s="88"/>
      <c r="J1771" s="22"/>
      <c r="M1771" s="89"/>
      <c r="N1771" s="60"/>
      <c r="O1771" s="90"/>
      <c r="P1771" s="91"/>
      <c r="Q1771" s="92"/>
      <c r="R1771" s="68" t="str">
        <f t="shared" si="30"/>
        <v/>
      </c>
      <c r="S1771" s="22"/>
    </row>
    <row r="1772" spans="1:19" ht="18" customHeight="1">
      <c r="A1772" s="85"/>
      <c r="B1772" s="86"/>
      <c r="C1772" s="22"/>
      <c r="D1772" s="85"/>
      <c r="E1772" s="87"/>
      <c r="F1772" s="85"/>
      <c r="G1772" s="22"/>
      <c r="H1772" s="88"/>
      <c r="J1772" s="22"/>
      <c r="M1772" s="89"/>
      <c r="N1772" s="60"/>
      <c r="O1772" s="90"/>
      <c r="P1772" s="91"/>
      <c r="Q1772" s="92"/>
      <c r="R1772" s="68" t="str">
        <f t="shared" si="30"/>
        <v/>
      </c>
      <c r="S1772" s="22"/>
    </row>
    <row r="1773" spans="1:19" ht="18" customHeight="1">
      <c r="A1773" s="85"/>
      <c r="B1773" s="86"/>
      <c r="C1773" s="22"/>
      <c r="D1773" s="85"/>
      <c r="E1773" s="87"/>
      <c r="F1773" s="85"/>
      <c r="G1773" s="22"/>
      <c r="H1773" s="88"/>
      <c r="J1773" s="22"/>
      <c r="M1773" s="89"/>
      <c r="N1773" s="60"/>
      <c r="O1773" s="90"/>
      <c r="P1773" s="91"/>
      <c r="Q1773" s="92"/>
      <c r="R1773" s="68" t="str">
        <f t="shared" si="30"/>
        <v/>
      </c>
      <c r="S1773" s="22"/>
    </row>
    <row r="1774" spans="1:19" ht="18" customHeight="1">
      <c r="A1774" s="85"/>
      <c r="B1774" s="86"/>
      <c r="C1774" s="22"/>
      <c r="D1774" s="85"/>
      <c r="E1774" s="87"/>
      <c r="F1774" s="85"/>
      <c r="G1774" s="22"/>
      <c r="H1774" s="88"/>
      <c r="J1774" s="22"/>
      <c r="M1774" s="89"/>
      <c r="N1774" s="60"/>
      <c r="O1774" s="90"/>
      <c r="P1774" s="91"/>
      <c r="Q1774" s="92"/>
      <c r="R1774" s="68" t="str">
        <f t="shared" si="30"/>
        <v/>
      </c>
      <c r="S1774" s="22"/>
    </row>
    <row r="1775" spans="1:19" ht="18" customHeight="1">
      <c r="A1775" s="85"/>
      <c r="B1775" s="86"/>
      <c r="C1775" s="22"/>
      <c r="D1775" s="85"/>
      <c r="E1775" s="87"/>
      <c r="F1775" s="85"/>
      <c r="G1775" s="22"/>
      <c r="H1775" s="88"/>
      <c r="J1775" s="22"/>
      <c r="M1775" s="89"/>
      <c r="N1775" s="60"/>
      <c r="O1775" s="90"/>
      <c r="P1775" s="91"/>
      <c r="Q1775" s="92"/>
      <c r="R1775" s="68" t="str">
        <f t="shared" si="30"/>
        <v/>
      </c>
      <c r="S1775" s="22"/>
    </row>
    <row r="1776" spans="1:19" ht="18" customHeight="1">
      <c r="A1776" s="85"/>
      <c r="B1776" s="86"/>
      <c r="C1776" s="22"/>
      <c r="D1776" s="85"/>
      <c r="E1776" s="87"/>
      <c r="F1776" s="85"/>
      <c r="G1776" s="22"/>
      <c r="H1776" s="88"/>
      <c r="J1776" s="22"/>
      <c r="M1776" s="89"/>
      <c r="N1776" s="60"/>
      <c r="O1776" s="90"/>
      <c r="P1776" s="91"/>
      <c r="Q1776" s="92"/>
      <c r="R1776" s="68" t="str">
        <f t="shared" si="30"/>
        <v/>
      </c>
      <c r="S1776" s="22"/>
    </row>
    <row r="1777" spans="1:19" ht="18" customHeight="1">
      <c r="A1777" s="85"/>
      <c r="B1777" s="86"/>
      <c r="C1777" s="22"/>
      <c r="D1777" s="85"/>
      <c r="E1777" s="87"/>
      <c r="F1777" s="85"/>
      <c r="G1777" s="22"/>
      <c r="H1777" s="88"/>
      <c r="J1777" s="22"/>
      <c r="M1777" s="89"/>
      <c r="N1777" s="60"/>
      <c r="O1777" s="90"/>
      <c r="P1777" s="91"/>
      <c r="Q1777" s="92"/>
      <c r="R1777" s="68" t="str">
        <f t="shared" si="30"/>
        <v/>
      </c>
      <c r="S1777" s="22"/>
    </row>
    <row r="1778" spans="1:19" ht="18" customHeight="1">
      <c r="A1778" s="85"/>
      <c r="B1778" s="86"/>
      <c r="C1778" s="22"/>
      <c r="D1778" s="85"/>
      <c r="E1778" s="87"/>
      <c r="F1778" s="85"/>
      <c r="G1778" s="22"/>
      <c r="H1778" s="88"/>
      <c r="J1778" s="22"/>
      <c r="M1778" s="89"/>
      <c r="N1778" s="60"/>
      <c r="O1778" s="90"/>
      <c r="P1778" s="91"/>
      <c r="Q1778" s="92"/>
      <c r="R1778" s="68" t="str">
        <f t="shared" si="30"/>
        <v/>
      </c>
      <c r="S1778" s="22"/>
    </row>
    <row r="1779" spans="1:19" ht="18" customHeight="1">
      <c r="A1779" s="85"/>
      <c r="B1779" s="86"/>
      <c r="C1779" s="22"/>
      <c r="D1779" s="85"/>
      <c r="E1779" s="87"/>
      <c r="F1779" s="85"/>
      <c r="G1779" s="22"/>
      <c r="H1779" s="88"/>
      <c r="J1779" s="22"/>
      <c r="M1779" s="89"/>
      <c r="N1779" s="60"/>
      <c r="O1779" s="90"/>
      <c r="P1779" s="91"/>
      <c r="Q1779" s="92"/>
      <c r="R1779" s="68" t="str">
        <f t="shared" si="30"/>
        <v/>
      </c>
      <c r="S1779" s="22"/>
    </row>
    <row r="1780" spans="1:19" ht="18" customHeight="1">
      <c r="A1780" s="85"/>
      <c r="B1780" s="86"/>
      <c r="C1780" s="22"/>
      <c r="D1780" s="85"/>
      <c r="E1780" s="87"/>
      <c r="F1780" s="85"/>
      <c r="G1780" s="22"/>
      <c r="H1780" s="88"/>
      <c r="J1780" s="22"/>
      <c r="M1780" s="89"/>
      <c r="N1780" s="60"/>
      <c r="O1780" s="90"/>
      <c r="P1780" s="91"/>
      <c r="Q1780" s="92"/>
      <c r="R1780" s="68" t="str">
        <f t="shared" ref="R1780:R1843" si="31">IF(SUM(Q1780)&gt;0,SUM(Q1780-P1780),"")</f>
        <v/>
      </c>
      <c r="S1780" s="22"/>
    </row>
    <row r="1781" spans="1:19" ht="18" customHeight="1">
      <c r="A1781" s="85"/>
      <c r="B1781" s="86"/>
      <c r="C1781" s="22"/>
      <c r="D1781" s="85"/>
      <c r="E1781" s="87"/>
      <c r="F1781" s="85"/>
      <c r="G1781" s="22"/>
      <c r="H1781" s="88"/>
      <c r="J1781" s="22"/>
      <c r="M1781" s="89"/>
      <c r="N1781" s="60"/>
      <c r="O1781" s="90"/>
      <c r="P1781" s="91"/>
      <c r="Q1781" s="92"/>
      <c r="R1781" s="68" t="str">
        <f t="shared" si="31"/>
        <v/>
      </c>
      <c r="S1781" s="22"/>
    </row>
    <row r="1782" spans="1:19" ht="18" customHeight="1">
      <c r="A1782" s="85"/>
      <c r="B1782" s="86"/>
      <c r="C1782" s="22"/>
      <c r="D1782" s="85"/>
      <c r="E1782" s="87"/>
      <c r="F1782" s="85"/>
      <c r="G1782" s="22"/>
      <c r="H1782" s="88"/>
      <c r="J1782" s="22"/>
      <c r="M1782" s="89"/>
      <c r="N1782" s="60"/>
      <c r="O1782" s="90"/>
      <c r="P1782" s="91"/>
      <c r="Q1782" s="92"/>
      <c r="R1782" s="68" t="str">
        <f t="shared" si="31"/>
        <v/>
      </c>
      <c r="S1782" s="22"/>
    </row>
    <row r="1783" spans="1:19" ht="18" customHeight="1">
      <c r="A1783" s="85"/>
      <c r="B1783" s="86"/>
      <c r="C1783" s="22"/>
      <c r="D1783" s="85"/>
      <c r="E1783" s="87"/>
      <c r="F1783" s="85"/>
      <c r="G1783" s="22"/>
      <c r="H1783" s="88"/>
      <c r="J1783" s="22"/>
      <c r="M1783" s="89"/>
      <c r="N1783" s="60"/>
      <c r="O1783" s="90"/>
      <c r="P1783" s="91"/>
      <c r="Q1783" s="92"/>
      <c r="R1783" s="68" t="str">
        <f t="shared" si="31"/>
        <v/>
      </c>
      <c r="S1783" s="22"/>
    </row>
    <row r="1784" spans="1:19" ht="18" customHeight="1">
      <c r="A1784" s="85"/>
      <c r="B1784" s="86"/>
      <c r="C1784" s="22"/>
      <c r="D1784" s="85"/>
      <c r="E1784" s="87"/>
      <c r="F1784" s="85"/>
      <c r="G1784" s="22"/>
      <c r="H1784" s="88"/>
      <c r="J1784" s="22"/>
      <c r="M1784" s="89"/>
      <c r="N1784" s="60"/>
      <c r="O1784" s="90"/>
      <c r="P1784" s="91"/>
      <c r="Q1784" s="92"/>
      <c r="R1784" s="68" t="str">
        <f t="shared" si="31"/>
        <v/>
      </c>
      <c r="S1784" s="22"/>
    </row>
    <row r="1785" spans="1:19" ht="18" customHeight="1">
      <c r="A1785" s="85"/>
      <c r="B1785" s="86"/>
      <c r="C1785" s="22"/>
      <c r="D1785" s="85"/>
      <c r="E1785" s="87"/>
      <c r="F1785" s="85"/>
      <c r="G1785" s="22"/>
      <c r="H1785" s="88"/>
      <c r="J1785" s="22"/>
      <c r="M1785" s="89"/>
      <c r="N1785" s="60"/>
      <c r="O1785" s="90"/>
      <c r="P1785" s="91"/>
      <c r="Q1785" s="92"/>
      <c r="R1785" s="68" t="str">
        <f t="shared" si="31"/>
        <v/>
      </c>
      <c r="S1785" s="22"/>
    </row>
    <row r="1786" spans="1:19" ht="18" customHeight="1">
      <c r="A1786" s="85"/>
      <c r="B1786" s="86"/>
      <c r="C1786" s="22"/>
      <c r="D1786" s="85"/>
      <c r="E1786" s="87"/>
      <c r="F1786" s="85"/>
      <c r="G1786" s="22"/>
      <c r="H1786" s="88"/>
      <c r="J1786" s="22"/>
      <c r="M1786" s="89"/>
      <c r="N1786" s="60"/>
      <c r="O1786" s="90"/>
      <c r="P1786" s="91"/>
      <c r="Q1786" s="92"/>
      <c r="R1786" s="68" t="str">
        <f t="shared" si="31"/>
        <v/>
      </c>
      <c r="S1786" s="22"/>
    </row>
    <row r="1787" spans="1:19" ht="18" customHeight="1">
      <c r="A1787" s="85"/>
      <c r="B1787" s="86"/>
      <c r="C1787" s="22"/>
      <c r="D1787" s="85"/>
      <c r="E1787" s="87"/>
      <c r="F1787" s="85"/>
      <c r="G1787" s="22"/>
      <c r="H1787" s="88"/>
      <c r="J1787" s="22"/>
      <c r="M1787" s="89"/>
      <c r="N1787" s="60"/>
      <c r="O1787" s="90"/>
      <c r="P1787" s="91"/>
      <c r="Q1787" s="92"/>
      <c r="R1787" s="68" t="str">
        <f t="shared" si="31"/>
        <v/>
      </c>
      <c r="S1787" s="22"/>
    </row>
    <row r="1788" spans="1:19" ht="18" customHeight="1">
      <c r="A1788" s="85"/>
      <c r="B1788" s="86"/>
      <c r="C1788" s="22"/>
      <c r="D1788" s="85"/>
      <c r="E1788" s="87"/>
      <c r="F1788" s="85"/>
      <c r="G1788" s="22"/>
      <c r="H1788" s="88"/>
      <c r="J1788" s="22"/>
      <c r="M1788" s="89"/>
      <c r="N1788" s="60"/>
      <c r="O1788" s="90"/>
      <c r="P1788" s="91"/>
      <c r="Q1788" s="92"/>
      <c r="R1788" s="68" t="str">
        <f t="shared" si="31"/>
        <v/>
      </c>
      <c r="S1788" s="22"/>
    </row>
    <row r="1789" spans="1:19" ht="18" customHeight="1">
      <c r="A1789" s="85"/>
      <c r="B1789" s="86"/>
      <c r="C1789" s="22"/>
      <c r="D1789" s="85"/>
      <c r="E1789" s="87"/>
      <c r="F1789" s="85"/>
      <c r="G1789" s="22"/>
      <c r="H1789" s="88"/>
      <c r="J1789" s="22"/>
      <c r="M1789" s="89"/>
      <c r="N1789" s="60"/>
      <c r="O1789" s="90"/>
      <c r="P1789" s="91"/>
      <c r="Q1789" s="92"/>
      <c r="R1789" s="68" t="str">
        <f t="shared" si="31"/>
        <v/>
      </c>
      <c r="S1789" s="22"/>
    </row>
    <row r="1790" spans="1:19" ht="18" customHeight="1">
      <c r="A1790" s="85"/>
      <c r="B1790" s="86"/>
      <c r="C1790" s="22"/>
      <c r="D1790" s="85"/>
      <c r="E1790" s="87"/>
      <c r="F1790" s="85"/>
      <c r="G1790" s="22"/>
      <c r="H1790" s="88"/>
      <c r="J1790" s="22"/>
      <c r="M1790" s="89"/>
      <c r="N1790" s="60"/>
      <c r="O1790" s="90"/>
      <c r="P1790" s="91"/>
      <c r="Q1790" s="92"/>
      <c r="R1790" s="68" t="str">
        <f t="shared" si="31"/>
        <v/>
      </c>
      <c r="S1790" s="22"/>
    </row>
    <row r="1791" spans="1:19" ht="18" customHeight="1">
      <c r="A1791" s="85"/>
      <c r="B1791" s="86"/>
      <c r="C1791" s="22"/>
      <c r="D1791" s="85"/>
      <c r="E1791" s="87"/>
      <c r="F1791" s="85"/>
      <c r="G1791" s="22"/>
      <c r="H1791" s="88"/>
      <c r="J1791" s="22"/>
      <c r="M1791" s="89"/>
      <c r="N1791" s="60"/>
      <c r="O1791" s="90"/>
      <c r="P1791" s="91"/>
      <c r="Q1791" s="92"/>
      <c r="R1791" s="68" t="str">
        <f t="shared" si="31"/>
        <v/>
      </c>
      <c r="S1791" s="22"/>
    </row>
    <row r="1792" spans="1:19" ht="18" customHeight="1">
      <c r="A1792" s="85"/>
      <c r="B1792" s="86"/>
      <c r="C1792" s="22"/>
      <c r="D1792" s="85"/>
      <c r="E1792" s="87"/>
      <c r="F1792" s="85"/>
      <c r="G1792" s="22"/>
      <c r="H1792" s="88"/>
      <c r="J1792" s="22"/>
      <c r="M1792" s="89"/>
      <c r="N1792" s="60"/>
      <c r="O1792" s="90"/>
      <c r="P1792" s="91"/>
      <c r="Q1792" s="92"/>
      <c r="R1792" s="68" t="str">
        <f t="shared" si="31"/>
        <v/>
      </c>
      <c r="S1792" s="22"/>
    </row>
    <row r="1793" spans="1:19" ht="18" customHeight="1">
      <c r="A1793" s="85"/>
      <c r="B1793" s="86"/>
      <c r="C1793" s="22"/>
      <c r="D1793" s="85"/>
      <c r="E1793" s="87"/>
      <c r="F1793" s="85"/>
      <c r="G1793" s="22"/>
      <c r="H1793" s="88"/>
      <c r="J1793" s="22"/>
      <c r="M1793" s="89"/>
      <c r="N1793" s="60"/>
      <c r="O1793" s="90"/>
      <c r="P1793" s="91"/>
      <c r="Q1793" s="92"/>
      <c r="R1793" s="68" t="str">
        <f t="shared" si="31"/>
        <v/>
      </c>
      <c r="S1793" s="22"/>
    </row>
    <row r="1794" spans="1:19" ht="18" customHeight="1">
      <c r="A1794" s="85"/>
      <c r="B1794" s="86"/>
      <c r="C1794" s="22"/>
      <c r="D1794" s="85"/>
      <c r="E1794" s="87"/>
      <c r="F1794" s="85"/>
      <c r="G1794" s="22"/>
      <c r="H1794" s="88"/>
      <c r="J1794" s="22"/>
      <c r="M1794" s="89"/>
      <c r="N1794" s="60"/>
      <c r="O1794" s="90"/>
      <c r="P1794" s="91"/>
      <c r="Q1794" s="92"/>
      <c r="R1794" s="68" t="str">
        <f t="shared" si="31"/>
        <v/>
      </c>
      <c r="S1794" s="22"/>
    </row>
    <row r="1795" spans="1:19" ht="18" customHeight="1">
      <c r="A1795" s="85"/>
      <c r="B1795" s="86"/>
      <c r="C1795" s="22"/>
      <c r="D1795" s="85"/>
      <c r="E1795" s="87"/>
      <c r="F1795" s="85"/>
      <c r="G1795" s="22"/>
      <c r="H1795" s="88"/>
      <c r="J1795" s="22"/>
      <c r="M1795" s="89"/>
      <c r="N1795" s="60"/>
      <c r="O1795" s="90"/>
      <c r="P1795" s="91"/>
      <c r="Q1795" s="92"/>
      <c r="R1795" s="68" t="str">
        <f t="shared" si="31"/>
        <v/>
      </c>
      <c r="S1795" s="22"/>
    </row>
    <row r="1796" spans="1:19" ht="18" customHeight="1">
      <c r="A1796" s="85"/>
      <c r="B1796" s="86"/>
      <c r="C1796" s="22"/>
      <c r="D1796" s="85"/>
      <c r="E1796" s="87"/>
      <c r="F1796" s="85"/>
      <c r="G1796" s="22"/>
      <c r="H1796" s="88"/>
      <c r="J1796" s="22"/>
      <c r="M1796" s="89"/>
      <c r="N1796" s="60"/>
      <c r="O1796" s="90"/>
      <c r="P1796" s="91"/>
      <c r="Q1796" s="92"/>
      <c r="R1796" s="68" t="str">
        <f t="shared" si="31"/>
        <v/>
      </c>
      <c r="S1796" s="22"/>
    </row>
    <row r="1797" spans="1:19" ht="18" customHeight="1">
      <c r="A1797" s="85"/>
      <c r="B1797" s="86"/>
      <c r="C1797" s="22"/>
      <c r="D1797" s="85"/>
      <c r="E1797" s="87"/>
      <c r="F1797" s="85"/>
      <c r="G1797" s="22"/>
      <c r="H1797" s="88"/>
      <c r="J1797" s="22"/>
      <c r="M1797" s="89"/>
      <c r="N1797" s="60"/>
      <c r="O1797" s="90"/>
      <c r="P1797" s="91"/>
      <c r="Q1797" s="92"/>
      <c r="R1797" s="68" t="str">
        <f t="shared" si="31"/>
        <v/>
      </c>
      <c r="S1797" s="22"/>
    </row>
    <row r="1798" spans="1:19" ht="18" customHeight="1">
      <c r="A1798" s="85"/>
      <c r="B1798" s="86"/>
      <c r="C1798" s="22"/>
      <c r="D1798" s="85"/>
      <c r="E1798" s="87"/>
      <c r="F1798" s="85"/>
      <c r="G1798" s="22"/>
      <c r="H1798" s="88"/>
      <c r="J1798" s="22"/>
      <c r="M1798" s="89"/>
      <c r="N1798" s="60"/>
      <c r="O1798" s="90"/>
      <c r="P1798" s="91"/>
      <c r="Q1798" s="92"/>
      <c r="R1798" s="68" t="str">
        <f t="shared" si="31"/>
        <v/>
      </c>
      <c r="S1798" s="22"/>
    </row>
    <row r="1799" spans="1:19" ht="18" customHeight="1">
      <c r="A1799" s="85"/>
      <c r="B1799" s="86"/>
      <c r="C1799" s="22"/>
      <c r="D1799" s="85"/>
      <c r="E1799" s="87"/>
      <c r="F1799" s="85"/>
      <c r="G1799" s="22"/>
      <c r="H1799" s="88"/>
      <c r="J1799" s="22"/>
      <c r="M1799" s="89"/>
      <c r="N1799" s="60"/>
      <c r="O1799" s="90"/>
      <c r="P1799" s="91"/>
      <c r="Q1799" s="92"/>
      <c r="R1799" s="68" t="str">
        <f t="shared" si="31"/>
        <v/>
      </c>
      <c r="S1799" s="22"/>
    </row>
    <row r="1800" spans="1:19" ht="18" customHeight="1">
      <c r="A1800" s="85"/>
      <c r="B1800" s="86"/>
      <c r="C1800" s="22"/>
      <c r="D1800" s="85"/>
      <c r="E1800" s="87"/>
      <c r="F1800" s="85"/>
      <c r="G1800" s="22"/>
      <c r="H1800" s="88"/>
      <c r="J1800" s="22"/>
      <c r="M1800" s="89"/>
      <c r="N1800" s="60"/>
      <c r="O1800" s="90"/>
      <c r="P1800" s="91"/>
      <c r="Q1800" s="92"/>
      <c r="R1800" s="68" t="str">
        <f t="shared" si="31"/>
        <v/>
      </c>
      <c r="S1800" s="22"/>
    </row>
    <row r="1801" spans="1:19" ht="18" customHeight="1">
      <c r="A1801" s="85"/>
      <c r="B1801" s="86"/>
      <c r="C1801" s="22"/>
      <c r="D1801" s="85"/>
      <c r="E1801" s="87"/>
      <c r="F1801" s="85"/>
      <c r="G1801" s="22"/>
      <c r="H1801" s="88"/>
      <c r="J1801" s="22"/>
      <c r="M1801" s="89"/>
      <c r="N1801" s="60"/>
      <c r="O1801" s="90"/>
      <c r="P1801" s="91"/>
      <c r="Q1801" s="92"/>
      <c r="R1801" s="68" t="str">
        <f t="shared" si="31"/>
        <v/>
      </c>
      <c r="S1801" s="22"/>
    </row>
    <row r="1802" spans="1:19" ht="18" customHeight="1">
      <c r="A1802" s="85"/>
      <c r="B1802" s="86"/>
      <c r="C1802" s="22"/>
      <c r="D1802" s="85"/>
      <c r="E1802" s="87"/>
      <c r="F1802" s="85"/>
      <c r="G1802" s="22"/>
      <c r="H1802" s="88"/>
      <c r="J1802" s="22"/>
      <c r="M1802" s="89"/>
      <c r="N1802" s="60"/>
      <c r="O1802" s="90"/>
      <c r="P1802" s="91"/>
      <c r="Q1802" s="92"/>
      <c r="R1802" s="68" t="str">
        <f t="shared" si="31"/>
        <v/>
      </c>
      <c r="S1802" s="22"/>
    </row>
    <row r="1803" spans="1:19" ht="18" customHeight="1">
      <c r="A1803" s="85"/>
      <c r="B1803" s="86"/>
      <c r="C1803" s="22"/>
      <c r="D1803" s="85"/>
      <c r="E1803" s="87"/>
      <c r="F1803" s="85"/>
      <c r="G1803" s="22"/>
      <c r="H1803" s="88"/>
      <c r="J1803" s="22"/>
      <c r="M1803" s="89"/>
      <c r="N1803" s="60"/>
      <c r="O1803" s="90"/>
      <c r="P1803" s="91"/>
      <c r="Q1803" s="92"/>
      <c r="R1803" s="68" t="str">
        <f t="shared" si="31"/>
        <v/>
      </c>
      <c r="S1803" s="22"/>
    </row>
    <row r="1804" spans="1:19" ht="18" customHeight="1">
      <c r="A1804" s="85"/>
      <c r="B1804" s="86"/>
      <c r="C1804" s="22"/>
      <c r="D1804" s="85"/>
      <c r="E1804" s="87"/>
      <c r="F1804" s="85"/>
      <c r="G1804" s="22"/>
      <c r="H1804" s="88"/>
      <c r="J1804" s="22"/>
      <c r="M1804" s="89"/>
      <c r="N1804" s="60"/>
      <c r="O1804" s="90"/>
      <c r="P1804" s="91"/>
      <c r="Q1804" s="92"/>
      <c r="R1804" s="68" t="str">
        <f t="shared" si="31"/>
        <v/>
      </c>
      <c r="S1804" s="22"/>
    </row>
    <row r="1805" spans="1:19" ht="18" customHeight="1">
      <c r="A1805" s="85"/>
      <c r="B1805" s="86"/>
      <c r="C1805" s="22"/>
      <c r="D1805" s="85"/>
      <c r="E1805" s="87"/>
      <c r="F1805" s="85"/>
      <c r="G1805" s="22"/>
      <c r="H1805" s="88"/>
      <c r="J1805" s="22"/>
      <c r="M1805" s="89"/>
      <c r="N1805" s="60"/>
      <c r="O1805" s="90"/>
      <c r="P1805" s="91"/>
      <c r="Q1805" s="92"/>
      <c r="R1805" s="68" t="str">
        <f t="shared" si="31"/>
        <v/>
      </c>
      <c r="S1805" s="22"/>
    </row>
    <row r="1806" spans="1:19" ht="18" customHeight="1">
      <c r="A1806" s="85"/>
      <c r="B1806" s="86"/>
      <c r="C1806" s="22"/>
      <c r="D1806" s="85"/>
      <c r="E1806" s="87"/>
      <c r="F1806" s="85"/>
      <c r="G1806" s="22"/>
      <c r="H1806" s="88"/>
      <c r="J1806" s="22"/>
      <c r="M1806" s="89"/>
      <c r="N1806" s="60"/>
      <c r="O1806" s="90"/>
      <c r="P1806" s="91"/>
      <c r="Q1806" s="92"/>
      <c r="R1806" s="68" t="str">
        <f t="shared" si="31"/>
        <v/>
      </c>
      <c r="S1806" s="22"/>
    </row>
    <row r="1807" spans="1:19" ht="18" customHeight="1">
      <c r="A1807" s="85"/>
      <c r="B1807" s="86"/>
      <c r="C1807" s="22"/>
      <c r="D1807" s="85"/>
      <c r="E1807" s="87"/>
      <c r="F1807" s="85"/>
      <c r="G1807" s="22"/>
      <c r="H1807" s="88"/>
      <c r="J1807" s="22"/>
      <c r="M1807" s="89"/>
      <c r="N1807" s="60"/>
      <c r="O1807" s="90"/>
      <c r="P1807" s="91"/>
      <c r="Q1807" s="92"/>
      <c r="R1807" s="68" t="str">
        <f t="shared" si="31"/>
        <v/>
      </c>
      <c r="S1807" s="22"/>
    </row>
    <row r="1808" spans="1:19" ht="18" customHeight="1">
      <c r="A1808" s="85"/>
      <c r="B1808" s="86"/>
      <c r="C1808" s="22"/>
      <c r="D1808" s="85"/>
      <c r="E1808" s="87"/>
      <c r="F1808" s="85"/>
      <c r="G1808" s="22"/>
      <c r="H1808" s="88"/>
      <c r="J1808" s="22"/>
      <c r="M1808" s="89"/>
      <c r="N1808" s="60"/>
      <c r="O1808" s="90"/>
      <c r="P1808" s="91"/>
      <c r="Q1808" s="92"/>
      <c r="R1808" s="68" t="str">
        <f t="shared" si="31"/>
        <v/>
      </c>
      <c r="S1808" s="22"/>
    </row>
    <row r="1809" spans="1:19" ht="18" customHeight="1">
      <c r="A1809" s="85"/>
      <c r="B1809" s="86"/>
      <c r="C1809" s="22"/>
      <c r="D1809" s="85"/>
      <c r="E1809" s="87"/>
      <c r="F1809" s="85"/>
      <c r="G1809" s="22"/>
      <c r="H1809" s="88"/>
      <c r="J1809" s="22"/>
      <c r="M1809" s="89"/>
      <c r="N1809" s="60"/>
      <c r="O1809" s="90"/>
      <c r="P1809" s="91"/>
      <c r="Q1809" s="92"/>
      <c r="R1809" s="68" t="str">
        <f t="shared" si="31"/>
        <v/>
      </c>
      <c r="S1809" s="22"/>
    </row>
    <row r="1810" spans="1:19" ht="18" customHeight="1">
      <c r="A1810" s="85"/>
      <c r="B1810" s="86"/>
      <c r="C1810" s="22"/>
      <c r="D1810" s="85"/>
      <c r="E1810" s="87"/>
      <c r="F1810" s="85"/>
      <c r="G1810" s="22"/>
      <c r="H1810" s="88"/>
      <c r="J1810" s="22"/>
      <c r="M1810" s="89"/>
      <c r="N1810" s="60"/>
      <c r="O1810" s="90"/>
      <c r="P1810" s="91"/>
      <c r="Q1810" s="92"/>
      <c r="R1810" s="68" t="str">
        <f t="shared" si="31"/>
        <v/>
      </c>
      <c r="S1810" s="22"/>
    </row>
    <row r="1811" spans="1:19" ht="18" customHeight="1">
      <c r="A1811" s="85"/>
      <c r="B1811" s="86"/>
      <c r="C1811" s="22"/>
      <c r="D1811" s="85"/>
      <c r="E1811" s="87"/>
      <c r="F1811" s="85"/>
      <c r="G1811" s="22"/>
      <c r="H1811" s="88"/>
      <c r="J1811" s="22"/>
      <c r="M1811" s="89"/>
      <c r="N1811" s="60"/>
      <c r="O1811" s="90"/>
      <c r="P1811" s="91"/>
      <c r="Q1811" s="92"/>
      <c r="R1811" s="68" t="str">
        <f t="shared" si="31"/>
        <v/>
      </c>
      <c r="S1811" s="22"/>
    </row>
    <row r="1812" spans="1:19" ht="18" customHeight="1">
      <c r="A1812" s="85"/>
      <c r="B1812" s="86"/>
      <c r="C1812" s="22"/>
      <c r="D1812" s="85"/>
      <c r="E1812" s="87"/>
      <c r="F1812" s="85"/>
      <c r="G1812" s="22"/>
      <c r="H1812" s="88"/>
      <c r="J1812" s="22"/>
      <c r="M1812" s="89"/>
      <c r="N1812" s="60"/>
      <c r="O1812" s="90"/>
      <c r="P1812" s="91"/>
      <c r="Q1812" s="92"/>
      <c r="R1812" s="68" t="str">
        <f t="shared" si="31"/>
        <v/>
      </c>
      <c r="S1812" s="22"/>
    </row>
    <row r="1813" spans="1:19" ht="18" customHeight="1">
      <c r="A1813" s="85"/>
      <c r="B1813" s="86"/>
      <c r="C1813" s="22"/>
      <c r="D1813" s="85"/>
      <c r="E1813" s="87"/>
      <c r="F1813" s="85"/>
      <c r="G1813" s="22"/>
      <c r="H1813" s="88"/>
      <c r="J1813" s="22"/>
      <c r="M1813" s="89"/>
      <c r="N1813" s="60"/>
      <c r="O1813" s="90"/>
      <c r="P1813" s="91"/>
      <c r="Q1813" s="92"/>
      <c r="R1813" s="68" t="str">
        <f t="shared" si="31"/>
        <v/>
      </c>
      <c r="S1813" s="22"/>
    </row>
    <row r="1814" spans="1:19" ht="18" customHeight="1">
      <c r="A1814" s="85"/>
      <c r="B1814" s="86"/>
      <c r="C1814" s="22"/>
      <c r="D1814" s="85"/>
      <c r="E1814" s="87"/>
      <c r="F1814" s="85"/>
      <c r="G1814" s="22"/>
      <c r="H1814" s="88"/>
      <c r="J1814" s="22"/>
      <c r="M1814" s="89"/>
      <c r="N1814" s="60"/>
      <c r="O1814" s="90"/>
      <c r="P1814" s="91"/>
      <c r="Q1814" s="92"/>
      <c r="R1814" s="68" t="str">
        <f t="shared" si="31"/>
        <v/>
      </c>
      <c r="S1814" s="22"/>
    </row>
    <row r="1815" spans="1:19" ht="18" customHeight="1">
      <c r="A1815" s="85"/>
      <c r="B1815" s="86"/>
      <c r="C1815" s="22"/>
      <c r="D1815" s="85"/>
      <c r="E1815" s="87"/>
      <c r="F1815" s="85"/>
      <c r="G1815" s="22"/>
      <c r="H1815" s="88"/>
      <c r="J1815" s="22"/>
      <c r="M1815" s="89"/>
      <c r="N1815" s="60"/>
      <c r="O1815" s="90"/>
      <c r="P1815" s="91"/>
      <c r="Q1815" s="92"/>
      <c r="R1815" s="68" t="str">
        <f t="shared" si="31"/>
        <v/>
      </c>
      <c r="S1815" s="22"/>
    </row>
    <row r="1816" spans="1:19" ht="18" customHeight="1">
      <c r="A1816" s="85"/>
      <c r="B1816" s="86"/>
      <c r="C1816" s="22"/>
      <c r="D1816" s="85"/>
      <c r="E1816" s="87"/>
      <c r="F1816" s="85"/>
      <c r="G1816" s="22"/>
      <c r="H1816" s="88"/>
      <c r="J1816" s="22"/>
      <c r="M1816" s="89"/>
      <c r="N1816" s="60"/>
      <c r="O1816" s="90"/>
      <c r="P1816" s="91"/>
      <c r="Q1816" s="92"/>
      <c r="R1816" s="68" t="str">
        <f t="shared" si="31"/>
        <v/>
      </c>
      <c r="S1816" s="22"/>
    </row>
    <row r="1817" spans="1:19" ht="18" customHeight="1">
      <c r="A1817" s="85"/>
      <c r="B1817" s="86"/>
      <c r="C1817" s="22"/>
      <c r="D1817" s="85"/>
      <c r="E1817" s="87"/>
      <c r="F1817" s="85"/>
      <c r="G1817" s="22"/>
      <c r="H1817" s="88"/>
      <c r="J1817" s="22"/>
      <c r="M1817" s="89"/>
      <c r="N1817" s="60"/>
      <c r="O1817" s="90"/>
      <c r="P1817" s="91"/>
      <c r="Q1817" s="92"/>
      <c r="R1817" s="68" t="str">
        <f t="shared" si="31"/>
        <v/>
      </c>
      <c r="S1817" s="22"/>
    </row>
    <row r="1818" spans="1:19" ht="18" customHeight="1">
      <c r="A1818" s="85"/>
      <c r="B1818" s="86"/>
      <c r="C1818" s="22"/>
      <c r="D1818" s="85"/>
      <c r="E1818" s="87"/>
      <c r="F1818" s="85"/>
      <c r="G1818" s="22"/>
      <c r="H1818" s="88"/>
      <c r="J1818" s="22"/>
      <c r="M1818" s="89"/>
      <c r="N1818" s="60"/>
      <c r="O1818" s="90"/>
      <c r="P1818" s="91"/>
      <c r="Q1818" s="92"/>
      <c r="R1818" s="68" t="str">
        <f t="shared" si="31"/>
        <v/>
      </c>
      <c r="S1818" s="22"/>
    </row>
    <row r="1819" spans="1:19" ht="18" customHeight="1">
      <c r="A1819" s="85"/>
      <c r="B1819" s="86"/>
      <c r="C1819" s="22"/>
      <c r="D1819" s="85"/>
      <c r="E1819" s="87"/>
      <c r="F1819" s="85"/>
      <c r="G1819" s="22"/>
      <c r="H1819" s="88"/>
      <c r="J1819" s="22"/>
      <c r="M1819" s="89"/>
      <c r="N1819" s="60"/>
      <c r="O1819" s="90"/>
      <c r="P1819" s="91"/>
      <c r="Q1819" s="92"/>
      <c r="R1819" s="68" t="str">
        <f t="shared" si="31"/>
        <v/>
      </c>
      <c r="S1819" s="22"/>
    </row>
    <row r="1820" spans="1:19" ht="18" customHeight="1">
      <c r="A1820" s="85"/>
      <c r="B1820" s="86"/>
      <c r="C1820" s="22"/>
      <c r="D1820" s="85"/>
      <c r="E1820" s="87"/>
      <c r="F1820" s="85"/>
      <c r="G1820" s="22"/>
      <c r="H1820" s="88"/>
      <c r="J1820" s="22"/>
      <c r="M1820" s="89"/>
      <c r="N1820" s="60"/>
      <c r="O1820" s="90"/>
      <c r="P1820" s="91"/>
      <c r="Q1820" s="92"/>
      <c r="R1820" s="68" t="str">
        <f t="shared" si="31"/>
        <v/>
      </c>
      <c r="S1820" s="22"/>
    </row>
    <row r="1821" spans="1:19" ht="18" customHeight="1">
      <c r="A1821" s="85"/>
      <c r="B1821" s="86"/>
      <c r="C1821" s="22"/>
      <c r="D1821" s="85"/>
      <c r="E1821" s="87"/>
      <c r="F1821" s="85"/>
      <c r="G1821" s="22"/>
      <c r="H1821" s="88"/>
      <c r="J1821" s="22"/>
      <c r="M1821" s="89"/>
      <c r="N1821" s="60"/>
      <c r="O1821" s="90"/>
      <c r="P1821" s="91"/>
      <c r="Q1821" s="92"/>
      <c r="R1821" s="68" t="str">
        <f t="shared" si="31"/>
        <v/>
      </c>
      <c r="S1821" s="22"/>
    </row>
    <row r="1822" spans="1:19" ht="18" customHeight="1">
      <c r="A1822" s="85"/>
      <c r="B1822" s="86"/>
      <c r="C1822" s="22"/>
      <c r="D1822" s="85"/>
      <c r="E1822" s="87"/>
      <c r="F1822" s="85"/>
      <c r="G1822" s="22"/>
      <c r="H1822" s="88"/>
      <c r="J1822" s="22"/>
      <c r="M1822" s="89"/>
      <c r="N1822" s="60"/>
      <c r="O1822" s="90"/>
      <c r="P1822" s="91"/>
      <c r="Q1822" s="92"/>
      <c r="R1822" s="68" t="str">
        <f t="shared" si="31"/>
        <v/>
      </c>
      <c r="S1822" s="22"/>
    </row>
    <row r="1823" spans="1:19" ht="18" customHeight="1">
      <c r="A1823" s="85"/>
      <c r="B1823" s="86"/>
      <c r="C1823" s="22"/>
      <c r="D1823" s="85"/>
      <c r="E1823" s="87"/>
      <c r="F1823" s="85"/>
      <c r="G1823" s="22"/>
      <c r="H1823" s="88"/>
      <c r="J1823" s="22"/>
      <c r="M1823" s="89"/>
      <c r="N1823" s="60"/>
      <c r="O1823" s="90"/>
      <c r="P1823" s="91"/>
      <c r="Q1823" s="92"/>
      <c r="R1823" s="68" t="str">
        <f t="shared" si="31"/>
        <v/>
      </c>
      <c r="S1823" s="22"/>
    </row>
    <row r="1824" spans="1:19" ht="18" customHeight="1">
      <c r="A1824" s="85"/>
      <c r="B1824" s="86"/>
      <c r="C1824" s="22"/>
      <c r="D1824" s="85"/>
      <c r="E1824" s="87"/>
      <c r="F1824" s="85"/>
      <c r="G1824" s="22"/>
      <c r="H1824" s="88"/>
      <c r="J1824" s="22"/>
      <c r="M1824" s="89"/>
      <c r="N1824" s="60"/>
      <c r="O1824" s="90"/>
      <c r="P1824" s="91"/>
      <c r="Q1824" s="92"/>
      <c r="R1824" s="68" t="str">
        <f t="shared" si="31"/>
        <v/>
      </c>
      <c r="S1824" s="22"/>
    </row>
    <row r="1825" spans="1:19" ht="18" customHeight="1">
      <c r="A1825" s="85"/>
      <c r="B1825" s="86"/>
      <c r="C1825" s="22"/>
      <c r="D1825" s="85"/>
      <c r="E1825" s="87"/>
      <c r="F1825" s="85"/>
      <c r="G1825" s="22"/>
      <c r="H1825" s="88"/>
      <c r="J1825" s="22"/>
      <c r="M1825" s="89"/>
      <c r="N1825" s="60"/>
      <c r="O1825" s="90"/>
      <c r="P1825" s="91"/>
      <c r="Q1825" s="92"/>
      <c r="R1825" s="68" t="str">
        <f t="shared" si="31"/>
        <v/>
      </c>
      <c r="S1825" s="22"/>
    </row>
    <row r="1826" spans="1:19" ht="18" customHeight="1">
      <c r="A1826" s="85"/>
      <c r="B1826" s="86"/>
      <c r="C1826" s="22"/>
      <c r="D1826" s="85"/>
      <c r="E1826" s="87"/>
      <c r="F1826" s="85"/>
      <c r="G1826" s="22"/>
      <c r="H1826" s="88"/>
      <c r="J1826" s="22"/>
      <c r="M1826" s="89"/>
      <c r="N1826" s="60"/>
      <c r="O1826" s="90"/>
      <c r="P1826" s="91"/>
      <c r="Q1826" s="92"/>
      <c r="R1826" s="68" t="str">
        <f t="shared" si="31"/>
        <v/>
      </c>
      <c r="S1826" s="22"/>
    </row>
    <row r="1827" spans="1:19" ht="18" customHeight="1">
      <c r="A1827" s="85"/>
      <c r="B1827" s="86"/>
      <c r="C1827" s="22"/>
      <c r="D1827" s="85"/>
      <c r="E1827" s="87"/>
      <c r="F1827" s="85"/>
      <c r="G1827" s="22"/>
      <c r="H1827" s="88"/>
      <c r="J1827" s="22"/>
      <c r="M1827" s="89"/>
      <c r="N1827" s="60"/>
      <c r="O1827" s="90"/>
      <c r="P1827" s="91"/>
      <c r="Q1827" s="92"/>
      <c r="R1827" s="68" t="str">
        <f t="shared" si="31"/>
        <v/>
      </c>
      <c r="S1827" s="22"/>
    </row>
    <row r="1828" spans="1:19" ht="18" customHeight="1">
      <c r="A1828" s="85"/>
      <c r="B1828" s="86"/>
      <c r="C1828" s="22"/>
      <c r="D1828" s="85"/>
      <c r="E1828" s="87"/>
      <c r="F1828" s="85"/>
      <c r="G1828" s="22"/>
      <c r="H1828" s="88"/>
      <c r="J1828" s="22"/>
      <c r="M1828" s="89"/>
      <c r="N1828" s="60"/>
      <c r="O1828" s="90"/>
      <c r="P1828" s="91"/>
      <c r="Q1828" s="92"/>
      <c r="R1828" s="68" t="str">
        <f t="shared" si="31"/>
        <v/>
      </c>
      <c r="S1828" s="22"/>
    </row>
    <row r="1829" spans="1:19" ht="18" customHeight="1">
      <c r="A1829" s="85"/>
      <c r="B1829" s="86"/>
      <c r="C1829" s="22"/>
      <c r="D1829" s="85"/>
      <c r="E1829" s="87"/>
      <c r="F1829" s="85"/>
      <c r="G1829" s="22"/>
      <c r="H1829" s="88"/>
      <c r="J1829" s="22"/>
      <c r="M1829" s="89"/>
      <c r="N1829" s="60"/>
      <c r="O1829" s="90"/>
      <c r="P1829" s="91"/>
      <c r="Q1829" s="92"/>
      <c r="R1829" s="68" t="str">
        <f t="shared" si="31"/>
        <v/>
      </c>
      <c r="S1829" s="22"/>
    </row>
    <row r="1830" spans="1:19" ht="18" customHeight="1">
      <c r="A1830" s="85"/>
      <c r="B1830" s="86"/>
      <c r="C1830" s="22"/>
      <c r="D1830" s="85"/>
      <c r="E1830" s="87"/>
      <c r="F1830" s="85"/>
      <c r="G1830" s="22"/>
      <c r="H1830" s="88"/>
      <c r="J1830" s="22"/>
      <c r="M1830" s="89"/>
      <c r="N1830" s="60"/>
      <c r="O1830" s="90"/>
      <c r="P1830" s="91"/>
      <c r="Q1830" s="92"/>
      <c r="R1830" s="68" t="str">
        <f t="shared" si="31"/>
        <v/>
      </c>
      <c r="S1830" s="22"/>
    </row>
    <row r="1831" spans="1:19" ht="18" customHeight="1">
      <c r="A1831" s="85"/>
      <c r="B1831" s="86"/>
      <c r="C1831" s="22"/>
      <c r="D1831" s="85"/>
      <c r="E1831" s="87"/>
      <c r="F1831" s="85"/>
      <c r="G1831" s="22"/>
      <c r="H1831" s="88"/>
      <c r="J1831" s="22"/>
      <c r="M1831" s="89"/>
      <c r="N1831" s="60"/>
      <c r="O1831" s="90"/>
      <c r="P1831" s="91"/>
      <c r="Q1831" s="92"/>
      <c r="R1831" s="68" t="str">
        <f t="shared" si="31"/>
        <v/>
      </c>
      <c r="S1831" s="22"/>
    </row>
    <row r="1832" spans="1:19" ht="18" customHeight="1">
      <c r="A1832" s="85"/>
      <c r="B1832" s="86"/>
      <c r="C1832" s="22"/>
      <c r="D1832" s="85"/>
      <c r="E1832" s="87"/>
      <c r="F1832" s="85"/>
      <c r="G1832" s="22"/>
      <c r="H1832" s="88"/>
      <c r="J1832" s="22"/>
      <c r="M1832" s="89"/>
      <c r="N1832" s="60"/>
      <c r="O1832" s="90"/>
      <c r="P1832" s="91"/>
      <c r="Q1832" s="92"/>
      <c r="R1832" s="68" t="str">
        <f t="shared" si="31"/>
        <v/>
      </c>
      <c r="S1832" s="22"/>
    </row>
    <row r="1833" spans="1:19" ht="18" customHeight="1">
      <c r="A1833" s="85"/>
      <c r="B1833" s="86"/>
      <c r="C1833" s="22"/>
      <c r="D1833" s="85"/>
      <c r="E1833" s="87"/>
      <c r="F1833" s="85"/>
      <c r="G1833" s="22"/>
      <c r="H1833" s="88"/>
      <c r="J1833" s="22"/>
      <c r="M1833" s="89"/>
      <c r="N1833" s="60"/>
      <c r="O1833" s="90"/>
      <c r="P1833" s="91"/>
      <c r="Q1833" s="92"/>
      <c r="R1833" s="68" t="str">
        <f t="shared" si="31"/>
        <v/>
      </c>
      <c r="S1833" s="22"/>
    </row>
    <row r="1834" spans="1:19" ht="18" customHeight="1">
      <c r="A1834" s="85"/>
      <c r="B1834" s="86"/>
      <c r="C1834" s="22"/>
      <c r="D1834" s="85"/>
      <c r="E1834" s="87"/>
      <c r="F1834" s="85"/>
      <c r="G1834" s="22"/>
      <c r="H1834" s="88"/>
      <c r="J1834" s="22"/>
      <c r="M1834" s="89"/>
      <c r="N1834" s="60"/>
      <c r="O1834" s="90"/>
      <c r="P1834" s="91"/>
      <c r="Q1834" s="92"/>
      <c r="R1834" s="68" t="str">
        <f t="shared" si="31"/>
        <v/>
      </c>
      <c r="S1834" s="22"/>
    </row>
    <row r="1835" spans="1:19" ht="18" customHeight="1">
      <c r="A1835" s="85"/>
      <c r="B1835" s="86"/>
      <c r="C1835" s="22"/>
      <c r="D1835" s="85"/>
      <c r="E1835" s="87"/>
      <c r="F1835" s="85"/>
      <c r="G1835" s="22"/>
      <c r="H1835" s="88"/>
      <c r="J1835" s="22"/>
      <c r="M1835" s="89"/>
      <c r="N1835" s="60"/>
      <c r="O1835" s="90"/>
      <c r="P1835" s="91"/>
      <c r="Q1835" s="92"/>
      <c r="R1835" s="68" t="str">
        <f t="shared" si="31"/>
        <v/>
      </c>
      <c r="S1835" s="22"/>
    </row>
    <row r="1836" spans="1:19" ht="18" customHeight="1">
      <c r="A1836" s="85"/>
      <c r="B1836" s="86"/>
      <c r="C1836" s="22"/>
      <c r="D1836" s="85"/>
      <c r="E1836" s="87"/>
      <c r="F1836" s="85"/>
      <c r="G1836" s="22"/>
      <c r="H1836" s="88"/>
      <c r="J1836" s="22"/>
      <c r="M1836" s="89"/>
      <c r="N1836" s="60"/>
      <c r="O1836" s="90"/>
      <c r="P1836" s="91"/>
      <c r="Q1836" s="92"/>
      <c r="R1836" s="68" t="str">
        <f t="shared" si="31"/>
        <v/>
      </c>
      <c r="S1836" s="22"/>
    </row>
    <row r="1837" spans="1:19" ht="18" customHeight="1">
      <c r="A1837" s="85"/>
      <c r="B1837" s="86"/>
      <c r="C1837" s="22"/>
      <c r="D1837" s="85"/>
      <c r="E1837" s="87"/>
      <c r="F1837" s="85"/>
      <c r="G1837" s="22"/>
      <c r="H1837" s="88"/>
      <c r="J1837" s="22"/>
      <c r="M1837" s="89"/>
      <c r="N1837" s="60"/>
      <c r="O1837" s="90"/>
      <c r="P1837" s="91"/>
      <c r="Q1837" s="92"/>
      <c r="R1837" s="68" t="str">
        <f t="shared" si="31"/>
        <v/>
      </c>
      <c r="S1837" s="22"/>
    </row>
    <row r="1838" spans="1:19" ht="18" customHeight="1">
      <c r="A1838" s="85"/>
      <c r="B1838" s="86"/>
      <c r="C1838" s="22"/>
      <c r="D1838" s="85"/>
      <c r="E1838" s="87"/>
      <c r="F1838" s="85"/>
      <c r="G1838" s="22"/>
      <c r="H1838" s="88"/>
      <c r="J1838" s="22"/>
      <c r="M1838" s="89"/>
      <c r="N1838" s="60"/>
      <c r="O1838" s="90"/>
      <c r="P1838" s="91"/>
      <c r="Q1838" s="92"/>
      <c r="R1838" s="68" t="str">
        <f t="shared" si="31"/>
        <v/>
      </c>
      <c r="S1838" s="22"/>
    </row>
    <row r="1839" spans="1:19" ht="18" customHeight="1">
      <c r="A1839" s="85"/>
      <c r="B1839" s="86"/>
      <c r="C1839" s="22"/>
      <c r="D1839" s="85"/>
      <c r="E1839" s="87"/>
      <c r="F1839" s="85"/>
      <c r="G1839" s="22"/>
      <c r="H1839" s="88"/>
      <c r="J1839" s="22"/>
      <c r="M1839" s="89"/>
      <c r="N1839" s="60"/>
      <c r="O1839" s="90"/>
      <c r="P1839" s="91"/>
      <c r="Q1839" s="92"/>
      <c r="R1839" s="68" t="str">
        <f t="shared" si="31"/>
        <v/>
      </c>
      <c r="S1839" s="22"/>
    </row>
    <row r="1840" spans="1:19" ht="18" customHeight="1">
      <c r="A1840" s="85"/>
      <c r="B1840" s="86"/>
      <c r="C1840" s="22"/>
      <c r="D1840" s="85"/>
      <c r="E1840" s="87"/>
      <c r="F1840" s="85"/>
      <c r="G1840" s="22"/>
      <c r="H1840" s="88"/>
      <c r="J1840" s="22"/>
      <c r="M1840" s="89"/>
      <c r="N1840" s="60"/>
      <c r="O1840" s="90"/>
      <c r="P1840" s="91"/>
      <c r="Q1840" s="92"/>
      <c r="R1840" s="68" t="str">
        <f t="shared" si="31"/>
        <v/>
      </c>
      <c r="S1840" s="22"/>
    </row>
    <row r="1841" spans="1:19" ht="18" customHeight="1">
      <c r="A1841" s="85"/>
      <c r="B1841" s="86"/>
      <c r="C1841" s="22"/>
      <c r="D1841" s="85"/>
      <c r="E1841" s="87"/>
      <c r="F1841" s="85"/>
      <c r="G1841" s="22"/>
      <c r="H1841" s="88"/>
      <c r="J1841" s="22"/>
      <c r="M1841" s="89"/>
      <c r="N1841" s="60"/>
      <c r="O1841" s="90"/>
      <c r="P1841" s="91"/>
      <c r="Q1841" s="92"/>
      <c r="R1841" s="68" t="str">
        <f t="shared" si="31"/>
        <v/>
      </c>
      <c r="S1841" s="22"/>
    </row>
    <row r="1842" spans="1:19" ht="18" customHeight="1">
      <c r="A1842" s="85"/>
      <c r="B1842" s="86"/>
      <c r="C1842" s="22"/>
      <c r="D1842" s="85"/>
      <c r="E1842" s="87"/>
      <c r="F1842" s="85"/>
      <c r="G1842" s="22"/>
      <c r="H1842" s="88"/>
      <c r="J1842" s="22"/>
      <c r="M1842" s="89"/>
      <c r="N1842" s="60"/>
      <c r="O1842" s="90"/>
      <c r="P1842" s="91"/>
      <c r="Q1842" s="92"/>
      <c r="R1842" s="68" t="str">
        <f t="shared" si="31"/>
        <v/>
      </c>
      <c r="S1842" s="22"/>
    </row>
    <row r="1843" spans="1:19" ht="18" customHeight="1">
      <c r="A1843" s="85"/>
      <c r="B1843" s="86"/>
      <c r="C1843" s="22"/>
      <c r="D1843" s="85"/>
      <c r="E1843" s="87"/>
      <c r="F1843" s="85"/>
      <c r="G1843" s="22"/>
      <c r="H1843" s="88"/>
      <c r="J1843" s="22"/>
      <c r="M1843" s="89"/>
      <c r="N1843" s="60"/>
      <c r="O1843" s="90"/>
      <c r="P1843" s="91"/>
      <c r="Q1843" s="92"/>
      <c r="R1843" s="68" t="str">
        <f t="shared" si="31"/>
        <v/>
      </c>
      <c r="S1843" s="22"/>
    </row>
    <row r="1844" spans="1:19" ht="18" customHeight="1">
      <c r="A1844" s="85"/>
      <c r="B1844" s="86"/>
      <c r="C1844" s="22"/>
      <c r="D1844" s="85"/>
      <c r="E1844" s="87"/>
      <c r="F1844" s="85"/>
      <c r="G1844" s="22"/>
      <c r="H1844" s="88"/>
      <c r="J1844" s="22"/>
      <c r="M1844" s="89"/>
      <c r="N1844" s="60"/>
      <c r="O1844" s="90"/>
      <c r="P1844" s="91"/>
      <c r="Q1844" s="92"/>
      <c r="R1844" s="68" t="str">
        <f t="shared" ref="R1844:R1907" si="32">IF(SUM(Q1844)&gt;0,SUM(Q1844-P1844),"")</f>
        <v/>
      </c>
      <c r="S1844" s="22"/>
    </row>
    <row r="1845" spans="1:19" ht="18" customHeight="1">
      <c r="A1845" s="85"/>
      <c r="B1845" s="86"/>
      <c r="C1845" s="22"/>
      <c r="D1845" s="85"/>
      <c r="E1845" s="87"/>
      <c r="F1845" s="85"/>
      <c r="G1845" s="22"/>
      <c r="H1845" s="88"/>
      <c r="J1845" s="22"/>
      <c r="M1845" s="89"/>
      <c r="N1845" s="60"/>
      <c r="O1845" s="90"/>
      <c r="P1845" s="91"/>
      <c r="Q1845" s="92"/>
      <c r="R1845" s="68" t="str">
        <f t="shared" si="32"/>
        <v/>
      </c>
      <c r="S1845" s="22"/>
    </row>
    <row r="1846" spans="1:19" ht="18" customHeight="1">
      <c r="A1846" s="85"/>
      <c r="B1846" s="86"/>
      <c r="C1846" s="22"/>
      <c r="D1846" s="85"/>
      <c r="E1846" s="87"/>
      <c r="F1846" s="85"/>
      <c r="G1846" s="22"/>
      <c r="H1846" s="88"/>
      <c r="J1846" s="22"/>
      <c r="M1846" s="89"/>
      <c r="N1846" s="60"/>
      <c r="O1846" s="90"/>
      <c r="P1846" s="91"/>
      <c r="Q1846" s="92"/>
      <c r="R1846" s="68" t="str">
        <f t="shared" si="32"/>
        <v/>
      </c>
      <c r="S1846" s="22"/>
    </row>
    <row r="1847" spans="1:19" ht="18" customHeight="1">
      <c r="A1847" s="85"/>
      <c r="B1847" s="86"/>
      <c r="C1847" s="22"/>
      <c r="D1847" s="85"/>
      <c r="E1847" s="87"/>
      <c r="F1847" s="85"/>
      <c r="G1847" s="22"/>
      <c r="H1847" s="88"/>
      <c r="J1847" s="22"/>
      <c r="M1847" s="89"/>
      <c r="N1847" s="60"/>
      <c r="O1847" s="90"/>
      <c r="P1847" s="91"/>
      <c r="Q1847" s="92"/>
      <c r="R1847" s="68" t="str">
        <f t="shared" si="32"/>
        <v/>
      </c>
      <c r="S1847" s="22"/>
    </row>
    <row r="1848" spans="1:19" ht="18" customHeight="1">
      <c r="A1848" s="85"/>
      <c r="B1848" s="86"/>
      <c r="C1848" s="22"/>
      <c r="D1848" s="85"/>
      <c r="E1848" s="87"/>
      <c r="F1848" s="85"/>
      <c r="G1848" s="22"/>
      <c r="H1848" s="88"/>
      <c r="J1848" s="22"/>
      <c r="M1848" s="89"/>
      <c r="N1848" s="60"/>
      <c r="O1848" s="90"/>
      <c r="P1848" s="91"/>
      <c r="Q1848" s="92"/>
      <c r="R1848" s="68" t="str">
        <f t="shared" si="32"/>
        <v/>
      </c>
      <c r="S1848" s="22"/>
    </row>
    <row r="1849" spans="1:19" ht="18" customHeight="1">
      <c r="A1849" s="85"/>
      <c r="B1849" s="86"/>
      <c r="C1849" s="22"/>
      <c r="D1849" s="85"/>
      <c r="E1849" s="87"/>
      <c r="F1849" s="85"/>
      <c r="G1849" s="22"/>
      <c r="H1849" s="88"/>
      <c r="J1849" s="22"/>
      <c r="M1849" s="89"/>
      <c r="N1849" s="60"/>
      <c r="O1849" s="90"/>
      <c r="P1849" s="91"/>
      <c r="Q1849" s="92"/>
      <c r="R1849" s="68" t="str">
        <f t="shared" si="32"/>
        <v/>
      </c>
      <c r="S1849" s="22"/>
    </row>
    <row r="1850" spans="1:19" ht="18" customHeight="1">
      <c r="A1850" s="85"/>
      <c r="B1850" s="86"/>
      <c r="C1850" s="22"/>
      <c r="D1850" s="85"/>
      <c r="E1850" s="87"/>
      <c r="F1850" s="85"/>
      <c r="G1850" s="22"/>
      <c r="H1850" s="88"/>
      <c r="J1850" s="22"/>
      <c r="M1850" s="89"/>
      <c r="N1850" s="60"/>
      <c r="O1850" s="90"/>
      <c r="P1850" s="91"/>
      <c r="Q1850" s="92"/>
      <c r="R1850" s="68" t="str">
        <f t="shared" si="32"/>
        <v/>
      </c>
      <c r="S1850" s="22"/>
    </row>
    <row r="1851" spans="1:19" ht="18" customHeight="1">
      <c r="A1851" s="85"/>
      <c r="B1851" s="86"/>
      <c r="C1851" s="22"/>
      <c r="D1851" s="85"/>
      <c r="E1851" s="87"/>
      <c r="F1851" s="85"/>
      <c r="G1851" s="22"/>
      <c r="H1851" s="88"/>
      <c r="J1851" s="22"/>
      <c r="M1851" s="89"/>
      <c r="N1851" s="60"/>
      <c r="O1851" s="90"/>
      <c r="P1851" s="91"/>
      <c r="Q1851" s="92"/>
      <c r="R1851" s="68" t="str">
        <f t="shared" si="32"/>
        <v/>
      </c>
      <c r="S1851" s="22"/>
    </row>
    <row r="1852" spans="1:19" ht="18" customHeight="1">
      <c r="A1852" s="85"/>
      <c r="B1852" s="86"/>
      <c r="C1852" s="22"/>
      <c r="D1852" s="85"/>
      <c r="E1852" s="87"/>
      <c r="F1852" s="85"/>
      <c r="G1852" s="22"/>
      <c r="H1852" s="88"/>
      <c r="J1852" s="22"/>
      <c r="M1852" s="89"/>
      <c r="N1852" s="60"/>
      <c r="O1852" s="90"/>
      <c r="P1852" s="91"/>
      <c r="Q1852" s="92"/>
      <c r="R1852" s="68" t="str">
        <f t="shared" si="32"/>
        <v/>
      </c>
      <c r="S1852" s="22"/>
    </row>
    <row r="1853" spans="1:19" ht="18" customHeight="1">
      <c r="A1853" s="85"/>
      <c r="B1853" s="86"/>
      <c r="C1853" s="22"/>
      <c r="D1853" s="85"/>
      <c r="E1853" s="87"/>
      <c r="F1853" s="85"/>
      <c r="G1853" s="22"/>
      <c r="H1853" s="88"/>
      <c r="J1853" s="22"/>
      <c r="M1853" s="89"/>
      <c r="N1853" s="60"/>
      <c r="O1853" s="90"/>
      <c r="P1853" s="91"/>
      <c r="Q1853" s="92"/>
      <c r="R1853" s="68" t="str">
        <f t="shared" si="32"/>
        <v/>
      </c>
      <c r="S1853" s="22"/>
    </row>
    <row r="1854" spans="1:19" ht="18" customHeight="1">
      <c r="A1854" s="85"/>
      <c r="B1854" s="86"/>
      <c r="C1854" s="22"/>
      <c r="D1854" s="85"/>
      <c r="E1854" s="87"/>
      <c r="F1854" s="85"/>
      <c r="G1854" s="22"/>
      <c r="H1854" s="88"/>
      <c r="J1854" s="22"/>
      <c r="M1854" s="89"/>
      <c r="N1854" s="60"/>
      <c r="O1854" s="90"/>
      <c r="P1854" s="91"/>
      <c r="Q1854" s="92"/>
      <c r="R1854" s="68" t="str">
        <f t="shared" si="32"/>
        <v/>
      </c>
      <c r="S1854" s="22"/>
    </row>
    <row r="1855" spans="1:19" ht="18" customHeight="1">
      <c r="A1855" s="85"/>
      <c r="B1855" s="86"/>
      <c r="C1855" s="22"/>
      <c r="D1855" s="85"/>
      <c r="E1855" s="87"/>
      <c r="F1855" s="85"/>
      <c r="G1855" s="22"/>
      <c r="H1855" s="88"/>
      <c r="J1855" s="22"/>
      <c r="M1855" s="89"/>
      <c r="N1855" s="60"/>
      <c r="O1855" s="90"/>
      <c r="P1855" s="91"/>
      <c r="Q1855" s="92"/>
      <c r="R1855" s="68" t="str">
        <f t="shared" si="32"/>
        <v/>
      </c>
      <c r="S1855" s="22"/>
    </row>
    <row r="1856" spans="1:19" ht="18" customHeight="1">
      <c r="A1856" s="85"/>
      <c r="B1856" s="86"/>
      <c r="C1856" s="22"/>
      <c r="D1856" s="85"/>
      <c r="E1856" s="87"/>
      <c r="F1856" s="85"/>
      <c r="G1856" s="22"/>
      <c r="H1856" s="88"/>
      <c r="J1856" s="22"/>
      <c r="M1856" s="89"/>
      <c r="N1856" s="60"/>
      <c r="O1856" s="90"/>
      <c r="P1856" s="91"/>
      <c r="Q1856" s="92"/>
      <c r="R1856" s="68" t="str">
        <f t="shared" si="32"/>
        <v/>
      </c>
      <c r="S1856" s="22"/>
    </row>
    <row r="1857" spans="1:19" ht="18" customHeight="1">
      <c r="A1857" s="85"/>
      <c r="B1857" s="86"/>
      <c r="C1857" s="22"/>
      <c r="D1857" s="85"/>
      <c r="E1857" s="87"/>
      <c r="F1857" s="85"/>
      <c r="G1857" s="22"/>
      <c r="H1857" s="88"/>
      <c r="J1857" s="22"/>
      <c r="M1857" s="89"/>
      <c r="N1857" s="60"/>
      <c r="O1857" s="90"/>
      <c r="P1857" s="91"/>
      <c r="Q1857" s="92"/>
      <c r="R1857" s="68" t="str">
        <f t="shared" si="32"/>
        <v/>
      </c>
      <c r="S1857" s="22"/>
    </row>
    <row r="1858" spans="1:19" ht="18" customHeight="1">
      <c r="A1858" s="85"/>
      <c r="B1858" s="86"/>
      <c r="C1858" s="22"/>
      <c r="D1858" s="85"/>
      <c r="E1858" s="87"/>
      <c r="F1858" s="85"/>
      <c r="G1858" s="22"/>
      <c r="H1858" s="88"/>
      <c r="J1858" s="22"/>
      <c r="M1858" s="89"/>
      <c r="N1858" s="60"/>
      <c r="O1858" s="90"/>
      <c r="P1858" s="91"/>
      <c r="Q1858" s="92"/>
      <c r="R1858" s="68" t="str">
        <f t="shared" si="32"/>
        <v/>
      </c>
      <c r="S1858" s="22"/>
    </row>
    <row r="1859" spans="1:19" ht="18" customHeight="1">
      <c r="A1859" s="85"/>
      <c r="B1859" s="86"/>
      <c r="C1859" s="22"/>
      <c r="D1859" s="85"/>
      <c r="E1859" s="87"/>
      <c r="F1859" s="85"/>
      <c r="G1859" s="22"/>
      <c r="H1859" s="88"/>
      <c r="J1859" s="22"/>
      <c r="M1859" s="89"/>
      <c r="N1859" s="60"/>
      <c r="O1859" s="90"/>
      <c r="P1859" s="91"/>
      <c r="Q1859" s="92"/>
      <c r="R1859" s="68" t="str">
        <f t="shared" si="32"/>
        <v/>
      </c>
      <c r="S1859" s="22"/>
    </row>
    <row r="1860" spans="1:19" ht="18" customHeight="1">
      <c r="A1860" s="85"/>
      <c r="B1860" s="86"/>
      <c r="C1860" s="22"/>
      <c r="D1860" s="85"/>
      <c r="E1860" s="87"/>
      <c r="F1860" s="85"/>
      <c r="G1860" s="22"/>
      <c r="H1860" s="88"/>
      <c r="J1860" s="22"/>
      <c r="M1860" s="89"/>
      <c r="N1860" s="60"/>
      <c r="O1860" s="90"/>
      <c r="P1860" s="91"/>
      <c r="Q1860" s="92"/>
      <c r="R1860" s="68" t="str">
        <f t="shared" si="32"/>
        <v/>
      </c>
      <c r="S1860" s="22"/>
    </row>
    <row r="1861" spans="1:19" ht="18" customHeight="1">
      <c r="A1861" s="85"/>
      <c r="B1861" s="86"/>
      <c r="C1861" s="22"/>
      <c r="D1861" s="85"/>
      <c r="E1861" s="87"/>
      <c r="F1861" s="85"/>
      <c r="G1861" s="22"/>
      <c r="H1861" s="88"/>
      <c r="J1861" s="22"/>
      <c r="M1861" s="89"/>
      <c r="N1861" s="60"/>
      <c r="O1861" s="90"/>
      <c r="P1861" s="91"/>
      <c r="Q1861" s="92"/>
      <c r="R1861" s="68" t="str">
        <f t="shared" si="32"/>
        <v/>
      </c>
      <c r="S1861" s="22"/>
    </row>
    <row r="1862" spans="1:19" ht="18" customHeight="1">
      <c r="A1862" s="85"/>
      <c r="B1862" s="86"/>
      <c r="C1862" s="22"/>
      <c r="D1862" s="85"/>
      <c r="E1862" s="87"/>
      <c r="F1862" s="85"/>
      <c r="G1862" s="22"/>
      <c r="H1862" s="88"/>
      <c r="J1862" s="22"/>
      <c r="M1862" s="89"/>
      <c r="N1862" s="60"/>
      <c r="O1862" s="90"/>
      <c r="P1862" s="91"/>
      <c r="Q1862" s="92"/>
      <c r="R1862" s="68" t="str">
        <f t="shared" si="32"/>
        <v/>
      </c>
      <c r="S1862" s="22"/>
    </row>
    <row r="1863" spans="1:19" ht="18" customHeight="1">
      <c r="A1863" s="85"/>
      <c r="B1863" s="86"/>
      <c r="C1863" s="22"/>
      <c r="D1863" s="85"/>
      <c r="E1863" s="87"/>
      <c r="F1863" s="85"/>
      <c r="G1863" s="22"/>
      <c r="H1863" s="88"/>
      <c r="J1863" s="22"/>
      <c r="M1863" s="89"/>
      <c r="N1863" s="60"/>
      <c r="O1863" s="90"/>
      <c r="P1863" s="91"/>
      <c r="Q1863" s="92"/>
      <c r="R1863" s="68" t="str">
        <f t="shared" si="32"/>
        <v/>
      </c>
      <c r="S1863" s="22"/>
    </row>
    <row r="1864" spans="1:19" ht="18" customHeight="1">
      <c r="A1864" s="85"/>
      <c r="B1864" s="86"/>
      <c r="C1864" s="22"/>
      <c r="D1864" s="85"/>
      <c r="E1864" s="87"/>
      <c r="F1864" s="85"/>
      <c r="G1864" s="22"/>
      <c r="H1864" s="88"/>
      <c r="J1864" s="22"/>
      <c r="M1864" s="89"/>
      <c r="N1864" s="60"/>
      <c r="O1864" s="90"/>
      <c r="P1864" s="91"/>
      <c r="Q1864" s="92"/>
      <c r="R1864" s="68" t="str">
        <f t="shared" si="32"/>
        <v/>
      </c>
      <c r="S1864" s="22"/>
    </row>
    <row r="1865" spans="1:19" ht="18" customHeight="1">
      <c r="A1865" s="85"/>
      <c r="B1865" s="86"/>
      <c r="C1865" s="22"/>
      <c r="D1865" s="85"/>
      <c r="E1865" s="87"/>
      <c r="F1865" s="85"/>
      <c r="G1865" s="22"/>
      <c r="H1865" s="88"/>
      <c r="J1865" s="22"/>
      <c r="M1865" s="89"/>
      <c r="N1865" s="60"/>
      <c r="O1865" s="90"/>
      <c r="P1865" s="91"/>
      <c r="Q1865" s="92"/>
      <c r="R1865" s="68" t="str">
        <f t="shared" si="32"/>
        <v/>
      </c>
      <c r="S1865" s="22"/>
    </row>
    <row r="1866" spans="1:19" ht="18" customHeight="1">
      <c r="A1866" s="85"/>
      <c r="B1866" s="86"/>
      <c r="C1866" s="22"/>
      <c r="D1866" s="85"/>
      <c r="E1866" s="87"/>
      <c r="F1866" s="85"/>
      <c r="G1866" s="22"/>
      <c r="H1866" s="88"/>
      <c r="J1866" s="22"/>
      <c r="M1866" s="89"/>
      <c r="N1866" s="60"/>
      <c r="O1866" s="90"/>
      <c r="P1866" s="91"/>
      <c r="Q1866" s="92"/>
      <c r="R1866" s="68" t="str">
        <f t="shared" si="32"/>
        <v/>
      </c>
      <c r="S1866" s="22"/>
    </row>
    <row r="1867" spans="1:19" ht="18" customHeight="1">
      <c r="A1867" s="85"/>
      <c r="B1867" s="86"/>
      <c r="C1867" s="22"/>
      <c r="D1867" s="85"/>
      <c r="E1867" s="87"/>
      <c r="F1867" s="85"/>
      <c r="G1867" s="22"/>
      <c r="H1867" s="88"/>
      <c r="J1867" s="22"/>
      <c r="M1867" s="89"/>
      <c r="N1867" s="60"/>
      <c r="O1867" s="90"/>
      <c r="P1867" s="91"/>
      <c r="Q1867" s="92"/>
      <c r="R1867" s="68" t="str">
        <f t="shared" si="32"/>
        <v/>
      </c>
      <c r="S1867" s="22"/>
    </row>
    <row r="1868" spans="1:19" ht="18" customHeight="1">
      <c r="A1868" s="85"/>
      <c r="B1868" s="86"/>
      <c r="C1868" s="22"/>
      <c r="D1868" s="85"/>
      <c r="E1868" s="87"/>
      <c r="F1868" s="85"/>
      <c r="G1868" s="22"/>
      <c r="H1868" s="88"/>
      <c r="J1868" s="22"/>
      <c r="M1868" s="89"/>
      <c r="N1868" s="60"/>
      <c r="O1868" s="90"/>
      <c r="P1868" s="91"/>
      <c r="Q1868" s="92"/>
      <c r="R1868" s="68" t="str">
        <f t="shared" si="32"/>
        <v/>
      </c>
      <c r="S1868" s="22"/>
    </row>
    <row r="1869" spans="1:19" ht="18" customHeight="1">
      <c r="A1869" s="85"/>
      <c r="B1869" s="86"/>
      <c r="C1869" s="22"/>
      <c r="D1869" s="85"/>
      <c r="E1869" s="87"/>
      <c r="F1869" s="85"/>
      <c r="G1869" s="22"/>
      <c r="H1869" s="88"/>
      <c r="J1869" s="22"/>
      <c r="M1869" s="89"/>
      <c r="N1869" s="60"/>
      <c r="O1869" s="90"/>
      <c r="P1869" s="91"/>
      <c r="Q1869" s="92"/>
      <c r="R1869" s="68" t="str">
        <f t="shared" si="32"/>
        <v/>
      </c>
      <c r="S1869" s="22"/>
    </row>
    <row r="1870" spans="1:19" ht="18" customHeight="1">
      <c r="A1870" s="85"/>
      <c r="B1870" s="86"/>
      <c r="C1870" s="22"/>
      <c r="D1870" s="85"/>
      <c r="E1870" s="87"/>
      <c r="F1870" s="85"/>
      <c r="G1870" s="22"/>
      <c r="H1870" s="88"/>
      <c r="J1870" s="22"/>
      <c r="M1870" s="89"/>
      <c r="N1870" s="60"/>
      <c r="O1870" s="90"/>
      <c r="P1870" s="91"/>
      <c r="Q1870" s="92"/>
      <c r="R1870" s="68" t="str">
        <f t="shared" si="32"/>
        <v/>
      </c>
      <c r="S1870" s="22"/>
    </row>
    <row r="1871" spans="1:19" ht="18" customHeight="1">
      <c r="A1871" s="85"/>
      <c r="B1871" s="86"/>
      <c r="C1871" s="22"/>
      <c r="D1871" s="85"/>
      <c r="E1871" s="87"/>
      <c r="F1871" s="85"/>
      <c r="G1871" s="22"/>
      <c r="H1871" s="88"/>
      <c r="J1871" s="22"/>
      <c r="M1871" s="89"/>
      <c r="N1871" s="60"/>
      <c r="O1871" s="90"/>
      <c r="P1871" s="91"/>
      <c r="Q1871" s="92"/>
      <c r="R1871" s="68" t="str">
        <f t="shared" si="32"/>
        <v/>
      </c>
      <c r="S1871" s="22"/>
    </row>
    <row r="1872" spans="1:19" ht="18" customHeight="1">
      <c r="A1872" s="85"/>
      <c r="B1872" s="86"/>
      <c r="C1872" s="22"/>
      <c r="D1872" s="85"/>
      <c r="E1872" s="87"/>
      <c r="F1872" s="85"/>
      <c r="G1872" s="22"/>
      <c r="H1872" s="88"/>
      <c r="J1872" s="22"/>
      <c r="M1872" s="89"/>
      <c r="N1872" s="60"/>
      <c r="O1872" s="90"/>
      <c r="P1872" s="91"/>
      <c r="Q1872" s="92"/>
      <c r="R1872" s="68" t="str">
        <f t="shared" si="32"/>
        <v/>
      </c>
      <c r="S1872" s="22"/>
    </row>
    <row r="1873" spans="1:19" ht="18" customHeight="1">
      <c r="A1873" s="85"/>
      <c r="B1873" s="86"/>
      <c r="C1873" s="22"/>
      <c r="D1873" s="85"/>
      <c r="E1873" s="87"/>
      <c r="F1873" s="85"/>
      <c r="G1873" s="22"/>
      <c r="H1873" s="88"/>
      <c r="J1873" s="22"/>
      <c r="M1873" s="89"/>
      <c r="N1873" s="60"/>
      <c r="O1873" s="90"/>
      <c r="P1873" s="91"/>
      <c r="Q1873" s="92"/>
      <c r="R1873" s="68" t="str">
        <f t="shared" si="32"/>
        <v/>
      </c>
      <c r="S1873" s="22"/>
    </row>
    <row r="1874" spans="1:19" ht="18" customHeight="1">
      <c r="A1874" s="85"/>
      <c r="B1874" s="86"/>
      <c r="C1874" s="22"/>
      <c r="D1874" s="85"/>
      <c r="E1874" s="87"/>
      <c r="F1874" s="85"/>
      <c r="G1874" s="22"/>
      <c r="H1874" s="88"/>
      <c r="J1874" s="22"/>
      <c r="M1874" s="89"/>
      <c r="N1874" s="60"/>
      <c r="O1874" s="90"/>
      <c r="P1874" s="91"/>
      <c r="Q1874" s="92"/>
      <c r="R1874" s="68" t="str">
        <f t="shared" si="32"/>
        <v/>
      </c>
      <c r="S1874" s="22"/>
    </row>
    <row r="1875" spans="1:19" ht="18" customHeight="1">
      <c r="A1875" s="85"/>
      <c r="B1875" s="86"/>
      <c r="C1875" s="22"/>
      <c r="D1875" s="85"/>
      <c r="E1875" s="87"/>
      <c r="F1875" s="85"/>
      <c r="G1875" s="22"/>
      <c r="H1875" s="88"/>
      <c r="J1875" s="22"/>
      <c r="M1875" s="89"/>
      <c r="N1875" s="60"/>
      <c r="O1875" s="90"/>
      <c r="P1875" s="91"/>
      <c r="Q1875" s="92"/>
      <c r="R1875" s="68" t="str">
        <f t="shared" si="32"/>
        <v/>
      </c>
      <c r="S1875" s="22"/>
    </row>
    <row r="1876" spans="1:19" ht="18" customHeight="1">
      <c r="A1876" s="85"/>
      <c r="B1876" s="86"/>
      <c r="C1876" s="22"/>
      <c r="D1876" s="85"/>
      <c r="E1876" s="87"/>
      <c r="F1876" s="85"/>
      <c r="G1876" s="22"/>
      <c r="H1876" s="88"/>
      <c r="J1876" s="22"/>
      <c r="M1876" s="89"/>
      <c r="N1876" s="60"/>
      <c r="O1876" s="90"/>
      <c r="P1876" s="91"/>
      <c r="Q1876" s="92"/>
      <c r="R1876" s="68" t="str">
        <f t="shared" si="32"/>
        <v/>
      </c>
      <c r="S1876" s="22"/>
    </row>
    <row r="1877" spans="1:19" ht="18" customHeight="1">
      <c r="A1877" s="85"/>
      <c r="B1877" s="86"/>
      <c r="C1877" s="22"/>
      <c r="D1877" s="85"/>
      <c r="E1877" s="87"/>
      <c r="F1877" s="85"/>
      <c r="G1877" s="22"/>
      <c r="H1877" s="88"/>
      <c r="J1877" s="22"/>
      <c r="M1877" s="89"/>
      <c r="N1877" s="60"/>
      <c r="O1877" s="90"/>
      <c r="P1877" s="91"/>
      <c r="Q1877" s="92"/>
      <c r="R1877" s="68" t="str">
        <f t="shared" si="32"/>
        <v/>
      </c>
      <c r="S1877" s="22"/>
    </row>
    <row r="1878" spans="1:19" ht="18" customHeight="1">
      <c r="A1878" s="85"/>
      <c r="B1878" s="86"/>
      <c r="C1878" s="22"/>
      <c r="D1878" s="85"/>
      <c r="E1878" s="87"/>
      <c r="F1878" s="85"/>
      <c r="G1878" s="22"/>
      <c r="H1878" s="88"/>
      <c r="J1878" s="22"/>
      <c r="M1878" s="89"/>
      <c r="N1878" s="60"/>
      <c r="O1878" s="90"/>
      <c r="P1878" s="91"/>
      <c r="Q1878" s="92"/>
      <c r="R1878" s="68" t="str">
        <f t="shared" si="32"/>
        <v/>
      </c>
      <c r="S1878" s="22"/>
    </row>
    <row r="1879" spans="1:19" ht="18" customHeight="1">
      <c r="A1879" s="85"/>
      <c r="B1879" s="86"/>
      <c r="C1879" s="22"/>
      <c r="D1879" s="85"/>
      <c r="E1879" s="87"/>
      <c r="F1879" s="85"/>
      <c r="G1879" s="22"/>
      <c r="H1879" s="88"/>
      <c r="J1879" s="22"/>
      <c r="M1879" s="89"/>
      <c r="N1879" s="60"/>
      <c r="O1879" s="90"/>
      <c r="P1879" s="91"/>
      <c r="Q1879" s="92"/>
      <c r="R1879" s="68" t="str">
        <f t="shared" si="32"/>
        <v/>
      </c>
      <c r="S1879" s="22"/>
    </row>
    <row r="1880" spans="1:19" ht="18" customHeight="1">
      <c r="A1880" s="85"/>
      <c r="B1880" s="86"/>
      <c r="C1880" s="22"/>
      <c r="D1880" s="85"/>
      <c r="E1880" s="87"/>
      <c r="F1880" s="85"/>
      <c r="G1880" s="22"/>
      <c r="H1880" s="88"/>
      <c r="J1880" s="22"/>
      <c r="M1880" s="89"/>
      <c r="N1880" s="60"/>
      <c r="O1880" s="90"/>
      <c r="P1880" s="91"/>
      <c r="Q1880" s="92"/>
      <c r="R1880" s="68" t="str">
        <f t="shared" si="32"/>
        <v/>
      </c>
      <c r="S1880" s="22"/>
    </row>
    <row r="1881" spans="1:19" ht="18" customHeight="1">
      <c r="A1881" s="85"/>
      <c r="B1881" s="86"/>
      <c r="C1881" s="22"/>
      <c r="D1881" s="85"/>
      <c r="E1881" s="87"/>
      <c r="F1881" s="85"/>
      <c r="G1881" s="22"/>
      <c r="H1881" s="88"/>
      <c r="J1881" s="22"/>
      <c r="M1881" s="89"/>
      <c r="N1881" s="60"/>
      <c r="O1881" s="90"/>
      <c r="P1881" s="91"/>
      <c r="Q1881" s="92"/>
      <c r="R1881" s="68" t="str">
        <f t="shared" si="32"/>
        <v/>
      </c>
      <c r="S1881" s="22"/>
    </row>
    <row r="1882" spans="1:19" ht="18" customHeight="1">
      <c r="A1882" s="85"/>
      <c r="B1882" s="86"/>
      <c r="C1882" s="22"/>
      <c r="D1882" s="85"/>
      <c r="E1882" s="87"/>
      <c r="F1882" s="85"/>
      <c r="G1882" s="22"/>
      <c r="H1882" s="88"/>
      <c r="J1882" s="22"/>
      <c r="M1882" s="89"/>
      <c r="N1882" s="60"/>
      <c r="O1882" s="90"/>
      <c r="P1882" s="91"/>
      <c r="Q1882" s="92"/>
      <c r="R1882" s="68" t="str">
        <f t="shared" si="32"/>
        <v/>
      </c>
      <c r="S1882" s="22"/>
    </row>
    <row r="1883" spans="1:19" ht="18" customHeight="1">
      <c r="A1883" s="85"/>
      <c r="B1883" s="86"/>
      <c r="C1883" s="22"/>
      <c r="D1883" s="85"/>
      <c r="E1883" s="87"/>
      <c r="F1883" s="85"/>
      <c r="G1883" s="22"/>
      <c r="H1883" s="88"/>
      <c r="J1883" s="22"/>
      <c r="M1883" s="89"/>
      <c r="N1883" s="60"/>
      <c r="O1883" s="90"/>
      <c r="P1883" s="91"/>
      <c r="Q1883" s="92"/>
      <c r="R1883" s="68" t="str">
        <f t="shared" si="32"/>
        <v/>
      </c>
      <c r="S1883" s="22"/>
    </row>
    <row r="1884" spans="1:19" ht="18" customHeight="1">
      <c r="A1884" s="85"/>
      <c r="B1884" s="86"/>
      <c r="C1884" s="22"/>
      <c r="D1884" s="85"/>
      <c r="E1884" s="87"/>
      <c r="F1884" s="85"/>
      <c r="G1884" s="22"/>
      <c r="H1884" s="88"/>
      <c r="J1884" s="22"/>
      <c r="M1884" s="89"/>
      <c r="N1884" s="60"/>
      <c r="O1884" s="90"/>
      <c r="P1884" s="91"/>
      <c r="Q1884" s="92"/>
      <c r="R1884" s="68" t="str">
        <f t="shared" si="32"/>
        <v/>
      </c>
      <c r="S1884" s="22"/>
    </row>
    <row r="1885" spans="1:19" ht="18" customHeight="1">
      <c r="A1885" s="85"/>
      <c r="B1885" s="86"/>
      <c r="C1885" s="22"/>
      <c r="D1885" s="85"/>
      <c r="E1885" s="87"/>
      <c r="F1885" s="85"/>
      <c r="G1885" s="22"/>
      <c r="H1885" s="88"/>
      <c r="J1885" s="22"/>
      <c r="M1885" s="89"/>
      <c r="N1885" s="60"/>
      <c r="O1885" s="90"/>
      <c r="P1885" s="91"/>
      <c r="Q1885" s="92"/>
      <c r="R1885" s="68" t="str">
        <f t="shared" si="32"/>
        <v/>
      </c>
      <c r="S1885" s="22"/>
    </row>
    <row r="1886" spans="1:19" ht="18" customHeight="1">
      <c r="A1886" s="85"/>
      <c r="B1886" s="86"/>
      <c r="C1886" s="22"/>
      <c r="D1886" s="85"/>
      <c r="E1886" s="87"/>
      <c r="F1886" s="85"/>
      <c r="G1886" s="22"/>
      <c r="H1886" s="88"/>
      <c r="J1886" s="22"/>
      <c r="M1886" s="89"/>
      <c r="N1886" s="60"/>
      <c r="O1886" s="90"/>
      <c r="P1886" s="91"/>
      <c r="Q1886" s="92"/>
      <c r="R1886" s="68" t="str">
        <f t="shared" si="32"/>
        <v/>
      </c>
      <c r="S1886" s="22"/>
    </row>
    <row r="1887" spans="1:19" ht="18" customHeight="1">
      <c r="A1887" s="85"/>
      <c r="B1887" s="86"/>
      <c r="C1887" s="22"/>
      <c r="D1887" s="85"/>
      <c r="E1887" s="87"/>
      <c r="F1887" s="85"/>
      <c r="G1887" s="22"/>
      <c r="H1887" s="88"/>
      <c r="J1887" s="22"/>
      <c r="M1887" s="89"/>
      <c r="N1887" s="60"/>
      <c r="O1887" s="90"/>
      <c r="P1887" s="91"/>
      <c r="Q1887" s="92"/>
      <c r="R1887" s="68" t="str">
        <f t="shared" si="32"/>
        <v/>
      </c>
      <c r="S1887" s="22"/>
    </row>
    <row r="1888" spans="1:19" ht="18" customHeight="1">
      <c r="A1888" s="85"/>
      <c r="B1888" s="86"/>
      <c r="C1888" s="22"/>
      <c r="D1888" s="85"/>
      <c r="E1888" s="87"/>
      <c r="F1888" s="85"/>
      <c r="G1888" s="22"/>
      <c r="H1888" s="88"/>
      <c r="J1888" s="22"/>
      <c r="M1888" s="89"/>
      <c r="N1888" s="60"/>
      <c r="O1888" s="90"/>
      <c r="P1888" s="91"/>
      <c r="Q1888" s="92"/>
      <c r="R1888" s="68" t="str">
        <f t="shared" si="32"/>
        <v/>
      </c>
      <c r="S1888" s="22"/>
    </row>
    <row r="1889" spans="1:19" ht="18" customHeight="1">
      <c r="A1889" s="85"/>
      <c r="B1889" s="86"/>
      <c r="C1889" s="22"/>
      <c r="D1889" s="85"/>
      <c r="E1889" s="87"/>
      <c r="F1889" s="85"/>
      <c r="G1889" s="22"/>
      <c r="H1889" s="88"/>
      <c r="J1889" s="22"/>
      <c r="M1889" s="89"/>
      <c r="N1889" s="60"/>
      <c r="O1889" s="90"/>
      <c r="P1889" s="91"/>
      <c r="Q1889" s="92"/>
      <c r="R1889" s="68" t="str">
        <f t="shared" si="32"/>
        <v/>
      </c>
      <c r="S1889" s="22"/>
    </row>
    <row r="1890" spans="1:19" ht="18" customHeight="1">
      <c r="A1890" s="85"/>
      <c r="B1890" s="86"/>
      <c r="C1890" s="22"/>
      <c r="D1890" s="85"/>
      <c r="E1890" s="87"/>
      <c r="F1890" s="85"/>
      <c r="G1890" s="22"/>
      <c r="H1890" s="88"/>
      <c r="J1890" s="22"/>
      <c r="M1890" s="89"/>
      <c r="N1890" s="60"/>
      <c r="O1890" s="90"/>
      <c r="P1890" s="91"/>
      <c r="Q1890" s="92"/>
      <c r="R1890" s="68" t="str">
        <f t="shared" si="32"/>
        <v/>
      </c>
      <c r="S1890" s="22"/>
    </row>
    <row r="1891" spans="1:19" ht="18" customHeight="1">
      <c r="A1891" s="85"/>
      <c r="B1891" s="86"/>
      <c r="C1891" s="22"/>
      <c r="D1891" s="85"/>
      <c r="E1891" s="87"/>
      <c r="F1891" s="85"/>
      <c r="G1891" s="22"/>
      <c r="H1891" s="88"/>
      <c r="J1891" s="22"/>
      <c r="M1891" s="89"/>
      <c r="N1891" s="60"/>
      <c r="O1891" s="90"/>
      <c r="P1891" s="91"/>
      <c r="Q1891" s="92"/>
      <c r="R1891" s="68" t="str">
        <f t="shared" si="32"/>
        <v/>
      </c>
      <c r="S1891" s="22"/>
    </row>
    <row r="1892" spans="1:19" ht="18" customHeight="1">
      <c r="A1892" s="85"/>
      <c r="B1892" s="86"/>
      <c r="C1892" s="22"/>
      <c r="D1892" s="85"/>
      <c r="E1892" s="87"/>
      <c r="F1892" s="85"/>
      <c r="G1892" s="22"/>
      <c r="H1892" s="88"/>
      <c r="J1892" s="22"/>
      <c r="M1892" s="89"/>
      <c r="N1892" s="60"/>
      <c r="O1892" s="90"/>
      <c r="P1892" s="91"/>
      <c r="Q1892" s="92"/>
      <c r="R1892" s="68" t="str">
        <f t="shared" si="32"/>
        <v/>
      </c>
      <c r="S1892" s="22"/>
    </row>
    <row r="1893" spans="1:19" ht="18" customHeight="1">
      <c r="A1893" s="85"/>
      <c r="B1893" s="86"/>
      <c r="C1893" s="22"/>
      <c r="D1893" s="85"/>
      <c r="E1893" s="87"/>
      <c r="F1893" s="85"/>
      <c r="G1893" s="22"/>
      <c r="H1893" s="88"/>
      <c r="J1893" s="22"/>
      <c r="M1893" s="89"/>
      <c r="N1893" s="60"/>
      <c r="O1893" s="90"/>
      <c r="P1893" s="91"/>
      <c r="Q1893" s="92"/>
      <c r="R1893" s="68" t="str">
        <f t="shared" si="32"/>
        <v/>
      </c>
      <c r="S1893" s="22"/>
    </row>
    <row r="1894" spans="1:19" ht="18" customHeight="1">
      <c r="A1894" s="85"/>
      <c r="B1894" s="86"/>
      <c r="C1894" s="22"/>
      <c r="D1894" s="85"/>
      <c r="E1894" s="87"/>
      <c r="F1894" s="85"/>
      <c r="G1894" s="22"/>
      <c r="H1894" s="88"/>
      <c r="J1894" s="22"/>
      <c r="M1894" s="89"/>
      <c r="N1894" s="60"/>
      <c r="O1894" s="90"/>
      <c r="P1894" s="91"/>
      <c r="Q1894" s="92"/>
      <c r="R1894" s="68" t="str">
        <f t="shared" si="32"/>
        <v/>
      </c>
      <c r="S1894" s="22"/>
    </row>
    <row r="1895" spans="1:19" ht="18" customHeight="1">
      <c r="A1895" s="85"/>
      <c r="B1895" s="86"/>
      <c r="C1895" s="22"/>
      <c r="D1895" s="85"/>
      <c r="E1895" s="87"/>
      <c r="F1895" s="85"/>
      <c r="G1895" s="22"/>
      <c r="H1895" s="88"/>
      <c r="J1895" s="22"/>
      <c r="M1895" s="89"/>
      <c r="N1895" s="60"/>
      <c r="O1895" s="90"/>
      <c r="P1895" s="91"/>
      <c r="Q1895" s="92"/>
      <c r="R1895" s="68" t="str">
        <f t="shared" si="32"/>
        <v/>
      </c>
      <c r="S1895" s="22"/>
    </row>
    <row r="1896" spans="1:19" ht="18" customHeight="1">
      <c r="A1896" s="85"/>
      <c r="B1896" s="86"/>
      <c r="C1896" s="22"/>
      <c r="D1896" s="85"/>
      <c r="E1896" s="87"/>
      <c r="F1896" s="85"/>
      <c r="G1896" s="22"/>
      <c r="H1896" s="88"/>
      <c r="J1896" s="22"/>
      <c r="M1896" s="89"/>
      <c r="N1896" s="60"/>
      <c r="O1896" s="90"/>
      <c r="P1896" s="91"/>
      <c r="Q1896" s="92"/>
      <c r="R1896" s="68" t="str">
        <f t="shared" si="32"/>
        <v/>
      </c>
      <c r="S1896" s="22"/>
    </row>
    <row r="1897" spans="1:19" ht="18" customHeight="1">
      <c r="A1897" s="85"/>
      <c r="B1897" s="86"/>
      <c r="C1897" s="22"/>
      <c r="D1897" s="85"/>
      <c r="E1897" s="87"/>
      <c r="F1897" s="85"/>
      <c r="G1897" s="22"/>
      <c r="H1897" s="88"/>
      <c r="J1897" s="22"/>
      <c r="M1897" s="89"/>
      <c r="N1897" s="60"/>
      <c r="O1897" s="90"/>
      <c r="P1897" s="91"/>
      <c r="Q1897" s="92"/>
      <c r="R1897" s="68" t="str">
        <f t="shared" si="32"/>
        <v/>
      </c>
      <c r="S1897" s="22"/>
    </row>
    <row r="1898" spans="1:19" ht="18" customHeight="1">
      <c r="A1898" s="85"/>
      <c r="B1898" s="86"/>
      <c r="C1898" s="22"/>
      <c r="D1898" s="85"/>
      <c r="E1898" s="87"/>
      <c r="F1898" s="85"/>
      <c r="G1898" s="22"/>
      <c r="H1898" s="88"/>
      <c r="J1898" s="22"/>
      <c r="M1898" s="89"/>
      <c r="N1898" s="60"/>
      <c r="O1898" s="90"/>
      <c r="P1898" s="91"/>
      <c r="Q1898" s="92"/>
      <c r="R1898" s="68" t="str">
        <f t="shared" si="32"/>
        <v/>
      </c>
      <c r="S1898" s="22"/>
    </row>
    <row r="1899" spans="1:19" ht="18" customHeight="1">
      <c r="A1899" s="85"/>
      <c r="B1899" s="86"/>
      <c r="C1899" s="22"/>
      <c r="D1899" s="85"/>
      <c r="E1899" s="87"/>
      <c r="F1899" s="85"/>
      <c r="G1899" s="22"/>
      <c r="H1899" s="88"/>
      <c r="J1899" s="22"/>
      <c r="M1899" s="89"/>
      <c r="N1899" s="60"/>
      <c r="O1899" s="90"/>
      <c r="P1899" s="91"/>
      <c r="Q1899" s="92"/>
      <c r="R1899" s="68" t="str">
        <f t="shared" si="32"/>
        <v/>
      </c>
      <c r="S1899" s="22"/>
    </row>
    <row r="1900" spans="1:19" ht="18" customHeight="1">
      <c r="A1900" s="85"/>
      <c r="B1900" s="86"/>
      <c r="C1900" s="22"/>
      <c r="D1900" s="85"/>
      <c r="E1900" s="87"/>
      <c r="F1900" s="85"/>
      <c r="G1900" s="22"/>
      <c r="H1900" s="88"/>
      <c r="J1900" s="22"/>
      <c r="M1900" s="89"/>
      <c r="N1900" s="60"/>
      <c r="O1900" s="90"/>
      <c r="P1900" s="91"/>
      <c r="Q1900" s="92"/>
      <c r="R1900" s="68" t="str">
        <f t="shared" si="32"/>
        <v/>
      </c>
      <c r="S1900" s="22"/>
    </row>
    <row r="1901" spans="1:19" ht="18" customHeight="1">
      <c r="A1901" s="85"/>
      <c r="B1901" s="86"/>
      <c r="C1901" s="22"/>
      <c r="D1901" s="85"/>
      <c r="E1901" s="87"/>
      <c r="F1901" s="85"/>
      <c r="G1901" s="22"/>
      <c r="H1901" s="88"/>
      <c r="J1901" s="22"/>
      <c r="M1901" s="89"/>
      <c r="N1901" s="60"/>
      <c r="O1901" s="90"/>
      <c r="P1901" s="91"/>
      <c r="Q1901" s="92"/>
      <c r="R1901" s="68" t="str">
        <f t="shared" si="32"/>
        <v/>
      </c>
      <c r="S1901" s="22"/>
    </row>
    <row r="1902" spans="1:19" ht="18" customHeight="1">
      <c r="A1902" s="85"/>
      <c r="B1902" s="86"/>
      <c r="C1902" s="22"/>
      <c r="D1902" s="85"/>
      <c r="E1902" s="87"/>
      <c r="F1902" s="85"/>
      <c r="G1902" s="22"/>
      <c r="H1902" s="88"/>
      <c r="J1902" s="22"/>
      <c r="M1902" s="89"/>
      <c r="N1902" s="60"/>
      <c r="O1902" s="90"/>
      <c r="P1902" s="91"/>
      <c r="Q1902" s="92"/>
      <c r="R1902" s="68" t="str">
        <f t="shared" si="32"/>
        <v/>
      </c>
      <c r="S1902" s="22"/>
    </row>
    <row r="1903" spans="1:19" ht="18" customHeight="1">
      <c r="A1903" s="85"/>
      <c r="B1903" s="86"/>
      <c r="C1903" s="22"/>
      <c r="D1903" s="85"/>
      <c r="E1903" s="87"/>
      <c r="F1903" s="85"/>
      <c r="G1903" s="22"/>
      <c r="H1903" s="88"/>
      <c r="J1903" s="22"/>
      <c r="M1903" s="89"/>
      <c r="N1903" s="60"/>
      <c r="O1903" s="90"/>
      <c r="P1903" s="91"/>
      <c r="Q1903" s="92"/>
      <c r="R1903" s="68" t="str">
        <f t="shared" si="32"/>
        <v/>
      </c>
      <c r="S1903" s="22"/>
    </row>
    <row r="1904" spans="1:19" ht="18" customHeight="1">
      <c r="A1904" s="85"/>
      <c r="B1904" s="86"/>
      <c r="C1904" s="22"/>
      <c r="D1904" s="85"/>
      <c r="E1904" s="87"/>
      <c r="F1904" s="85"/>
      <c r="G1904" s="22"/>
      <c r="H1904" s="88"/>
      <c r="J1904" s="22"/>
      <c r="M1904" s="89"/>
      <c r="N1904" s="60"/>
      <c r="O1904" s="90"/>
      <c r="P1904" s="91"/>
      <c r="Q1904" s="92"/>
      <c r="R1904" s="68" t="str">
        <f t="shared" si="32"/>
        <v/>
      </c>
      <c r="S1904" s="22"/>
    </row>
    <row r="1905" spans="1:19" ht="18" customHeight="1">
      <c r="A1905" s="85"/>
      <c r="B1905" s="86"/>
      <c r="C1905" s="22"/>
      <c r="D1905" s="85"/>
      <c r="E1905" s="87"/>
      <c r="F1905" s="85"/>
      <c r="G1905" s="22"/>
      <c r="H1905" s="88"/>
      <c r="J1905" s="22"/>
      <c r="M1905" s="89"/>
      <c r="N1905" s="60"/>
      <c r="O1905" s="90"/>
      <c r="P1905" s="91"/>
      <c r="Q1905" s="92"/>
      <c r="R1905" s="68" t="str">
        <f t="shared" si="32"/>
        <v/>
      </c>
      <c r="S1905" s="22"/>
    </row>
    <row r="1906" spans="1:19" ht="18" customHeight="1">
      <c r="A1906" s="85"/>
      <c r="B1906" s="86"/>
      <c r="C1906" s="22"/>
      <c r="D1906" s="85"/>
      <c r="E1906" s="87"/>
      <c r="F1906" s="85"/>
      <c r="G1906" s="22"/>
      <c r="H1906" s="88"/>
      <c r="J1906" s="22"/>
      <c r="M1906" s="89"/>
      <c r="N1906" s="60"/>
      <c r="O1906" s="90"/>
      <c r="P1906" s="91"/>
      <c r="Q1906" s="92"/>
      <c r="R1906" s="68" t="str">
        <f t="shared" si="32"/>
        <v/>
      </c>
      <c r="S1906" s="22"/>
    </row>
    <row r="1907" spans="1:19" ht="18" customHeight="1">
      <c r="A1907" s="85"/>
      <c r="B1907" s="86"/>
      <c r="C1907" s="22"/>
      <c r="D1907" s="85"/>
      <c r="E1907" s="87"/>
      <c r="F1907" s="85"/>
      <c r="G1907" s="22"/>
      <c r="H1907" s="88"/>
      <c r="J1907" s="22"/>
      <c r="M1907" s="89"/>
      <c r="N1907" s="60"/>
      <c r="O1907" s="90"/>
      <c r="P1907" s="91"/>
      <c r="Q1907" s="92"/>
      <c r="R1907" s="68" t="str">
        <f t="shared" si="32"/>
        <v/>
      </c>
      <c r="S1907" s="22"/>
    </row>
    <row r="1908" spans="1:19" ht="18" customHeight="1">
      <c r="A1908" s="85"/>
      <c r="B1908" s="86"/>
      <c r="C1908" s="22"/>
      <c r="D1908" s="85"/>
      <c r="E1908" s="87"/>
      <c r="F1908" s="85"/>
      <c r="G1908" s="22"/>
      <c r="H1908" s="88"/>
      <c r="J1908" s="22"/>
      <c r="M1908" s="89"/>
      <c r="N1908" s="60"/>
      <c r="O1908" s="90"/>
      <c r="P1908" s="91"/>
      <c r="Q1908" s="92"/>
      <c r="R1908" s="68" t="str">
        <f t="shared" ref="R1908:R1948" si="33">IF(SUM(Q1908)&gt;0,SUM(Q1908-P1908),"")</f>
        <v/>
      </c>
      <c r="S1908" s="22"/>
    </row>
    <row r="1909" spans="1:19" ht="18" customHeight="1">
      <c r="A1909" s="85"/>
      <c r="B1909" s="86"/>
      <c r="C1909" s="22"/>
      <c r="D1909" s="85"/>
      <c r="E1909" s="87"/>
      <c r="F1909" s="85"/>
      <c r="G1909" s="22"/>
      <c r="H1909" s="88"/>
      <c r="J1909" s="22"/>
      <c r="M1909" s="89"/>
      <c r="N1909" s="60"/>
      <c r="O1909" s="90"/>
      <c r="P1909" s="91"/>
      <c r="Q1909" s="92"/>
      <c r="R1909" s="68" t="str">
        <f t="shared" si="33"/>
        <v/>
      </c>
      <c r="S1909" s="22"/>
    </row>
    <row r="1910" spans="1:19" ht="18" customHeight="1">
      <c r="A1910" s="85"/>
      <c r="B1910" s="86"/>
      <c r="C1910" s="22"/>
      <c r="D1910" s="85"/>
      <c r="E1910" s="87"/>
      <c r="F1910" s="85"/>
      <c r="G1910" s="22"/>
      <c r="H1910" s="88"/>
      <c r="J1910" s="22"/>
      <c r="M1910" s="89"/>
      <c r="N1910" s="60"/>
      <c r="O1910" s="90"/>
      <c r="P1910" s="91"/>
      <c r="Q1910" s="92"/>
      <c r="R1910" s="68" t="str">
        <f t="shared" si="33"/>
        <v/>
      </c>
      <c r="S1910" s="22"/>
    </row>
    <row r="1911" spans="1:19" ht="18" customHeight="1">
      <c r="A1911" s="85"/>
      <c r="B1911" s="86"/>
      <c r="C1911" s="22"/>
      <c r="D1911" s="85"/>
      <c r="E1911" s="87"/>
      <c r="F1911" s="85"/>
      <c r="G1911" s="22"/>
      <c r="H1911" s="88"/>
      <c r="J1911" s="22"/>
      <c r="M1911" s="89"/>
      <c r="N1911" s="60"/>
      <c r="O1911" s="90"/>
      <c r="P1911" s="91"/>
      <c r="Q1911" s="92"/>
      <c r="R1911" s="68" t="str">
        <f t="shared" si="33"/>
        <v/>
      </c>
      <c r="S1911" s="22"/>
    </row>
    <row r="1912" spans="1:19" ht="18" customHeight="1">
      <c r="A1912" s="85"/>
      <c r="B1912" s="86"/>
      <c r="C1912" s="22"/>
      <c r="D1912" s="85"/>
      <c r="E1912" s="87"/>
      <c r="F1912" s="85"/>
      <c r="G1912" s="22"/>
      <c r="H1912" s="88"/>
      <c r="J1912" s="22"/>
      <c r="M1912" s="89"/>
      <c r="N1912" s="60"/>
      <c r="O1912" s="90"/>
      <c r="P1912" s="91"/>
      <c r="Q1912" s="92"/>
      <c r="R1912" s="68" t="str">
        <f t="shared" si="33"/>
        <v/>
      </c>
      <c r="S1912" s="22"/>
    </row>
    <row r="1913" spans="1:19" ht="18" customHeight="1">
      <c r="A1913" s="85"/>
      <c r="B1913" s="86"/>
      <c r="C1913" s="22"/>
      <c r="D1913" s="85"/>
      <c r="E1913" s="87"/>
      <c r="F1913" s="85"/>
      <c r="G1913" s="22"/>
      <c r="H1913" s="88"/>
      <c r="J1913" s="22"/>
      <c r="M1913" s="89"/>
      <c r="N1913" s="60"/>
      <c r="O1913" s="90"/>
      <c r="P1913" s="91"/>
      <c r="Q1913" s="92"/>
      <c r="R1913" s="68" t="str">
        <f t="shared" si="33"/>
        <v/>
      </c>
      <c r="S1913" s="22"/>
    </row>
    <row r="1914" spans="1:19" ht="18" customHeight="1">
      <c r="A1914" s="85"/>
      <c r="B1914" s="86"/>
      <c r="C1914" s="22"/>
      <c r="D1914" s="85"/>
      <c r="E1914" s="87"/>
      <c r="F1914" s="85"/>
      <c r="G1914" s="22"/>
      <c r="H1914" s="88"/>
      <c r="J1914" s="22"/>
      <c r="M1914" s="89"/>
      <c r="N1914" s="60"/>
      <c r="O1914" s="90"/>
      <c r="P1914" s="91"/>
      <c r="Q1914" s="92"/>
      <c r="R1914" s="68" t="str">
        <f t="shared" si="33"/>
        <v/>
      </c>
      <c r="S1914" s="22"/>
    </row>
    <row r="1915" spans="1:19" ht="18" customHeight="1">
      <c r="A1915" s="85"/>
      <c r="B1915" s="86"/>
      <c r="C1915" s="22"/>
      <c r="D1915" s="85"/>
      <c r="E1915" s="87"/>
      <c r="F1915" s="85"/>
      <c r="G1915" s="22"/>
      <c r="H1915" s="88"/>
      <c r="J1915" s="22"/>
      <c r="M1915" s="89"/>
      <c r="N1915" s="60"/>
      <c r="O1915" s="90"/>
      <c r="P1915" s="91"/>
      <c r="Q1915" s="92"/>
      <c r="R1915" s="68" t="str">
        <f t="shared" si="33"/>
        <v/>
      </c>
      <c r="S1915" s="22"/>
    </row>
    <row r="1916" spans="1:19" ht="18" customHeight="1">
      <c r="A1916" s="85"/>
      <c r="B1916" s="86"/>
      <c r="C1916" s="22"/>
      <c r="D1916" s="85"/>
      <c r="E1916" s="87"/>
      <c r="F1916" s="85"/>
      <c r="G1916" s="22"/>
      <c r="H1916" s="88"/>
      <c r="J1916" s="22"/>
      <c r="M1916" s="89"/>
      <c r="N1916" s="60"/>
      <c r="O1916" s="90"/>
      <c r="P1916" s="91"/>
      <c r="Q1916" s="92"/>
      <c r="R1916" s="68" t="str">
        <f t="shared" si="33"/>
        <v/>
      </c>
      <c r="S1916" s="22"/>
    </row>
    <row r="1917" spans="1:19" ht="18" customHeight="1">
      <c r="A1917" s="85"/>
      <c r="B1917" s="86"/>
      <c r="C1917" s="22"/>
      <c r="D1917" s="85"/>
      <c r="E1917" s="87"/>
      <c r="F1917" s="85"/>
      <c r="G1917" s="22"/>
      <c r="H1917" s="88"/>
      <c r="J1917" s="22"/>
      <c r="M1917" s="89"/>
      <c r="N1917" s="60"/>
      <c r="O1917" s="90"/>
      <c r="P1917" s="91"/>
      <c r="Q1917" s="92"/>
      <c r="R1917" s="68" t="str">
        <f t="shared" si="33"/>
        <v/>
      </c>
      <c r="S1917" s="22"/>
    </row>
    <row r="1918" spans="1:19" ht="18" customHeight="1">
      <c r="A1918" s="85"/>
      <c r="B1918" s="86"/>
      <c r="C1918" s="22"/>
      <c r="D1918" s="85"/>
      <c r="E1918" s="87"/>
      <c r="F1918" s="85"/>
      <c r="G1918" s="22"/>
      <c r="H1918" s="88"/>
      <c r="J1918" s="22"/>
      <c r="M1918" s="89"/>
      <c r="N1918" s="60"/>
      <c r="O1918" s="90"/>
      <c r="P1918" s="91"/>
      <c r="Q1918" s="92"/>
      <c r="R1918" s="68" t="str">
        <f t="shared" si="33"/>
        <v/>
      </c>
      <c r="S1918" s="22"/>
    </row>
    <row r="1919" spans="1:19" ht="18" customHeight="1">
      <c r="A1919" s="85"/>
      <c r="B1919" s="86"/>
      <c r="C1919" s="22"/>
      <c r="D1919" s="85"/>
      <c r="E1919" s="87"/>
      <c r="F1919" s="85"/>
      <c r="G1919" s="22"/>
      <c r="H1919" s="88"/>
      <c r="J1919" s="22"/>
      <c r="M1919" s="89"/>
      <c r="N1919" s="60"/>
      <c r="O1919" s="90"/>
      <c r="P1919" s="91"/>
      <c r="Q1919" s="92"/>
      <c r="R1919" s="68" t="str">
        <f t="shared" si="33"/>
        <v/>
      </c>
      <c r="S1919" s="22"/>
    </row>
    <row r="1920" spans="1:19" ht="18" customHeight="1">
      <c r="A1920" s="85"/>
      <c r="B1920" s="86"/>
      <c r="C1920" s="22"/>
      <c r="D1920" s="85"/>
      <c r="E1920" s="87"/>
      <c r="F1920" s="85"/>
      <c r="G1920" s="22"/>
      <c r="H1920" s="88"/>
      <c r="J1920" s="22"/>
      <c r="M1920" s="89"/>
      <c r="N1920" s="60"/>
      <c r="O1920" s="90"/>
      <c r="P1920" s="91"/>
      <c r="Q1920" s="92"/>
      <c r="R1920" s="68" t="str">
        <f t="shared" si="33"/>
        <v/>
      </c>
      <c r="S1920" s="22"/>
    </row>
    <row r="1921" spans="1:19" ht="18" customHeight="1">
      <c r="A1921" s="85"/>
      <c r="B1921" s="86"/>
      <c r="C1921" s="22"/>
      <c r="D1921" s="85"/>
      <c r="E1921" s="87"/>
      <c r="F1921" s="85"/>
      <c r="G1921" s="22"/>
      <c r="H1921" s="88"/>
      <c r="J1921" s="22"/>
      <c r="M1921" s="89"/>
      <c r="N1921" s="60"/>
      <c r="O1921" s="90"/>
      <c r="P1921" s="91"/>
      <c r="Q1921" s="92"/>
      <c r="R1921" s="68" t="str">
        <f t="shared" si="33"/>
        <v/>
      </c>
      <c r="S1921" s="22"/>
    </row>
    <row r="1922" spans="1:19" ht="18" customHeight="1">
      <c r="A1922" s="85"/>
      <c r="B1922" s="86"/>
      <c r="C1922" s="22"/>
      <c r="D1922" s="85"/>
      <c r="E1922" s="87"/>
      <c r="F1922" s="85"/>
      <c r="G1922" s="22"/>
      <c r="H1922" s="88"/>
      <c r="J1922" s="22"/>
      <c r="M1922" s="89"/>
      <c r="N1922" s="60"/>
      <c r="O1922" s="90"/>
      <c r="P1922" s="91"/>
      <c r="Q1922" s="92"/>
      <c r="R1922" s="68" t="str">
        <f t="shared" si="33"/>
        <v/>
      </c>
      <c r="S1922" s="22"/>
    </row>
    <row r="1923" spans="1:19" ht="18" customHeight="1">
      <c r="A1923" s="85"/>
      <c r="B1923" s="86"/>
      <c r="C1923" s="22"/>
      <c r="D1923" s="85"/>
      <c r="E1923" s="87"/>
      <c r="F1923" s="85"/>
      <c r="G1923" s="22"/>
      <c r="H1923" s="88"/>
      <c r="J1923" s="22"/>
      <c r="M1923" s="89"/>
      <c r="N1923" s="60"/>
      <c r="O1923" s="90"/>
      <c r="P1923" s="91"/>
      <c r="Q1923" s="92"/>
      <c r="R1923" s="68" t="str">
        <f t="shared" si="33"/>
        <v/>
      </c>
      <c r="S1923" s="22"/>
    </row>
    <row r="1924" spans="1:19" ht="18" customHeight="1">
      <c r="A1924" s="85"/>
      <c r="B1924" s="86"/>
      <c r="C1924" s="22"/>
      <c r="D1924" s="85"/>
      <c r="E1924" s="87"/>
      <c r="F1924" s="85"/>
      <c r="G1924" s="22"/>
      <c r="H1924" s="88"/>
      <c r="J1924" s="22"/>
      <c r="M1924" s="89"/>
      <c r="N1924" s="60"/>
      <c r="O1924" s="90"/>
      <c r="P1924" s="91"/>
      <c r="Q1924" s="92"/>
      <c r="R1924" s="68" t="str">
        <f t="shared" si="33"/>
        <v/>
      </c>
      <c r="S1924" s="22"/>
    </row>
    <row r="1925" spans="1:19" ht="18" customHeight="1">
      <c r="A1925" s="85"/>
      <c r="B1925" s="86"/>
      <c r="C1925" s="22"/>
      <c r="D1925" s="85"/>
      <c r="E1925" s="87"/>
      <c r="F1925" s="85"/>
      <c r="G1925" s="22"/>
      <c r="H1925" s="88"/>
      <c r="J1925" s="22"/>
      <c r="M1925" s="89"/>
      <c r="N1925" s="60"/>
      <c r="O1925" s="90"/>
      <c r="P1925" s="91"/>
      <c r="Q1925" s="92"/>
      <c r="R1925" s="68" t="str">
        <f t="shared" si="33"/>
        <v/>
      </c>
      <c r="S1925" s="22"/>
    </row>
    <row r="1926" spans="1:19" ht="18" customHeight="1">
      <c r="A1926" s="85"/>
      <c r="B1926" s="86"/>
      <c r="C1926" s="22"/>
      <c r="D1926" s="85"/>
      <c r="E1926" s="87"/>
      <c r="F1926" s="85"/>
      <c r="G1926" s="22"/>
      <c r="H1926" s="88"/>
      <c r="J1926" s="22"/>
      <c r="M1926" s="89"/>
      <c r="N1926" s="60"/>
      <c r="O1926" s="90"/>
      <c r="P1926" s="91"/>
      <c r="Q1926" s="92"/>
      <c r="R1926" s="68" t="str">
        <f t="shared" si="33"/>
        <v/>
      </c>
      <c r="S1926" s="22"/>
    </row>
    <row r="1927" spans="1:19" ht="18" customHeight="1">
      <c r="A1927" s="85"/>
      <c r="B1927" s="86"/>
      <c r="C1927" s="22"/>
      <c r="D1927" s="85"/>
      <c r="E1927" s="87"/>
      <c r="F1927" s="85"/>
      <c r="G1927" s="22"/>
      <c r="H1927" s="88"/>
      <c r="J1927" s="22"/>
      <c r="M1927" s="89"/>
      <c r="N1927" s="60"/>
      <c r="O1927" s="90"/>
      <c r="P1927" s="91"/>
      <c r="Q1927" s="92"/>
      <c r="R1927" s="68" t="str">
        <f t="shared" si="33"/>
        <v/>
      </c>
      <c r="S1927" s="22"/>
    </row>
    <row r="1928" spans="1:19" ht="18" customHeight="1">
      <c r="A1928" s="85"/>
      <c r="B1928" s="86"/>
      <c r="C1928" s="22"/>
      <c r="D1928" s="85"/>
      <c r="E1928" s="87"/>
      <c r="F1928" s="85"/>
      <c r="G1928" s="22"/>
      <c r="H1928" s="88"/>
      <c r="J1928" s="22"/>
      <c r="M1928" s="89"/>
      <c r="N1928" s="60"/>
      <c r="O1928" s="90"/>
      <c r="P1928" s="91"/>
      <c r="Q1928" s="92"/>
      <c r="R1928" s="68" t="str">
        <f t="shared" si="33"/>
        <v/>
      </c>
      <c r="S1928" s="22"/>
    </row>
    <row r="1929" spans="1:19" ht="18" customHeight="1">
      <c r="A1929" s="85"/>
      <c r="B1929" s="86"/>
      <c r="C1929" s="22"/>
      <c r="D1929" s="85"/>
      <c r="E1929" s="87"/>
      <c r="F1929" s="85"/>
      <c r="G1929" s="22"/>
      <c r="H1929" s="88"/>
      <c r="J1929" s="22"/>
      <c r="M1929" s="89"/>
      <c r="N1929" s="60"/>
      <c r="O1929" s="90"/>
      <c r="P1929" s="91"/>
      <c r="Q1929" s="92"/>
      <c r="R1929" s="68" t="str">
        <f t="shared" si="33"/>
        <v/>
      </c>
      <c r="S1929" s="22"/>
    </row>
    <row r="1930" spans="1:19" ht="18" customHeight="1">
      <c r="A1930" s="85"/>
      <c r="B1930" s="86"/>
      <c r="C1930" s="22"/>
      <c r="D1930" s="85"/>
      <c r="E1930" s="87"/>
      <c r="F1930" s="85"/>
      <c r="G1930" s="22"/>
      <c r="H1930" s="88"/>
      <c r="J1930" s="22"/>
      <c r="M1930" s="89"/>
      <c r="N1930" s="60"/>
      <c r="O1930" s="90"/>
      <c r="P1930" s="91"/>
      <c r="Q1930" s="92"/>
      <c r="R1930" s="68" t="str">
        <f t="shared" si="33"/>
        <v/>
      </c>
      <c r="S1930" s="22"/>
    </row>
    <row r="1931" spans="1:19" ht="18" customHeight="1">
      <c r="A1931" s="85"/>
      <c r="B1931" s="86"/>
      <c r="C1931" s="22"/>
      <c r="D1931" s="85"/>
      <c r="E1931" s="87"/>
      <c r="F1931" s="85"/>
      <c r="G1931" s="22"/>
      <c r="H1931" s="88"/>
      <c r="J1931" s="22"/>
      <c r="M1931" s="89"/>
      <c r="N1931" s="60"/>
      <c r="O1931" s="90"/>
      <c r="P1931" s="91"/>
      <c r="Q1931" s="92"/>
      <c r="R1931" s="68" t="str">
        <f t="shared" si="33"/>
        <v/>
      </c>
      <c r="S1931" s="22"/>
    </row>
    <row r="1932" spans="1:19" ht="18" customHeight="1">
      <c r="A1932" s="85"/>
      <c r="B1932" s="86"/>
      <c r="C1932" s="22"/>
      <c r="D1932" s="85"/>
      <c r="E1932" s="87"/>
      <c r="F1932" s="85"/>
      <c r="G1932" s="22"/>
      <c r="H1932" s="88"/>
      <c r="J1932" s="22"/>
      <c r="M1932" s="89"/>
      <c r="N1932" s="60"/>
      <c r="O1932" s="90"/>
      <c r="P1932" s="91"/>
      <c r="Q1932" s="92"/>
      <c r="R1932" s="68" t="str">
        <f t="shared" si="33"/>
        <v/>
      </c>
      <c r="S1932" s="22"/>
    </row>
    <row r="1933" spans="1:19" ht="18" customHeight="1">
      <c r="A1933" s="85"/>
      <c r="B1933" s="86"/>
      <c r="C1933" s="22"/>
      <c r="D1933" s="85"/>
      <c r="E1933" s="87"/>
      <c r="F1933" s="85"/>
      <c r="G1933" s="22"/>
      <c r="H1933" s="88"/>
      <c r="J1933" s="22"/>
      <c r="M1933" s="89"/>
      <c r="N1933" s="60"/>
      <c r="O1933" s="90"/>
      <c r="P1933" s="91"/>
      <c r="Q1933" s="92"/>
      <c r="R1933" s="68" t="str">
        <f t="shared" si="33"/>
        <v/>
      </c>
      <c r="S1933" s="22"/>
    </row>
    <row r="1934" spans="1:19" ht="18" customHeight="1">
      <c r="A1934" s="85"/>
      <c r="B1934" s="86"/>
      <c r="C1934" s="22"/>
      <c r="D1934" s="85"/>
      <c r="E1934" s="87"/>
      <c r="F1934" s="85"/>
      <c r="G1934" s="22"/>
      <c r="H1934" s="88"/>
      <c r="J1934" s="22"/>
      <c r="M1934" s="89"/>
      <c r="N1934" s="60"/>
      <c r="O1934" s="90"/>
      <c r="P1934" s="91"/>
      <c r="Q1934" s="92"/>
      <c r="R1934" s="68" t="str">
        <f t="shared" si="33"/>
        <v/>
      </c>
      <c r="S1934" s="22"/>
    </row>
    <row r="1935" spans="1:19" ht="18" customHeight="1">
      <c r="A1935" s="85"/>
      <c r="B1935" s="86"/>
      <c r="C1935" s="22"/>
      <c r="D1935" s="85"/>
      <c r="E1935" s="87"/>
      <c r="F1935" s="85"/>
      <c r="G1935" s="22"/>
      <c r="H1935" s="88"/>
      <c r="J1935" s="22"/>
      <c r="M1935" s="89"/>
      <c r="N1935" s="60"/>
      <c r="O1935" s="90"/>
      <c r="P1935" s="91"/>
      <c r="Q1935" s="92"/>
      <c r="R1935" s="68" t="str">
        <f t="shared" si="33"/>
        <v/>
      </c>
      <c r="S1935" s="22"/>
    </row>
    <row r="1936" spans="1:19" ht="18" customHeight="1">
      <c r="A1936" s="85"/>
      <c r="B1936" s="86"/>
      <c r="C1936" s="22"/>
      <c r="D1936" s="85"/>
      <c r="E1936" s="87"/>
      <c r="F1936" s="85"/>
      <c r="G1936" s="22"/>
      <c r="H1936" s="88"/>
      <c r="J1936" s="22"/>
      <c r="M1936" s="89"/>
      <c r="N1936" s="60"/>
      <c r="O1936" s="90"/>
      <c r="P1936" s="91"/>
      <c r="Q1936" s="92"/>
      <c r="R1936" s="68" t="str">
        <f t="shared" si="33"/>
        <v/>
      </c>
      <c r="S1936" s="22"/>
    </row>
    <row r="1937" spans="1:19" ht="18" customHeight="1">
      <c r="A1937" s="85"/>
      <c r="B1937" s="86"/>
      <c r="C1937" s="22"/>
      <c r="D1937" s="85"/>
      <c r="E1937" s="87"/>
      <c r="F1937" s="85"/>
      <c r="G1937" s="22"/>
      <c r="H1937" s="88"/>
      <c r="J1937" s="22"/>
      <c r="M1937" s="89"/>
      <c r="N1937" s="60"/>
      <c r="O1937" s="90"/>
      <c r="P1937" s="91"/>
      <c r="Q1937" s="92"/>
      <c r="R1937" s="68" t="str">
        <f t="shared" si="33"/>
        <v/>
      </c>
      <c r="S1937" s="22"/>
    </row>
    <row r="1938" spans="1:19" ht="18" customHeight="1">
      <c r="A1938" s="85"/>
      <c r="B1938" s="86"/>
      <c r="C1938" s="22"/>
      <c r="D1938" s="85"/>
      <c r="E1938" s="87"/>
      <c r="F1938" s="85"/>
      <c r="G1938" s="22"/>
      <c r="H1938" s="88"/>
      <c r="J1938" s="22"/>
      <c r="M1938" s="89"/>
      <c r="N1938" s="60"/>
      <c r="O1938" s="90"/>
      <c r="P1938" s="91"/>
      <c r="Q1938" s="92"/>
      <c r="R1938" s="68" t="str">
        <f t="shared" si="33"/>
        <v/>
      </c>
      <c r="S1938" s="22"/>
    </row>
    <row r="1939" spans="1:19" ht="18" customHeight="1">
      <c r="A1939" s="85"/>
      <c r="B1939" s="86"/>
      <c r="C1939" s="22"/>
      <c r="D1939" s="85"/>
      <c r="E1939" s="87"/>
      <c r="F1939" s="85"/>
      <c r="G1939" s="22"/>
      <c r="H1939" s="88"/>
      <c r="J1939" s="22"/>
      <c r="M1939" s="89"/>
      <c r="N1939" s="60"/>
      <c r="O1939" s="90"/>
      <c r="P1939" s="91"/>
      <c r="Q1939" s="92"/>
      <c r="R1939" s="68" t="str">
        <f t="shared" si="33"/>
        <v/>
      </c>
      <c r="S1939" s="22"/>
    </row>
    <row r="1940" spans="1:19" ht="18" customHeight="1">
      <c r="A1940" s="85"/>
      <c r="B1940" s="86"/>
      <c r="C1940" s="22"/>
      <c r="D1940" s="85"/>
      <c r="E1940" s="87"/>
      <c r="F1940" s="85"/>
      <c r="G1940" s="22"/>
      <c r="H1940" s="88"/>
      <c r="J1940" s="22"/>
      <c r="M1940" s="89"/>
      <c r="N1940" s="60"/>
      <c r="O1940" s="90"/>
      <c r="P1940" s="91"/>
      <c r="Q1940" s="92"/>
      <c r="R1940" s="68" t="str">
        <f t="shared" si="33"/>
        <v/>
      </c>
      <c r="S1940" s="22"/>
    </row>
    <row r="1941" spans="1:19" ht="18" customHeight="1">
      <c r="A1941" s="85"/>
      <c r="B1941" s="86"/>
      <c r="C1941" s="22"/>
      <c r="D1941" s="85"/>
      <c r="E1941" s="87"/>
      <c r="F1941" s="85"/>
      <c r="G1941" s="22"/>
      <c r="H1941" s="88"/>
      <c r="J1941" s="22"/>
      <c r="M1941" s="89"/>
      <c r="N1941" s="60"/>
      <c r="O1941" s="90"/>
      <c r="P1941" s="91"/>
      <c r="Q1941" s="92"/>
      <c r="R1941" s="68" t="str">
        <f t="shared" si="33"/>
        <v/>
      </c>
      <c r="S1941" s="22"/>
    </row>
    <row r="1942" spans="1:19" ht="18" customHeight="1">
      <c r="A1942" s="85"/>
      <c r="B1942" s="86"/>
      <c r="C1942" s="22"/>
      <c r="D1942" s="85"/>
      <c r="E1942" s="87"/>
      <c r="F1942" s="85"/>
      <c r="G1942" s="22"/>
      <c r="H1942" s="88"/>
      <c r="J1942" s="22"/>
      <c r="M1942" s="89"/>
      <c r="N1942" s="60"/>
      <c r="O1942" s="90"/>
      <c r="P1942" s="91"/>
      <c r="Q1942" s="92"/>
      <c r="R1942" s="68" t="str">
        <f t="shared" si="33"/>
        <v/>
      </c>
      <c r="S1942" s="22"/>
    </row>
    <row r="1943" spans="1:19" ht="18" customHeight="1">
      <c r="A1943" s="85"/>
      <c r="B1943" s="86"/>
      <c r="C1943" s="22"/>
      <c r="D1943" s="85"/>
      <c r="E1943" s="87"/>
      <c r="F1943" s="85"/>
      <c r="G1943" s="22"/>
      <c r="H1943" s="88"/>
      <c r="J1943" s="22"/>
      <c r="M1943" s="89"/>
      <c r="N1943" s="60"/>
      <c r="O1943" s="90"/>
      <c r="P1943" s="91"/>
      <c r="Q1943" s="92"/>
      <c r="R1943" s="68" t="str">
        <f t="shared" si="33"/>
        <v/>
      </c>
      <c r="S1943" s="22"/>
    </row>
    <row r="1944" spans="1:19" ht="18" customHeight="1">
      <c r="A1944" s="85"/>
      <c r="B1944" s="86"/>
      <c r="C1944" s="22"/>
      <c r="D1944" s="85"/>
      <c r="E1944" s="87"/>
      <c r="F1944" s="85"/>
      <c r="G1944" s="22"/>
      <c r="H1944" s="88"/>
      <c r="J1944" s="22"/>
      <c r="M1944" s="89"/>
      <c r="N1944" s="60"/>
      <c r="O1944" s="90"/>
      <c r="P1944" s="91"/>
      <c r="Q1944" s="92"/>
      <c r="R1944" s="68" t="str">
        <f t="shared" si="33"/>
        <v/>
      </c>
      <c r="S1944" s="22"/>
    </row>
    <row r="1945" spans="1:19" ht="18" customHeight="1">
      <c r="A1945" s="85"/>
      <c r="B1945" s="86"/>
      <c r="C1945" s="22"/>
      <c r="D1945" s="85"/>
      <c r="E1945" s="87"/>
      <c r="F1945" s="85"/>
      <c r="G1945" s="22"/>
      <c r="H1945" s="88"/>
      <c r="J1945" s="22"/>
      <c r="M1945" s="89"/>
      <c r="N1945" s="60"/>
      <c r="O1945" s="90"/>
      <c r="P1945" s="91"/>
      <c r="Q1945" s="92"/>
      <c r="R1945" s="68" t="str">
        <f t="shared" si="33"/>
        <v/>
      </c>
      <c r="S1945" s="22"/>
    </row>
    <row r="1946" spans="1:19" ht="18" customHeight="1">
      <c r="A1946" s="85"/>
      <c r="B1946" s="86"/>
      <c r="C1946" s="22"/>
      <c r="D1946" s="85"/>
      <c r="E1946" s="87"/>
      <c r="F1946" s="85"/>
      <c r="G1946" s="22"/>
      <c r="H1946" s="88"/>
      <c r="J1946" s="22"/>
      <c r="M1946" s="89"/>
      <c r="N1946" s="60"/>
      <c r="O1946" s="90"/>
      <c r="P1946" s="91"/>
      <c r="Q1946" s="92"/>
      <c r="R1946" s="68" t="str">
        <f t="shared" si="33"/>
        <v/>
      </c>
      <c r="S1946" s="22"/>
    </row>
    <row r="1947" spans="1:19" ht="18" customHeight="1">
      <c r="A1947" s="85"/>
      <c r="B1947" s="86"/>
      <c r="C1947" s="22"/>
      <c r="D1947" s="85"/>
      <c r="E1947" s="87"/>
      <c r="F1947" s="85"/>
      <c r="G1947" s="22"/>
      <c r="H1947" s="88"/>
      <c r="J1947" s="22"/>
      <c r="M1947" s="89"/>
      <c r="N1947" s="60"/>
      <c r="O1947" s="90"/>
      <c r="P1947" s="91"/>
      <c r="Q1947" s="92"/>
      <c r="R1947" s="68" t="str">
        <f t="shared" si="33"/>
        <v/>
      </c>
      <c r="S1947" s="22"/>
    </row>
    <row r="1948" spans="1:19" ht="18" customHeight="1">
      <c r="A1948" s="85"/>
      <c r="B1948" s="86"/>
      <c r="C1948" s="22"/>
      <c r="D1948" s="85"/>
      <c r="E1948" s="87"/>
      <c r="F1948" s="85"/>
      <c r="G1948" s="22"/>
      <c r="H1948" s="88"/>
      <c r="J1948" s="22"/>
      <c r="M1948" s="89"/>
      <c r="N1948" s="60"/>
      <c r="O1948" s="90"/>
      <c r="P1948" s="91"/>
      <c r="Q1948" s="92"/>
      <c r="R1948" s="68" t="str">
        <f t="shared" si="33"/>
        <v/>
      </c>
      <c r="S1948" s="22"/>
    </row>
    <row r="1949" spans="1:19" ht="18" customHeight="1">
      <c r="A1949" s="85"/>
      <c r="B1949" s="86"/>
      <c r="C1949" s="22"/>
      <c r="D1949" s="85"/>
      <c r="E1949" s="87"/>
      <c r="F1949" s="85"/>
      <c r="G1949" s="22"/>
      <c r="H1949" s="88"/>
      <c r="J1949" s="22"/>
      <c r="M1949" s="89"/>
      <c r="N1949" s="60"/>
      <c r="O1949" s="90"/>
      <c r="P1949" s="91"/>
      <c r="Q1949" s="92"/>
      <c r="R1949" s="68" t="str">
        <f>IF(SUM(Q1949)&gt;0,SUM(Q1949-P1949),"")</f>
        <v/>
      </c>
      <c r="S1949" s="22"/>
    </row>
    <row r="1950" spans="1:19" ht="18" customHeight="1">
      <c r="A1950" s="85"/>
      <c r="B1950" s="86"/>
      <c r="C1950" s="22"/>
      <c r="D1950" s="85"/>
      <c r="E1950" s="87"/>
      <c r="F1950" s="85"/>
      <c r="G1950" s="22"/>
      <c r="H1950" s="88"/>
      <c r="J1950" s="22"/>
      <c r="M1950" s="89"/>
      <c r="N1950" s="60"/>
      <c r="O1950" s="90"/>
      <c r="P1950" s="91"/>
      <c r="Q1950" s="92"/>
      <c r="R1950" s="68" t="str">
        <f>IF(SUM(Q1950)&gt;0,SUM(Q1950-P1950),"")</f>
        <v/>
      </c>
      <c r="S1950" s="22"/>
    </row>
    <row r="1951" spans="1:19" ht="18" customHeight="1">
      <c r="A1951" s="85"/>
      <c r="B1951" s="86"/>
      <c r="C1951" s="22"/>
      <c r="D1951" s="85"/>
      <c r="E1951" s="87"/>
      <c r="F1951" s="85"/>
      <c r="G1951" s="22"/>
      <c r="H1951" s="88"/>
      <c r="J1951" s="22"/>
      <c r="M1951" s="89"/>
      <c r="N1951" s="60"/>
      <c r="O1951" s="90"/>
      <c r="P1951" s="91"/>
      <c r="Q1951" s="92"/>
      <c r="R1951" s="68" t="str">
        <f>IF(SUM(Q1951)&gt;0,SUM(Q1951-P1951),"")</f>
        <v/>
      </c>
      <c r="S1951" s="22"/>
    </row>
    <row r="1952" spans="1:19" ht="18" customHeight="1">
      <c r="A1952" s="85"/>
      <c r="B1952" s="86"/>
      <c r="C1952" s="22"/>
      <c r="D1952" s="85"/>
      <c r="G1952" s="22"/>
      <c r="H1952" s="88"/>
      <c r="J1952" s="22"/>
      <c r="M1952" s="89"/>
      <c r="N1952" s="60"/>
      <c r="O1952" s="90"/>
      <c r="P1952" s="91"/>
      <c r="Q1952" s="92"/>
      <c r="R1952" s="68" t="str">
        <f>IF(SUM(Q1952)&gt;0,SUM(Q1952-P1952),"")</f>
        <v/>
      </c>
      <c r="S1952" s="22"/>
    </row>
  </sheetData>
  <sheetProtection selectLockedCells="1"/>
  <autoFilter ref="A3:R552" xr:uid="{00000000-0009-0000-0000-000000000000}">
    <sortState xmlns:xlrd2="http://schemas.microsoft.com/office/spreadsheetml/2017/richdata2" ref="A4:R593">
      <sortCondition ref="Q3:Q593"/>
    </sortState>
  </autoFilter>
  <conditionalFormatting sqref="B4:B8679">
    <cfRule type="expression" dxfId="1" priority="2">
      <formula>Q4&gt;0</formula>
    </cfRule>
  </conditionalFormatting>
  <conditionalFormatting sqref="D1">
    <cfRule type="expression" dxfId="0" priority="1" stopIfTrue="1">
      <formula>Q1&gt;0</formula>
    </cfRule>
  </conditionalFormatting>
  <printOptions horizontalCentered="1" verticalCentered="1" gridLines="1"/>
  <pageMargins left="0" right="0" top="0" bottom="0" header="0.5" footer="0.5"/>
  <pageSetup scale="6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MPDataXfer">
                <anchor>
                  <from>
                    <xdr:col>3</xdr:col>
                    <xdr:colOff>200025</xdr:colOff>
                    <xdr:row>0</xdr:row>
                    <xdr:rowOff>257175</xdr:rowOff>
                  </from>
                  <to>
                    <xdr:col>5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OpenInputForm">
                <anchor>
                  <from>
                    <xdr:col>7</xdr:col>
                    <xdr:colOff>695325</xdr:colOff>
                    <xdr:row>0</xdr:row>
                    <xdr:rowOff>257175</xdr:rowOff>
                  </from>
                  <to>
                    <xdr:col>9</xdr:col>
                    <xdr:colOff>1990725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1]!MPDataXferL">
                <anchor>
                  <from>
                    <xdr:col>5</xdr:col>
                    <xdr:colOff>0</xdr:colOff>
                    <xdr:row>0</xdr:row>
                    <xdr:rowOff>257175</xdr:rowOff>
                  </from>
                  <to>
                    <xdr:col>7</xdr:col>
                    <xdr:colOff>600075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 macro="[1]!LookForFile">
                <anchor>
                  <from>
                    <xdr:col>0</xdr:col>
                    <xdr:colOff>95250</xdr:colOff>
                    <xdr:row>0</xdr:row>
                    <xdr:rowOff>276225</xdr:rowOff>
                  </from>
                  <to>
                    <xdr:col>3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 macro="[1]!AddComment">
                <anchor>
                  <from>
                    <xdr:col>9</xdr:col>
                    <xdr:colOff>2257425</xdr:colOff>
                    <xdr:row>0</xdr:row>
                    <xdr:rowOff>257175</xdr:rowOff>
                  </from>
                  <to>
                    <xdr:col>11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 macro="[1]!MPDataXferLMHI">
                <anchor>
                  <from>
                    <xdr:col>3</xdr:col>
                    <xdr:colOff>200025</xdr:colOff>
                    <xdr:row>1</xdr:row>
                    <xdr:rowOff>200025</xdr:rowOff>
                  </from>
                  <to>
                    <xdr:col>5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 macro="[1]!PastDUE">
                <anchor>
                  <from>
                    <xdr:col>5</xdr:col>
                    <xdr:colOff>0</xdr:colOff>
                    <xdr:row>1</xdr:row>
                    <xdr:rowOff>200025</xdr:rowOff>
                  </from>
                  <to>
                    <xdr:col>7</xdr:col>
                    <xdr:colOff>600075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Pict="0" macro="[1]!cmdPrint_Click">
                <anchor>
                  <from>
                    <xdr:col>0</xdr:col>
                    <xdr:colOff>95250</xdr:colOff>
                    <xdr:row>1</xdr:row>
                    <xdr:rowOff>200025</xdr:rowOff>
                  </from>
                  <to>
                    <xdr:col>3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Pict="0" macro="[1]!KinectrisData">
                <anchor>
                  <from>
                    <xdr:col>7</xdr:col>
                    <xdr:colOff>695325</xdr:colOff>
                    <xdr:row>1</xdr:row>
                    <xdr:rowOff>180975</xdr:rowOff>
                  </from>
                  <to>
                    <xdr:col>9</xdr:col>
                    <xdr:colOff>1990725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 macro="[1]!FixButton.FixButton">
                <anchor>
                  <from>
                    <xdr:col>11</xdr:col>
                    <xdr:colOff>0</xdr:colOff>
                    <xdr:row>0</xdr:row>
                    <xdr:rowOff>247650</xdr:rowOff>
                  </from>
                  <to>
                    <xdr:col>12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Pict="0" macro="[1]!Delete_Crossed_Out_Shipping">
                <anchor>
                  <from>
                    <xdr:col>9</xdr:col>
                    <xdr:colOff>2276475</xdr:colOff>
                    <xdr:row>1</xdr:row>
                    <xdr:rowOff>180975</xdr:rowOff>
                  </from>
                  <to>
                    <xdr:col>11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Priority Sheet</vt:lpstr>
      <vt:lpstr>DELIVERY SCHEDULE</vt:lpstr>
      <vt:lpstr>'DELIVERY SCHEDULE'!Print_Titles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Lee</dc:creator>
  <cp:lastModifiedBy>Sam</cp:lastModifiedBy>
  <cp:lastPrinted>2025-09-22T13:54:15Z</cp:lastPrinted>
  <dcterms:created xsi:type="dcterms:W3CDTF">2025-07-03T15:07:35Z</dcterms:created>
  <dcterms:modified xsi:type="dcterms:W3CDTF">2025-10-27T18:29:28Z</dcterms:modified>
</cp:coreProperties>
</file>