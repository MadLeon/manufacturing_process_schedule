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 codeName="{DD97A8EA-9A9A-E61F-A557-7D5A7D7259CE}"/>
  <workbookPr filterPrivacy="1" codeName="ThisWorkbook" defaultThemeVersion="124226"/>
  <xr:revisionPtr revIDLastSave="0" documentId="13_ncr:1_{7827F4AF-7CE0-41A7-B8BF-874EABE3E4F3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Sep. 2025" sheetId="3" r:id="rId1"/>
    <sheet name="Oct. 2025" sheetId="4" r:id="rId2"/>
    <sheet name="Nov. 2025" sheetId="7" r:id="rId3"/>
    <sheet name="Tool" sheetId="1" r:id="rId4"/>
    <sheet name="Details" sheetId="2" r:id="rId5"/>
    <sheet name="Standard" sheetId="6" r:id="rId6"/>
    <sheet name="Manufacturing Process" sheetId="5" r:id="rId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8" i="7" l="1"/>
  <c r="D117" i="7"/>
  <c r="D108" i="7" l="1"/>
  <c r="D109" i="7"/>
  <c r="D110" i="7"/>
  <c r="D111" i="7"/>
  <c r="D112" i="7"/>
  <c r="D113" i="7"/>
  <c r="D114" i="7"/>
  <c r="D115" i="7"/>
  <c r="D116" i="7"/>
  <c r="D101" i="7" l="1"/>
  <c r="D97" i="7"/>
  <c r="D98" i="7"/>
  <c r="D99" i="7"/>
  <c r="D100" i="7"/>
  <c r="D102" i="7"/>
  <c r="D103" i="7"/>
  <c r="D104" i="7"/>
  <c r="D105" i="7"/>
  <c r="D106" i="7"/>
  <c r="D107" i="7"/>
  <c r="D96" i="7"/>
  <c r="D94" i="7"/>
  <c r="D95" i="7"/>
  <c r="D85" i="7"/>
  <c r="D86" i="7"/>
  <c r="D87" i="7"/>
  <c r="D88" i="7"/>
  <c r="D89" i="7"/>
  <c r="D90" i="7"/>
  <c r="D91" i="7"/>
  <c r="D92" i="7"/>
  <c r="D93" i="7"/>
  <c r="D76" i="7"/>
  <c r="D77" i="7"/>
  <c r="D78" i="7"/>
  <c r="D79" i="7"/>
  <c r="D80" i="7"/>
  <c r="D81" i="7"/>
  <c r="D82" i="7"/>
  <c r="D83" i="7"/>
  <c r="D84" i="7"/>
  <c r="D75" i="7"/>
  <c r="D74" i="7"/>
  <c r="D67" i="7" l="1"/>
  <c r="D58" i="7"/>
  <c r="D59" i="7"/>
  <c r="D60" i="7"/>
  <c r="D61" i="7"/>
  <c r="D62" i="7"/>
  <c r="D63" i="7"/>
  <c r="D64" i="7"/>
  <c r="D65" i="7"/>
  <c r="D66" i="7"/>
  <c r="D69" i="7"/>
  <c r="D70" i="7"/>
  <c r="D71" i="7"/>
  <c r="D72" i="7"/>
  <c r="D73" i="7"/>
  <c r="D5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4" i="7"/>
  <c r="D3" i="7"/>
  <c r="D2" i="7"/>
  <c r="D143" i="4" l="1"/>
  <c r="D146" i="4"/>
  <c r="D147" i="4"/>
  <c r="D150" i="4"/>
  <c r="D151" i="4"/>
  <c r="D152" i="4"/>
  <c r="D153" i="4"/>
  <c r="D154" i="4"/>
  <c r="D155" i="4"/>
  <c r="D141" i="4" l="1"/>
  <c r="D142" i="4"/>
  <c r="D139" i="4"/>
  <c r="D140" i="4"/>
  <c r="D137" i="4"/>
  <c r="D138" i="4"/>
  <c r="D136" i="4"/>
  <c r="D135" i="4"/>
  <c r="D134" i="4"/>
  <c r="D133" i="4"/>
  <c r="D132" i="4"/>
  <c r="D131" i="4"/>
  <c r="D130" i="4"/>
  <c r="D128" i="4"/>
  <c r="D129" i="4"/>
  <c r="D127" i="4" l="1"/>
  <c r="D126" i="4"/>
  <c r="D125" i="4"/>
  <c r="D124" i="4" l="1"/>
  <c r="D123" i="4"/>
  <c r="D122" i="4"/>
  <c r="D119" i="4"/>
  <c r="D120" i="4"/>
  <c r="D121" i="4"/>
  <c r="D118" i="4"/>
  <c r="D116" i="4"/>
  <c r="D117" i="4"/>
  <c r="D115" i="4" l="1"/>
  <c r="D114" i="4"/>
  <c r="D113" i="4"/>
  <c r="D112" i="4"/>
  <c r="D111" i="4"/>
  <c r="D110" i="4"/>
  <c r="D109" i="4"/>
  <c r="D108" i="4"/>
  <c r="D107" i="4"/>
  <c r="D106" i="4"/>
  <c r="D105" i="4"/>
  <c r="D102" i="4" l="1"/>
  <c r="D103" i="4"/>
  <c r="D104" i="4"/>
  <c r="D100" i="4"/>
  <c r="D101" i="4"/>
  <c r="D99" i="4" l="1"/>
  <c r="D98" i="4"/>
  <c r="D97" i="4"/>
  <c r="D96" i="4"/>
  <c r="D94" i="4"/>
  <c r="D95" i="4"/>
  <c r="D92" i="4" l="1"/>
  <c r="D91" i="4"/>
  <c r="D93" i="4"/>
  <c r="D90" i="4"/>
  <c r="D89" i="4"/>
  <c r="D88" i="4"/>
  <c r="D86" i="4"/>
  <c r="D87" i="4"/>
  <c r="D84" i="4"/>
  <c r="D85" i="4"/>
  <c r="D82" i="4"/>
  <c r="D83" i="4"/>
  <c r="D81" i="4"/>
  <c r="D80" i="4"/>
  <c r="D79" i="4"/>
  <c r="D78" i="4"/>
  <c r="D77" i="4"/>
  <c r="D72" i="4"/>
  <c r="D73" i="4"/>
  <c r="D74" i="4"/>
  <c r="D75" i="4"/>
  <c r="D76" i="4"/>
  <c r="D71" i="4" l="1"/>
  <c r="D70" i="4"/>
  <c r="D68" i="4"/>
  <c r="D69" i="4"/>
  <c r="D67" i="4"/>
  <c r="D66" i="4"/>
  <c r="D64" i="4"/>
  <c r="D65" i="4"/>
  <c r="D61" i="4"/>
  <c r="D62" i="4"/>
  <c r="D63" i="4"/>
  <c r="D56" i="4"/>
  <c r="D57" i="4"/>
  <c r="D58" i="4"/>
  <c r="D59" i="4"/>
  <c r="D60" i="4"/>
  <c r="D52" i="4"/>
  <c r="D53" i="4"/>
  <c r="D54" i="4"/>
  <c r="D55" i="4"/>
  <c r="D51" i="4"/>
  <c r="D50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30" i="4"/>
  <c r="D31" i="4"/>
  <c r="D32" i="4"/>
  <c r="D33" i="4"/>
  <c r="D48" i="4"/>
  <c r="D49" i="4"/>
  <c r="D28" i="4"/>
  <c r="D29" i="4"/>
  <c r="D23" i="4"/>
  <c r="D2" i="4"/>
  <c r="D3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4" i="4"/>
  <c r="D25" i="4"/>
  <c r="D26" i="4"/>
  <c r="D27" i="4"/>
  <c r="D4" i="4"/>
  <c r="D34" i="3" l="1"/>
  <c r="D35" i="3"/>
  <c r="D16" i="3"/>
  <c r="D17" i="3"/>
  <c r="D14" i="3"/>
  <c r="D15" i="3"/>
  <c r="D12" i="3"/>
  <c r="D13" i="3"/>
  <c r="D10" i="3"/>
  <c r="D11" i="3"/>
  <c r="D9" i="3"/>
  <c r="D6" i="3"/>
  <c r="D7" i="3"/>
  <c r="D8" i="3"/>
  <c r="D31" i="3"/>
  <c r="D27" i="3"/>
  <c r="D28" i="3"/>
  <c r="D29" i="3"/>
  <c r="D30" i="3"/>
  <c r="D36" i="3"/>
  <c r="D20" i="3"/>
  <c r="D21" i="3"/>
  <c r="D3" i="3"/>
  <c r="D4" i="3"/>
  <c r="D5" i="3"/>
  <c r="D2" i="3" l="1"/>
  <c r="D32" i="3"/>
  <c r="D33" i="3"/>
  <c r="D18" i="3"/>
  <c r="D19" i="3"/>
  <c r="D22" i="3"/>
  <c r="D23" i="3"/>
  <c r="D24" i="3"/>
  <c r="D25" i="3"/>
  <c r="D26" i="3"/>
  <c r="D87" i="3"/>
  <c r="D159" i="3" l="1"/>
  <c r="D158" i="3"/>
  <c r="D157" i="3"/>
  <c r="D156" i="3"/>
  <c r="D155" i="3"/>
  <c r="D154" i="3"/>
  <c r="D153" i="3"/>
  <c r="D151" i="3"/>
  <c r="D150" i="3"/>
  <c r="D149" i="3"/>
  <c r="D148" i="3"/>
  <c r="D147" i="3"/>
  <c r="D146" i="3"/>
  <c r="D145" i="3"/>
  <c r="D144" i="3"/>
  <c r="D143" i="3"/>
  <c r="D142" i="3"/>
  <c r="D141" i="3"/>
  <c r="D140" i="3"/>
  <c r="D139" i="3"/>
  <c r="D138" i="3"/>
  <c r="D137" i="3"/>
  <c r="D136" i="3"/>
  <c r="D135" i="3"/>
  <c r="D134" i="3"/>
  <c r="D133" i="3"/>
  <c r="D132" i="3"/>
  <c r="D131" i="3"/>
  <c r="D130" i="3"/>
  <c r="D129" i="3"/>
  <c r="D128" i="3"/>
  <c r="D126" i="3"/>
  <c r="D125" i="3"/>
  <c r="D124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50" i="2" l="1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I216" i="2" l="1"/>
  <c r="I215" i="2"/>
  <c r="I214" i="2"/>
  <c r="I213" i="2"/>
  <c r="I212" i="2"/>
  <c r="I211" i="2"/>
  <c r="I210" i="2"/>
  <c r="I209" i="2"/>
  <c r="I208" i="2"/>
  <c r="I207" i="2"/>
  <c r="I206" i="2"/>
  <c r="I205" i="2"/>
  <c r="I204" i="2"/>
  <c r="I203" i="2"/>
  <c r="I202" i="2"/>
  <c r="I201" i="2"/>
  <c r="I200" i="2"/>
  <c r="I199" i="2"/>
  <c r="I198" i="2"/>
  <c r="I197" i="2"/>
  <c r="I196" i="2"/>
  <c r="I195" i="2"/>
  <c r="I194" i="2"/>
  <c r="I193" i="2"/>
  <c r="I192" i="2"/>
  <c r="I191" i="2"/>
  <c r="I190" i="2"/>
  <c r="I189" i="2"/>
  <c r="I188" i="2"/>
  <c r="I187" i="2"/>
  <c r="I186" i="2"/>
  <c r="I185" i="2"/>
  <c r="I184" i="2"/>
  <c r="I183" i="2"/>
  <c r="I182" i="2"/>
  <c r="I181" i="2"/>
  <c r="I180" i="2"/>
  <c r="I179" i="2"/>
  <c r="I178" i="2"/>
  <c r="I177" i="2"/>
  <c r="I176" i="2"/>
  <c r="I175" i="2"/>
  <c r="I174" i="2"/>
  <c r="I173" i="2"/>
  <c r="I172" i="2"/>
  <c r="I171" i="2"/>
  <c r="I170" i="2"/>
  <c r="I169" i="2"/>
  <c r="I168" i="2"/>
  <c r="I167" i="2"/>
  <c r="I166" i="2"/>
  <c r="I165" i="2"/>
  <c r="I164" i="2"/>
  <c r="I163" i="2"/>
  <c r="I162" i="2"/>
  <c r="I161" i="2"/>
  <c r="I160" i="2"/>
  <c r="I159" i="2"/>
  <c r="I158" i="2"/>
  <c r="I157" i="2"/>
  <c r="I156" i="2"/>
  <c r="I155" i="2"/>
  <c r="I154" i="2"/>
  <c r="I153" i="2"/>
  <c r="I152" i="2"/>
  <c r="I151" i="2"/>
  <c r="I150" i="2"/>
  <c r="I149" i="2"/>
  <c r="I148" i="2"/>
  <c r="I147" i="2"/>
  <c r="I146" i="2"/>
  <c r="I145" i="2"/>
  <c r="I144" i="2"/>
  <c r="I143" i="2"/>
  <c r="I142" i="2"/>
  <c r="I141" i="2"/>
  <c r="I140" i="2"/>
  <c r="I139" i="2"/>
  <c r="I138" i="2"/>
  <c r="I137" i="2"/>
  <c r="I136" i="2"/>
  <c r="I135" i="2"/>
  <c r="I134" i="2"/>
  <c r="I133" i="2"/>
  <c r="I132" i="2"/>
  <c r="I131" i="2"/>
  <c r="I130" i="2"/>
  <c r="I129" i="2"/>
  <c r="I128" i="2"/>
  <c r="I127" i="2"/>
  <c r="I126" i="2"/>
  <c r="I125" i="2"/>
  <c r="I124" i="2"/>
  <c r="I123" i="2"/>
  <c r="I122" i="2"/>
  <c r="I121" i="2"/>
  <c r="I120" i="2"/>
  <c r="I119" i="2"/>
  <c r="I118" i="2"/>
  <c r="I117" i="2"/>
  <c r="I116" i="2"/>
  <c r="I115" i="2"/>
  <c r="I114" i="2"/>
  <c r="I113" i="2"/>
  <c r="I112" i="2"/>
  <c r="I111" i="2"/>
  <c r="I110" i="2"/>
  <c r="I109" i="2"/>
  <c r="I108" i="2"/>
  <c r="I107" i="2"/>
  <c r="I106" i="2"/>
  <c r="I105" i="2"/>
  <c r="I104" i="2"/>
  <c r="I103" i="2"/>
  <c r="I102" i="2"/>
  <c r="I101" i="2"/>
  <c r="I100" i="2"/>
  <c r="I99" i="2"/>
  <c r="I98" i="2"/>
  <c r="I97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I2" i="2"/>
  <c r="C8" i="1" l="1"/>
  <c r="D8" i="1" s="1"/>
</calcChain>
</file>

<file path=xl/sharedStrings.xml><?xml version="1.0" encoding="utf-8"?>
<sst xmlns="http://schemas.openxmlformats.org/spreadsheetml/2006/main" count="2863" uniqueCount="927">
  <si>
    <t>Micrometer (S-2096)</t>
  </si>
  <si>
    <t>Micrometer (S-2097)</t>
  </si>
  <si>
    <t>Micrometer (S-2098)</t>
  </si>
  <si>
    <t>0-40"</t>
  </si>
  <si>
    <t>Vernier Caliper (S-2129)</t>
  </si>
  <si>
    <t>Faro Laser Tracker (SP-5106)</t>
  </si>
  <si>
    <t>Micrometer (S-2139)</t>
  </si>
  <si>
    <t>Bore Gauge (S-5078)</t>
  </si>
  <si>
    <t>.7" - 1.4"</t>
  </si>
  <si>
    <t>Bore Gauge (S-2116)</t>
  </si>
  <si>
    <t>2" - 12.4"</t>
  </si>
  <si>
    <t>Height Gauge (S-2005)</t>
  </si>
  <si>
    <t>Thread Micrometer (S-2078)</t>
  </si>
  <si>
    <t>0-1"</t>
  </si>
  <si>
    <t>Pin Gauge (S-2123)</t>
  </si>
  <si>
    <t>Pin Gauge (S-2124)</t>
  </si>
  <si>
    <t>Pin Gauge (S-2125)</t>
  </si>
  <si>
    <t>Pin Gauge (S-2126)</t>
  </si>
  <si>
    <t>.501"-.625"</t>
  </si>
  <si>
    <t>.626"-.750"</t>
  </si>
  <si>
    <t>.751"-.832"</t>
  </si>
  <si>
    <t>.833"-.916"</t>
  </si>
  <si>
    <t>.917"-1.000"</t>
  </si>
  <si>
    <t>Pin Gauge (S-2127)</t>
  </si>
  <si>
    <t xml:space="preserve"> .011" - .060"</t>
  </si>
  <si>
    <t>.061" - .250"</t>
  </si>
  <si>
    <t>.250" - .500"</t>
  </si>
  <si>
    <t>Pin Gauge (S-2136)</t>
  </si>
  <si>
    <t>Pin Gauge (S-2137)</t>
  </si>
  <si>
    <t>Pin Gauge (S-2135)</t>
  </si>
  <si>
    <t>Telescopic Gauge (S-2016)</t>
  </si>
  <si>
    <t>0-1</t>
  </si>
  <si>
    <t>1-2</t>
  </si>
  <si>
    <t>2-3</t>
  </si>
  <si>
    <t>3-4</t>
  </si>
  <si>
    <t>Angle Protractor Ruler (S-2069)</t>
  </si>
  <si>
    <t>Vernier Caliper (S-2144)</t>
  </si>
  <si>
    <t>Radius Gauge Set (S-2014)</t>
  </si>
  <si>
    <t xml:space="preserve"> Faro Arm Quantum (SP-5105)</t>
  </si>
  <si>
    <t>⌀</t>
  </si>
  <si>
    <t>°</t>
  </si>
  <si>
    <t>↧</t>
  </si>
  <si>
    <t>⌴</t>
  </si>
  <si>
    <t>⌵</t>
  </si>
  <si>
    <t>~</t>
  </si>
  <si>
    <t>0000-1</t>
  </si>
  <si>
    <t>©</t>
  </si>
  <si>
    <t>copy right</t>
  </si>
  <si>
    <t xml:space="preserve"> </t>
  </si>
  <si>
    <t>C45°</t>
  </si>
  <si>
    <t xml:space="preserve">Ø </t>
  </si>
  <si>
    <t>Digital Depth Caliper (S-2150)</t>
  </si>
  <si>
    <t>Micrometer (S-2118)</t>
  </si>
  <si>
    <t>1/4-20UNC</t>
  </si>
  <si>
    <t>SIZE</t>
  </si>
  <si>
    <t>TOOLS</t>
  </si>
  <si>
    <t>Thread Gauge (S-2093-3)</t>
  </si>
  <si>
    <t>M5X0.8-6H</t>
  </si>
  <si>
    <t xml:space="preserve">Thread Gauge </t>
  </si>
  <si>
    <t>`</t>
  </si>
  <si>
    <t>1/2-13 UNC-2A</t>
  </si>
  <si>
    <t>Thread Gauge (S-2093-19)</t>
  </si>
  <si>
    <t>M12X1.75</t>
  </si>
  <si>
    <t>Thread Gauge (S-2117-10)</t>
  </si>
  <si>
    <t>Equipment Name</t>
  </si>
  <si>
    <t>Description</t>
  </si>
  <si>
    <t>ID Tag</t>
  </si>
  <si>
    <t>Dept/Area</t>
  </si>
  <si>
    <t>Room</t>
  </si>
  <si>
    <t>Calibration Date</t>
  </si>
  <si>
    <t>Days Until</t>
  </si>
  <si>
    <t>Next Calibration Date</t>
  </si>
  <si>
    <t>Status</t>
  </si>
  <si>
    <t>Thread Plug Gauge</t>
  </si>
  <si>
    <t>.875-14 UNF-2B</t>
  </si>
  <si>
    <t>S-2121-2</t>
  </si>
  <si>
    <t>Inspection</t>
  </si>
  <si>
    <t xml:space="preserve">Inspection </t>
  </si>
  <si>
    <t>OUT FOR CALIBRATION</t>
  </si>
  <si>
    <t>1.000-12 UNF-2B</t>
  </si>
  <si>
    <t>S-2121-3</t>
  </si>
  <si>
    <t xml:space="preserve">1.000-14 UNS-2B </t>
  </si>
  <si>
    <t>S-1212</t>
  </si>
  <si>
    <t>1.2500-12 UNF-2B</t>
  </si>
  <si>
    <t>S-2154</t>
  </si>
  <si>
    <t>3/8-24 UNF-3B</t>
  </si>
  <si>
    <t>S-2093-1</t>
  </si>
  <si>
    <t>8-32 UNC-3B</t>
  </si>
  <si>
    <t>S-2093-33</t>
  </si>
  <si>
    <t>1.500-6 UNC-2B</t>
  </si>
  <si>
    <t>S-2121-8</t>
  </si>
  <si>
    <t>1/2-20 UNF-2B</t>
  </si>
  <si>
    <t>S-2121-10</t>
  </si>
  <si>
    <t>3/8-16 UNC-3B</t>
  </si>
  <si>
    <t>S-2093-5</t>
  </si>
  <si>
    <t>5/16-18 UNC-3B</t>
  </si>
  <si>
    <t>S-2093-4</t>
  </si>
  <si>
    <t>5/8-11 UNC-2B</t>
  </si>
  <si>
    <t>S-2121-4</t>
  </si>
  <si>
    <t>7/16-14 UNC-3B</t>
  </si>
  <si>
    <t>S-2093-6</t>
  </si>
  <si>
    <t>7/8-9 UNC-2B</t>
  </si>
  <si>
    <t>S-2121-5</t>
  </si>
  <si>
    <t>.1640-36 UNF-2B</t>
  </si>
  <si>
    <t>S-2121-16</t>
  </si>
  <si>
    <t>.164-32-UNC-3B</t>
  </si>
  <si>
    <t>S-2093-32</t>
  </si>
  <si>
    <t>1.000-8 UNC-2B</t>
  </si>
  <si>
    <t>S-2121-6</t>
  </si>
  <si>
    <t>3/4-10 UNC-2B</t>
  </si>
  <si>
    <t>S-2121-15</t>
  </si>
  <si>
    <t>5/8-18 UNF-2B</t>
  </si>
  <si>
    <t>S-2121-1</t>
  </si>
  <si>
    <t>M16 x 2.0 6H</t>
  </si>
  <si>
    <t>S-2117-1</t>
  </si>
  <si>
    <t>M20 x 2.5 6H</t>
  </si>
  <si>
    <t>S-2117-2</t>
  </si>
  <si>
    <t>M24 x 3.0 6H</t>
  </si>
  <si>
    <t>S-2117-3</t>
  </si>
  <si>
    <t>M3 x 0.5 6H</t>
  </si>
  <si>
    <t>S-2117-9</t>
  </si>
  <si>
    <t>M30 x 3.5 6H</t>
  </si>
  <si>
    <t>S-2117-4</t>
  </si>
  <si>
    <t>.1900-24 UNC-2B</t>
  </si>
  <si>
    <t>S-2121-20</t>
  </si>
  <si>
    <t>.1900-24 UNC-3B</t>
  </si>
  <si>
    <t>S-2093-35</t>
  </si>
  <si>
    <t>.1640-32 STI UNC-3B</t>
  </si>
  <si>
    <t>S-2155-4</t>
  </si>
  <si>
    <t>.1900-32 STI UNF-3B</t>
  </si>
  <si>
    <t>S-2155-5</t>
  </si>
  <si>
    <t>.2500-28 STI UNF-2B</t>
  </si>
  <si>
    <t>S-2155-6</t>
  </si>
  <si>
    <t>.2500-28 STI UNF-3B</t>
  </si>
  <si>
    <t>S-2155-7</t>
  </si>
  <si>
    <t>.2500-28 UNF-3B</t>
  </si>
  <si>
    <t>S-2155-8</t>
  </si>
  <si>
    <t>S-2059-10</t>
  </si>
  <si>
    <t>1/2-20 UNF-3B</t>
  </si>
  <si>
    <t>S-2093-15</t>
  </si>
  <si>
    <t>3/8-24 UNF-2B</t>
  </si>
  <si>
    <t>S-2121-22</t>
  </si>
  <si>
    <t>5/16-24 UNF-3B STI</t>
  </si>
  <si>
    <t>S-2093-14</t>
  </si>
  <si>
    <t>Go Thread Ring Gauge</t>
  </si>
  <si>
    <t>.5625-18 NF2</t>
  </si>
  <si>
    <t>S-2120-3</t>
  </si>
  <si>
    <t>.5625-18 UNF-2A</t>
  </si>
  <si>
    <t>S-2120-2</t>
  </si>
  <si>
    <t>.7500-10 UNC-2A</t>
  </si>
  <si>
    <t>S-2120-11</t>
  </si>
  <si>
    <t>.7500-16 UNF-2A</t>
  </si>
  <si>
    <t>S-2120-10</t>
  </si>
  <si>
    <t>.875-14 UNF-2A</t>
  </si>
  <si>
    <t>S-2120-9</t>
  </si>
  <si>
    <t>.875-9 UNC-2A</t>
  </si>
  <si>
    <t>S-2120-6</t>
  </si>
  <si>
    <t>1.000-12 UNF-2A</t>
  </si>
  <si>
    <t>S-2120-8</t>
  </si>
  <si>
    <t>1.000-8 UNC-2A</t>
  </si>
  <si>
    <t>S-2120-7</t>
  </si>
  <si>
    <t>1.250-7 UNC-2A</t>
  </si>
  <si>
    <t>S-2120-5</t>
  </si>
  <si>
    <t>1.500-6 UNC-2A</t>
  </si>
  <si>
    <t>S-2120-4</t>
  </si>
  <si>
    <t>.1640-36 UNF-2A</t>
  </si>
  <si>
    <t>S-2120-13</t>
  </si>
  <si>
    <t>.2500-20 UNC-3A</t>
  </si>
  <si>
    <t>S-2120-1</t>
  </si>
  <si>
    <t>1.250-7 UNC-2B</t>
  </si>
  <si>
    <t>S-2121-7</t>
  </si>
  <si>
    <t>1/2-13 UNC-3B</t>
  </si>
  <si>
    <t>S-2093-19</t>
  </si>
  <si>
    <t>3/4-10 UNC-3B</t>
  </si>
  <si>
    <t>S-2093-21</t>
  </si>
  <si>
    <t>5/8-11 UNC-2A</t>
  </si>
  <si>
    <t>S-2120-12</t>
  </si>
  <si>
    <t>5/8-11 UNC-3B</t>
  </si>
  <si>
    <t>S-2093-20</t>
  </si>
  <si>
    <t>5/8-18 UNF-3B</t>
  </si>
  <si>
    <t>S-2093-17</t>
  </si>
  <si>
    <t>S-2093-22</t>
  </si>
  <si>
    <t>M12 x 1.75 6H</t>
  </si>
  <si>
    <t>S-2117-10</t>
  </si>
  <si>
    <t>Thread Ring Gauge</t>
  </si>
  <si>
    <t>.5000-20 UNF-3A</t>
  </si>
  <si>
    <t>S-2120-14</t>
  </si>
  <si>
    <t>1/16-27 NPT L1</t>
  </si>
  <si>
    <t>S-2133</t>
  </si>
  <si>
    <t>1-11.5 NPT L1</t>
  </si>
  <si>
    <t>S-2132</t>
  </si>
  <si>
    <t>3/4-14 NPT L1</t>
  </si>
  <si>
    <t>S-2131</t>
  </si>
  <si>
    <t xml:space="preserve">Digital Caliper </t>
  </si>
  <si>
    <t>0-12"</t>
  </si>
  <si>
    <t>S-2144</t>
  </si>
  <si>
    <t>NOT COMPLETED</t>
  </si>
  <si>
    <t>S-2148</t>
  </si>
  <si>
    <t>0-24"</t>
  </si>
  <si>
    <t>S-2100</t>
  </si>
  <si>
    <t>Digital Depth Caliper</t>
  </si>
  <si>
    <t>0-6"</t>
  </si>
  <si>
    <t>S-2150</t>
  </si>
  <si>
    <t xml:space="preserve">Digital Micrometer </t>
  </si>
  <si>
    <t>S-2139</t>
  </si>
  <si>
    <t xml:space="preserve">Digital Vernier </t>
  </si>
  <si>
    <t>S-2130-1</t>
  </si>
  <si>
    <t>Groove Electric Caliper</t>
  </si>
  <si>
    <t>42mm - 361mm</t>
  </si>
  <si>
    <t>S-2122</t>
  </si>
  <si>
    <t xml:space="preserve">Indicator </t>
  </si>
  <si>
    <t>S-2065</t>
  </si>
  <si>
    <t xml:space="preserve">Micrometer </t>
  </si>
  <si>
    <t>0-30mm</t>
  </si>
  <si>
    <t>S-2095</t>
  </si>
  <si>
    <t>1"-2"</t>
  </si>
  <si>
    <t>S-2160</t>
  </si>
  <si>
    <t>100mm - 125mm</t>
  </si>
  <si>
    <t>S-2112</t>
  </si>
  <si>
    <t>2"-3"</t>
  </si>
  <si>
    <t>S-2161</t>
  </si>
  <si>
    <t>3"-4"</t>
  </si>
  <si>
    <t>S-2162</t>
  </si>
  <si>
    <t>5"-6"</t>
  </si>
  <si>
    <t>S-2163</t>
  </si>
  <si>
    <t>6"-7"</t>
  </si>
  <si>
    <t>SP-5069</t>
  </si>
  <si>
    <t>7' - 8"</t>
  </si>
  <si>
    <t>SP-5038</t>
  </si>
  <si>
    <t>8"-9"</t>
  </si>
  <si>
    <t>S-2118</t>
  </si>
  <si>
    <t xml:space="preserve">Protractor </t>
  </si>
  <si>
    <r>
      <t>0</t>
    </r>
    <r>
      <rPr>
        <sz val="10"/>
        <color theme="1"/>
        <rFont val="Arial"/>
        <family val="2"/>
      </rPr>
      <t>°-180°</t>
    </r>
  </si>
  <si>
    <t>S-2069</t>
  </si>
  <si>
    <t xml:space="preserve">Radius Gauge Set </t>
  </si>
  <si>
    <t>186-901</t>
  </si>
  <si>
    <t>S-2014</t>
  </si>
  <si>
    <t xml:space="preserve">Sine BAR </t>
  </si>
  <si>
    <t>5"</t>
  </si>
  <si>
    <t>S-2070</t>
  </si>
  <si>
    <t xml:space="preserve">Square </t>
  </si>
  <si>
    <t>13.5"x7"</t>
  </si>
  <si>
    <t>S-2099</t>
  </si>
  <si>
    <t>Thread Measuring Wire</t>
  </si>
  <si>
    <t>.018-.185"</t>
  </si>
  <si>
    <t>S-2092</t>
  </si>
  <si>
    <t xml:space="preserve">Thread Micrometer </t>
  </si>
  <si>
    <t>S-2078</t>
  </si>
  <si>
    <t>S-2080</t>
  </si>
  <si>
    <t>S-2081</t>
  </si>
  <si>
    <t>4'-5"</t>
  </si>
  <si>
    <t>S-2110</t>
  </si>
  <si>
    <t>S-2111</t>
  </si>
  <si>
    <t>Vernier Caliper</t>
  </si>
  <si>
    <t>S-2129-1</t>
  </si>
  <si>
    <t xml:space="preserve">Vernier Caliper </t>
  </si>
  <si>
    <t>S-2060</t>
  </si>
  <si>
    <t>Vertical Coordinate</t>
  </si>
  <si>
    <t>S-2005</t>
  </si>
  <si>
    <t xml:space="preserve">Surface Roughness </t>
  </si>
  <si>
    <t>Tester</t>
  </si>
  <si>
    <t>S-2141</t>
  </si>
  <si>
    <t>Coating Thickness Gauge</t>
  </si>
  <si>
    <t>Elcometer 456CFNFBS</t>
  </si>
  <si>
    <t>SP-5104-13</t>
  </si>
  <si>
    <t>DEA CMM</t>
  </si>
  <si>
    <t>Model 1204</t>
  </si>
  <si>
    <t>S-2082</t>
  </si>
  <si>
    <t xml:space="preserve"> COMPLETED</t>
  </si>
  <si>
    <t>Image Measuring System</t>
  </si>
  <si>
    <t>Image Measuring System(IM-7030)</t>
  </si>
  <si>
    <t>S-2157</t>
  </si>
  <si>
    <t xml:space="preserve">Bore Gauge </t>
  </si>
  <si>
    <t>.7' - 1.4"</t>
  </si>
  <si>
    <t>SP-5078</t>
  </si>
  <si>
    <t>1.4"-2.5"</t>
  </si>
  <si>
    <t>S-2166</t>
  </si>
  <si>
    <t>10"-16"</t>
  </si>
  <si>
    <t>S-2170</t>
  </si>
  <si>
    <t>10mm-18.5mm</t>
  </si>
  <si>
    <t>S-2165</t>
  </si>
  <si>
    <t>2"-6"</t>
  </si>
  <si>
    <t>S-2167</t>
  </si>
  <si>
    <t>4"-6.5"</t>
  </si>
  <si>
    <t>S-2168</t>
  </si>
  <si>
    <t>6.5"-10"</t>
  </si>
  <si>
    <t>S-2169</t>
  </si>
  <si>
    <t>6mm-10mm</t>
  </si>
  <si>
    <t>S-2164</t>
  </si>
  <si>
    <t>IM-8030 (Z-24624)</t>
  </si>
  <si>
    <t>S-2157-1</t>
  </si>
  <si>
    <t>Steel Plug Gauge</t>
  </si>
  <si>
    <t>.501" - .625"</t>
  </si>
  <si>
    <t>.251" - .500"</t>
  </si>
  <si>
    <t>.011" - .250"</t>
  </si>
  <si>
    <t xml:space="preserve">Hardness Tester </t>
  </si>
  <si>
    <t>S-2004</t>
  </si>
  <si>
    <t>Surface Plate</t>
  </si>
  <si>
    <t>48"x72"x14"</t>
  </si>
  <si>
    <t>S-2001</t>
  </si>
  <si>
    <t>S-2145</t>
  </si>
  <si>
    <t>Vantage</t>
  </si>
  <si>
    <t>FARO Laser Tracker</t>
  </si>
  <si>
    <t>SP-5106</t>
  </si>
  <si>
    <t xml:space="preserve">FARO ARM </t>
  </si>
  <si>
    <t>Quantum W25-S5-19-33026</t>
  </si>
  <si>
    <t>SP-5105</t>
  </si>
  <si>
    <t>Quantum Max S</t>
  </si>
  <si>
    <t>SP-5107</t>
  </si>
  <si>
    <t>1"-12 UNF-3B</t>
  </si>
  <si>
    <t>S-2093-18</t>
  </si>
  <si>
    <t>1"-8 UNC-3B</t>
  </si>
  <si>
    <t>S-2093-13</t>
  </si>
  <si>
    <t>1/2-14 NPT</t>
  </si>
  <si>
    <t>S-2137</t>
  </si>
  <si>
    <t>1/4-18 NPT</t>
  </si>
  <si>
    <t>S-2135</t>
  </si>
  <si>
    <t>1/4-20 UNC-3B</t>
  </si>
  <si>
    <t>S-2093-3</t>
  </si>
  <si>
    <t>1/4-28 UNF-3B</t>
  </si>
  <si>
    <t>S-2093-7</t>
  </si>
  <si>
    <t xml:space="preserve">1/8-27 NPT </t>
  </si>
  <si>
    <t>S-2134</t>
  </si>
  <si>
    <t>10-32 UNF-3B</t>
  </si>
  <si>
    <t>S-2093-2</t>
  </si>
  <si>
    <t>3/4-16 UNF-3B</t>
  </si>
  <si>
    <t>S-2093-12</t>
  </si>
  <si>
    <t>3/8-18 NPT</t>
  </si>
  <si>
    <t>S-2136</t>
  </si>
  <si>
    <t>4-40 UNC-3B</t>
  </si>
  <si>
    <t>S-2093-9</t>
  </si>
  <si>
    <t>5-40 UNC-3B</t>
  </si>
  <si>
    <t>S-2093-8</t>
  </si>
  <si>
    <t>6-32 UNC-3B</t>
  </si>
  <si>
    <t>S-2093-11</t>
  </si>
  <si>
    <t>6-40 UNF-3B</t>
  </si>
  <si>
    <t>S-2093-10</t>
  </si>
  <si>
    <t>M10 x 1.5 6H</t>
  </si>
  <si>
    <t>S-2117-6</t>
  </si>
  <si>
    <t>M4 x 0.7 6H</t>
  </si>
  <si>
    <t>S-2117-8</t>
  </si>
  <si>
    <t>M5 x 0.8 6H</t>
  </si>
  <si>
    <t>S-2117-7</t>
  </si>
  <si>
    <t>M6 x 1 6H</t>
  </si>
  <si>
    <t>S-2117-11</t>
  </si>
  <si>
    <t>M8 x 1.25 6H</t>
  </si>
  <si>
    <t>S-2117-5</t>
  </si>
  <si>
    <t>Gauge Block Set - Master (Inch)</t>
  </si>
  <si>
    <t>Set Inch (SN: 963125)</t>
  </si>
  <si>
    <t>S-2180</t>
  </si>
  <si>
    <t>Gauge Block Set - Working (Inch)</t>
  </si>
  <si>
    <t>Set Inch (SN: 1905921)</t>
  </si>
  <si>
    <t>S-2158</t>
  </si>
  <si>
    <t>Gauge Block Set - Working (Metric)</t>
  </si>
  <si>
    <t>Set Metric (SN: 2000796)</t>
  </si>
  <si>
    <t>S-2159</t>
  </si>
  <si>
    <t>5/16-24 UNF-3B</t>
  </si>
  <si>
    <t>S-2093-24</t>
  </si>
  <si>
    <t>1/2-20 UNF-2A (GO)</t>
  </si>
  <si>
    <t>S-2129</t>
  </si>
  <si>
    <t>5/8-11 UNC-2A (GO)</t>
  </si>
  <si>
    <t>S-2127</t>
  </si>
  <si>
    <t>No Go Thread Ring Gauge</t>
  </si>
  <si>
    <t>5/8-11 UNC-2A (NO GO)</t>
  </si>
  <si>
    <t>S-2128</t>
  </si>
  <si>
    <t>M2 x 0.4 6H</t>
  </si>
  <si>
    <t>S-2117-12</t>
  </si>
  <si>
    <t>1.25-11.5 NPT</t>
  </si>
  <si>
    <t>S-2138</t>
  </si>
  <si>
    <t>9/16-18 UNF-3B</t>
  </si>
  <si>
    <t>S-2093-16</t>
  </si>
  <si>
    <t>1/2-20 UNF-2A (NO GO)</t>
  </si>
  <si>
    <t>S-2130</t>
  </si>
  <si>
    <t>10-24 UNC-3B</t>
  </si>
  <si>
    <t>S-2093-28</t>
  </si>
  <si>
    <t>7/16/20 UNF-2B</t>
  </si>
  <si>
    <t>S-2172</t>
  </si>
  <si>
    <t>1/2-12 UNC-2A NOGO</t>
  </si>
  <si>
    <t>S-2171-46</t>
  </si>
  <si>
    <t>1/2-13 UNC-2A GO</t>
  </si>
  <si>
    <t>S-2171-45</t>
  </si>
  <si>
    <t>1/2-20 UNF-2A GO</t>
  </si>
  <si>
    <t>S-2171-47</t>
  </si>
  <si>
    <t>1/2-20 UNF-2A NOGO</t>
  </si>
  <si>
    <t>S-2171-48</t>
  </si>
  <si>
    <t>1/4-20 UNC-2A GO</t>
  </si>
  <si>
    <t>S-2171-27</t>
  </si>
  <si>
    <t>1/4-20 UNC-2A NOGO</t>
  </si>
  <si>
    <t>S-2171-28</t>
  </si>
  <si>
    <t>1/4-28 UNF-2A GO</t>
  </si>
  <si>
    <t>S-2171-29</t>
  </si>
  <si>
    <t>1/4-28 UNF-2A NOGO</t>
  </si>
  <si>
    <t>S-2171-30</t>
  </si>
  <si>
    <t>1/4-32 UNEF-2A GO</t>
  </si>
  <si>
    <t>S-2171-31</t>
  </si>
  <si>
    <t>1/4-32 UNEF-2A NOGO</t>
  </si>
  <si>
    <t>S-2171-32</t>
  </si>
  <si>
    <t>10-24 UNC-2A GO</t>
  </si>
  <si>
    <t>S-2171-17</t>
  </si>
  <si>
    <t>10-24 UNC-2A NOGO</t>
  </si>
  <si>
    <t>S-2171-18</t>
  </si>
  <si>
    <t>10-32 UNF-2A GO</t>
  </si>
  <si>
    <t>S-2171-19</t>
  </si>
  <si>
    <t>10-32 UNF-2A NOGO</t>
  </si>
  <si>
    <t>S-2171-20</t>
  </si>
  <si>
    <t>11/16-16 UNC-2A GO</t>
  </si>
  <si>
    <t>S-2171-57</t>
  </si>
  <si>
    <t>11/16-16 UNC-2A NOGO</t>
  </si>
  <si>
    <t>S-2171-58</t>
  </si>
  <si>
    <t>1-12 UNF-2A GO</t>
  </si>
  <si>
    <t>S-2171-71</t>
  </si>
  <si>
    <t>1-12 UNF-2A NOGO</t>
  </si>
  <si>
    <t>S-2171-72</t>
  </si>
  <si>
    <t>12-24 UNC-2A GO</t>
  </si>
  <si>
    <t>S-2171-21</t>
  </si>
  <si>
    <t>12-24 UNC-2A NOGO</t>
  </si>
  <si>
    <t>S-2171-22</t>
  </si>
  <si>
    <t>12-28 UNF-2A GO</t>
  </si>
  <si>
    <t>S-2171-23</t>
  </si>
  <si>
    <t>12-28 UNF-2A NOGO</t>
  </si>
  <si>
    <t>S-2171-24</t>
  </si>
  <si>
    <t>12-32 UNEF-2A GO</t>
  </si>
  <si>
    <t>S-2171-25</t>
  </si>
  <si>
    <t>12-32 UNEF-2A NOGO</t>
  </si>
  <si>
    <t>S-2171-26</t>
  </si>
  <si>
    <t>13/16-16 UN-2A GO</t>
  </si>
  <si>
    <t>S-2171-63</t>
  </si>
  <si>
    <t>13/16-16 UN-2A NOGO</t>
  </si>
  <si>
    <t>S-2171-64</t>
  </si>
  <si>
    <t>13/16-20 UNEF-2A GO</t>
  </si>
  <si>
    <t>S-2171-65</t>
  </si>
  <si>
    <t>13/16-20 UNEF-2A NOGO</t>
  </si>
  <si>
    <t>S-2171-66</t>
  </si>
  <si>
    <t>1-8 UNC-2A GO</t>
  </si>
  <si>
    <t>S-2171-69</t>
  </si>
  <si>
    <t>1-8 UNC-2A NOGO</t>
  </si>
  <si>
    <t>S-2171-70</t>
  </si>
  <si>
    <t>3/4-10 UNC-2A GO</t>
  </si>
  <si>
    <t>S-2171-59</t>
  </si>
  <si>
    <t>3/4-10 UNC-2A NOGO</t>
  </si>
  <si>
    <t>S-2171-60</t>
  </si>
  <si>
    <t>3/4-16 UNF-2A GO</t>
  </si>
  <si>
    <t>S-2171-61</t>
  </si>
  <si>
    <t>3/4-16 UNF-2A NOGO</t>
  </si>
  <si>
    <t>S-2171-62</t>
  </si>
  <si>
    <t>3/8-16 UNC-2A GO</t>
  </si>
  <si>
    <t>S-2171-37</t>
  </si>
  <si>
    <t>3/8-16 UNC-2A NOGO</t>
  </si>
  <si>
    <t>S-2171-38</t>
  </si>
  <si>
    <t>3/8-24 UNF-2A GO</t>
  </si>
  <si>
    <t>S-2171-39</t>
  </si>
  <si>
    <t>3/8-24 UNF-2A NOGO</t>
  </si>
  <si>
    <t>S-2171-40</t>
  </si>
  <si>
    <t>4-40 UNC-2A GO</t>
  </si>
  <si>
    <t>S-2171-1</t>
  </si>
  <si>
    <t>4-40 UNC-2A NOGO</t>
  </si>
  <si>
    <t>S-2171-2</t>
  </si>
  <si>
    <t>4-48 UNF-2A GO</t>
  </si>
  <si>
    <t>S-2171-3</t>
  </si>
  <si>
    <t>4-48 UNF-2A NOGO</t>
  </si>
  <si>
    <t>S-2171-4</t>
  </si>
  <si>
    <t>5/16-18 UNC-2A GO</t>
  </si>
  <si>
    <t>S-2171-33</t>
  </si>
  <si>
    <t>5/16-18 UNC-2A NOGO</t>
  </si>
  <si>
    <t>S-2171-34</t>
  </si>
  <si>
    <t>5/16-24 UNF-2A GO</t>
  </si>
  <si>
    <t>S-2171-35</t>
  </si>
  <si>
    <t>5/16-24 UNF-2A NOGO</t>
  </si>
  <si>
    <t>S-2171-36</t>
  </si>
  <si>
    <t>5/8-11 UNC-2A GO</t>
  </si>
  <si>
    <t>S-2171-53</t>
  </si>
  <si>
    <t>5/8-11 UNC-2A NOGO</t>
  </si>
  <si>
    <t>S-2171-54</t>
  </si>
  <si>
    <t>5/8-18 UNF-2A GO</t>
  </si>
  <si>
    <t>S-2171-55</t>
  </si>
  <si>
    <t>5/8-18 UNF-2A NOGO</t>
  </si>
  <si>
    <t>S-2171-56</t>
  </si>
  <si>
    <t>5-40 UNC-2A GO</t>
  </si>
  <si>
    <t>S-2171-5</t>
  </si>
  <si>
    <t>5-40 UNC-2A NOGO</t>
  </si>
  <si>
    <t>S-2171-6</t>
  </si>
  <si>
    <t>5-44 UNF-2A GO</t>
  </si>
  <si>
    <t>S-2171-7</t>
  </si>
  <si>
    <t>5-44 UNF-2A NOGO</t>
  </si>
  <si>
    <t>S-2171-8</t>
  </si>
  <si>
    <t>6-32 UNC-2A GO</t>
  </si>
  <si>
    <t>S-2171-9</t>
  </si>
  <si>
    <t>6-32 UNC-2A NOGO</t>
  </si>
  <si>
    <t>S-2171-10</t>
  </si>
  <si>
    <t>6-40 UNF-2A GO</t>
  </si>
  <si>
    <t>S-2171-11</t>
  </si>
  <si>
    <t>6-40 UNF-2A NOGO</t>
  </si>
  <si>
    <t>S-2171-12</t>
  </si>
  <si>
    <t>7/16-14 UNC-2A GO</t>
  </si>
  <si>
    <t>S-2171-41</t>
  </si>
  <si>
    <t>7/16-14 UNC-2A NOGO</t>
  </si>
  <si>
    <t>S-2171-42</t>
  </si>
  <si>
    <t>7/16-20 UNF-2A GO</t>
  </si>
  <si>
    <t>S-2171-43</t>
  </si>
  <si>
    <t>7/16-20 UNF-2A NOGO</t>
  </si>
  <si>
    <t>S-2171-44</t>
  </si>
  <si>
    <t>7/8-9 UNC-2A GO</t>
  </si>
  <si>
    <t>S-2171-67</t>
  </si>
  <si>
    <t>7/8-9 UNC-2A NOGO</t>
  </si>
  <si>
    <t>S-2171-68</t>
  </si>
  <si>
    <t>8-32 UNC-2A GO</t>
  </si>
  <si>
    <t>S-2171-13</t>
  </si>
  <si>
    <t>8-32 UNC-2A NOGO</t>
  </si>
  <si>
    <t>S-2171-14</t>
  </si>
  <si>
    <t>8-36 UNF-2A GO</t>
  </si>
  <si>
    <t>S-2171-15</t>
  </si>
  <si>
    <t>8-36 UNF-2A NOGO</t>
  </si>
  <si>
    <t>S-2171-16</t>
  </si>
  <si>
    <t>9/16-12 UNC-2A GO</t>
  </si>
  <si>
    <t>S-2171-49</t>
  </si>
  <si>
    <t>9/16-12 UNC-2A NOGO</t>
  </si>
  <si>
    <t>S-2171-50</t>
  </si>
  <si>
    <t>9/16-18 UNF-2A GO</t>
  </si>
  <si>
    <t>S-2171-51</t>
  </si>
  <si>
    <t>9/16-18 UNF-2A NOGO</t>
  </si>
  <si>
    <t>S-2171-52</t>
  </si>
  <si>
    <t xml:space="preserve">V-Blocks </t>
  </si>
  <si>
    <t>1 &amp; 2</t>
  </si>
  <si>
    <t>S-2029</t>
  </si>
  <si>
    <t xml:space="preserve">      </t>
  </si>
  <si>
    <t>Keyence IMS (S-2157-1)</t>
  </si>
  <si>
    <t xml:space="preserve"> Faro Arm Quantum S Max(SP-5107)</t>
  </si>
  <si>
    <t>Thread Gauge ()</t>
  </si>
  <si>
    <t>Micrometer (S-2095)</t>
  </si>
  <si>
    <t>Roughness Tester (S-2141)</t>
  </si>
  <si>
    <t>Output</t>
  </si>
  <si>
    <t>Drawing Number</t>
  </si>
  <si>
    <t>File Name</t>
  </si>
  <si>
    <t>DIR</t>
  </si>
  <si>
    <t>Markup</t>
  </si>
  <si>
    <t>Check Marks</t>
  </si>
  <si>
    <t>RT-87550-0104-01-DD-D</t>
  </si>
  <si>
    <t>2025.09.18</t>
  </si>
  <si>
    <t>☑</t>
  </si>
  <si>
    <t>☐</t>
  </si>
  <si>
    <t>RT-87550-0105-01-DD-C</t>
  </si>
  <si>
    <t>RT-87550-0107-01-DD-C</t>
  </si>
  <si>
    <t>RT-87550-0108-01-DD-C</t>
  </si>
  <si>
    <t>RT-87550-0109-01-DD-C</t>
  </si>
  <si>
    <t>RT-87550-0111-01-DD-C</t>
  </si>
  <si>
    <t>RT-87550-0113-01-DD-C</t>
  </si>
  <si>
    <t>RT-87550-0115-01-DD-C</t>
  </si>
  <si>
    <t>RT-87550-0116-01-DD-C</t>
  </si>
  <si>
    <t>RT-87550-0118-01-DD-C</t>
  </si>
  <si>
    <t>RT-87550-0122-01-DD-C</t>
  </si>
  <si>
    <t>RT-87550-0123-01-DD-C</t>
  </si>
  <si>
    <t>RT-87550-0124-01-DD-C</t>
  </si>
  <si>
    <t>RT-87550-0125-01-DD-C</t>
  </si>
  <si>
    <t>RT-87550-0126-01-DD-C</t>
  </si>
  <si>
    <t>RT-87550-0127-01-DD-C</t>
  </si>
  <si>
    <t>RT-87550-0128-01-DD-C</t>
  </si>
  <si>
    <t>RT-87550-0129-01-DD-C</t>
  </si>
  <si>
    <t>RT-87550-0130-01-DD-C</t>
  </si>
  <si>
    <t>RT-87550-0136-01-DD-D</t>
  </si>
  <si>
    <t>RT-87550-0138-01-DD-C</t>
  </si>
  <si>
    <t>RT-87550-0139-01-DD-C</t>
  </si>
  <si>
    <t>RT-87550-0140-01-DD-C</t>
  </si>
  <si>
    <t>RT-87550-0148-01-DD-C</t>
  </si>
  <si>
    <t>RT-87550-0149-01-DD-C</t>
  </si>
  <si>
    <t>RT-87550-0162-01-DD-C</t>
  </si>
  <si>
    <t>RT-87550-0166-01-GA-C</t>
  </si>
  <si>
    <t>RT-87550-0167-01-DD-C</t>
  </si>
  <si>
    <t>RT-87550-0173-01-DD-C</t>
  </si>
  <si>
    <t>RT-87550-0174-01-DD-C</t>
  </si>
  <si>
    <t>RT-87550-0175-01-DD-C</t>
  </si>
  <si>
    <t>RT-87550-0192-01-DD-C</t>
  </si>
  <si>
    <t>RT-87550-0301-01-DD-C</t>
  </si>
  <si>
    <t>RT-87550-0321-01-DD-C</t>
  </si>
  <si>
    <t>RT-87550-0322-01-DD-C</t>
  </si>
  <si>
    <t>RT-87550-0323-01-DD-C</t>
  </si>
  <si>
    <t>RT-87550-0324-01-DD-C</t>
  </si>
  <si>
    <t>RT-87550-0325-01-DD-C</t>
  </si>
  <si>
    <t>RT-87550-0326-01-DD-C</t>
  </si>
  <si>
    <t>RT-87550-0329-01-DD-C</t>
  </si>
  <si>
    <t>RT-87640-72150-011-1-DD-D</t>
  </si>
  <si>
    <t>2025.09.26</t>
  </si>
  <si>
    <t>RT-87640-72150-013-1-DD-B</t>
  </si>
  <si>
    <t>2025.09.22</t>
  </si>
  <si>
    <t>2025.09.24</t>
  </si>
  <si>
    <t>RT-87640-72150-014-1-DD-D</t>
  </si>
  <si>
    <t>RT-87640-72150-020-1-DD-D</t>
  </si>
  <si>
    <t>RT-87640-72150-026-1-DD-B</t>
  </si>
  <si>
    <t>RT-87640-72150-028-1-DD-B</t>
  </si>
  <si>
    <t>RT-87640-72150-030-1-DD-D</t>
  </si>
  <si>
    <t>RT-87640-72150-038-1-DD-B</t>
  </si>
  <si>
    <t>RT-87640-72150-039-1-DD-B</t>
  </si>
  <si>
    <t>RT-87640-72150-078-1-DD-B</t>
  </si>
  <si>
    <t>RT-87640-72150-079-1-DD-B</t>
  </si>
  <si>
    <t>RT-87640-72150-082-1-DD-B</t>
  </si>
  <si>
    <t>RT-87640-72150-093-1-DD-D</t>
  </si>
  <si>
    <t>RT-87640-72150-094-1-DD-B</t>
  </si>
  <si>
    <t>RT-87640-72150-095-1-DD-D</t>
  </si>
  <si>
    <t>RT-87640-72150-096-1-DD-B</t>
  </si>
  <si>
    <t>RT-87640-72150-097-1-DD-B</t>
  </si>
  <si>
    <t>RT-87640-72150-098-1-DD-B</t>
  </si>
  <si>
    <t>RT-87640-72150-099-1-DD-B</t>
  </si>
  <si>
    <t>RT-87640-72150-100-1-DD-D</t>
  </si>
  <si>
    <t>RT-87640-72150-101-1-DD-D</t>
  </si>
  <si>
    <t>RT-87640-72150-102-1-DD-B</t>
  </si>
  <si>
    <t>RT-87640-72150-103-1-DD-B</t>
  </si>
  <si>
    <t>RT-87640-72150-104-1-DD-B</t>
  </si>
  <si>
    <t>XX-35217-3-1-DD-D</t>
  </si>
  <si>
    <t>RT-87590-71000-034-1-DD-B</t>
  </si>
  <si>
    <t>RT-88000-70164-018-1-DD-D</t>
  </si>
  <si>
    <t>RT-88000-70164-019-1-DD-D</t>
  </si>
  <si>
    <t>NPD0059-DET-6322</t>
  </si>
  <si>
    <t>2025.09.25</t>
  </si>
  <si>
    <t>NPD0059-DET-9127</t>
  </si>
  <si>
    <t>AE</t>
  </si>
  <si>
    <t>Rev</t>
  </si>
  <si>
    <t>Job #</t>
  </si>
  <si>
    <t>Start</t>
  </si>
  <si>
    <t>Finish</t>
  </si>
  <si>
    <t>2025.09.30</t>
  </si>
  <si>
    <t>2025.09.29</t>
  </si>
  <si>
    <t>RT-88030-0067-01-DD-C</t>
  </si>
  <si>
    <t>RT-88030-0035-1-DD-2</t>
  </si>
  <si>
    <t>RT-88030-0302-01-DD-2</t>
  </si>
  <si>
    <t>RT38-17300-008_000-0000-010-01-DD-C</t>
  </si>
  <si>
    <t>RT-88030-0125-01-DD-2</t>
  </si>
  <si>
    <t>RT-88030-0307-01-DD-C</t>
  </si>
  <si>
    <t>RT-88030-0315-01-DD-C</t>
  </si>
  <si>
    <t>RT38-17300-002_000-0000-003-01-DD-B</t>
  </si>
  <si>
    <t>RT38-17300-008_000-0000-007-01-DD-C</t>
  </si>
  <si>
    <t>RT38-17300-008_000-0000-008-01-DD-C</t>
  </si>
  <si>
    <t>RT-88030-0068-01-DD-C</t>
  </si>
  <si>
    <t>RT-88030-0069-01-DD-C</t>
  </si>
  <si>
    <t>RT-88030-0070-01-DD-C</t>
  </si>
  <si>
    <t>RT-88030-0071-01-DD-C</t>
  </si>
  <si>
    <t>RT-88030-0075-01-DD-C</t>
  </si>
  <si>
    <t>RT-88030-0076-01-DD-D</t>
  </si>
  <si>
    <t>OE</t>
  </si>
  <si>
    <t>PO</t>
  </si>
  <si>
    <t>RT79-88030-PN-R001</t>
  </si>
  <si>
    <t>RT98-88030-PN-R001</t>
  </si>
  <si>
    <t>21RT-88030-0401-001-DD-2</t>
  </si>
  <si>
    <t>RT-88040-0040-01-DD-C</t>
  </si>
  <si>
    <t>RT98-88010-PN-R008</t>
  </si>
  <si>
    <t>RT-88000-70210-044-1-DD-D</t>
  </si>
  <si>
    <t>RT-88010-0052-1-DD-B</t>
  </si>
  <si>
    <t>RT-88000-70210-041-1-DD-D</t>
  </si>
  <si>
    <t>RT-88010-0120-1-DD-C</t>
  </si>
  <si>
    <t>RT-88010-0032-1-DD-B</t>
  </si>
  <si>
    <t>RT-88010-0033-1-DD-B</t>
  </si>
  <si>
    <t>RT-88010-0031-1-DD-B</t>
  </si>
  <si>
    <t>RT-88000-70210-060-1-DD-B</t>
  </si>
  <si>
    <t>RT-88000-70034-113-1-DD-B</t>
  </si>
  <si>
    <t>RT-88000-70034-006-1-DD-B</t>
  </si>
  <si>
    <t>RT-88000-70051-005-1-DD-B</t>
  </si>
  <si>
    <t>RT-88000-70051-004-1-DD-B</t>
  </si>
  <si>
    <t>RT-88000-70051-001-1-DD-B</t>
  </si>
  <si>
    <t>RT-88000-70034-007-1-DD-B</t>
  </si>
  <si>
    <t>RT-88000-70034-100-1-DD-B</t>
  </si>
  <si>
    <t>RT-88000-70034-111-1-DD-B</t>
  </si>
  <si>
    <t>RT-88000-70034-105-1-DD-B</t>
  </si>
  <si>
    <t>RT-88000-70034-109-1-DD-B</t>
  </si>
  <si>
    <t>RT-88000-70034-102-1-DD-B</t>
  </si>
  <si>
    <t>2025.10.02</t>
  </si>
  <si>
    <t>RT-88000-70051-006-1-DD-B</t>
  </si>
  <si>
    <t>Ball</t>
  </si>
  <si>
    <t>4-5</t>
  </si>
  <si>
    <t>RT-87840-70110-1022-1-DD-B</t>
  </si>
  <si>
    <t>RT79-87840-PN-R002</t>
  </si>
  <si>
    <t>RT-87840-70120-1007-1-DD-B</t>
  </si>
  <si>
    <t>RT-87840-70120-1005-1-DD-B</t>
  </si>
  <si>
    <t>RT-87840-70130-1010-1-DD-B</t>
  </si>
  <si>
    <t>RT-87840-70210-1002-1-DD-B</t>
  </si>
  <si>
    <t>RT-87840-70130-1009-1-DD-B</t>
  </si>
  <si>
    <t>RT-87840-70130-1005-1-DD-B</t>
  </si>
  <si>
    <t>RT-87840-70130-1001-1-DD-B</t>
  </si>
  <si>
    <t>Material as per DWG c/w MTR (Check Stock)</t>
  </si>
  <si>
    <t>Cut or Waterjet-Cut as Req'd</t>
  </si>
  <si>
    <t>Mill</t>
  </si>
  <si>
    <t>Drill (#x) Ø x" &amp; C/Bore Ø x"</t>
  </si>
  <si>
    <t>Drill (#x) Ø x"</t>
  </si>
  <si>
    <t>Deburr; Clean; Identify</t>
  </si>
  <si>
    <t>Inspect; FOD (Mark Dim's on DWG)</t>
  </si>
  <si>
    <t>FOD?</t>
  </si>
  <si>
    <t>Hard Anodize as per DWG c/w CofC (See Notes)</t>
  </si>
  <si>
    <t>c/w?</t>
  </si>
  <si>
    <t>Inspect c/w DIR; FOD (Mark Dim's on DWG)</t>
  </si>
  <si>
    <t>Protect; Store for Assembly RT-xxxx</t>
  </si>
  <si>
    <t>RT-87840-70130-1002-1-DD-B</t>
  </si>
  <si>
    <t>RT-87840-70130-1003-1-DD-B</t>
  </si>
  <si>
    <t>RT-87840-70130-1004-1-DD-B</t>
  </si>
  <si>
    <t>RT-87840-70120-1004-1-DD-B</t>
  </si>
  <si>
    <t>RT-87840-70110-1020-1-DD-B</t>
  </si>
  <si>
    <t>RT-87840-70110-1019-1-DD-B</t>
  </si>
  <si>
    <t>RT-87840-70110-1016-1-DD-B</t>
  </si>
  <si>
    <t>RT-87840-70110-1015-1-DD-B</t>
  </si>
  <si>
    <t>RT-87840-70110-1007-1-DD-B</t>
  </si>
  <si>
    <t>RT-87840-70110-1006-1-DD-B</t>
  </si>
  <si>
    <t>as per DWG</t>
  </si>
  <si>
    <t>Engrave</t>
  </si>
  <si>
    <t>Receive or Stock; Inspect; Identify; [HT#]</t>
  </si>
  <si>
    <t>NK38-DRAW-31935-10462-0003</t>
  </si>
  <si>
    <t>NK38-DRAW-31935-10462-0004</t>
  </si>
  <si>
    <t>88706-Rev.7</t>
  </si>
  <si>
    <t>NK38-DRAW-31935-10490-0006</t>
  </si>
  <si>
    <t>NK38-DRAW-31935-10490-0002</t>
  </si>
  <si>
    <t>NK38-DRAW-31935-10490-0003</t>
  </si>
  <si>
    <t>RT-87550-0156-01-GA-C</t>
  </si>
  <si>
    <t>RT-87550-0161-01-GA-C</t>
  </si>
  <si>
    <t>RT79-87550-PN-R001</t>
  </si>
  <si>
    <t>RT-87550-0313-01-GA-C</t>
  </si>
  <si>
    <t>RT98-87550-PN-R004</t>
  </si>
  <si>
    <t>RT-87530-70010-1-DD-C</t>
  </si>
  <si>
    <t>RT98-87530-PN-R001</t>
  </si>
  <si>
    <t>RT-87530-70011-1-DD-C</t>
  </si>
  <si>
    <t>98-31952-80-1-GA-B</t>
  </si>
  <si>
    <t>98-31952-81-1-DD-B</t>
  </si>
  <si>
    <t>98-31952-82-1-DD-B</t>
  </si>
  <si>
    <t>98-31952-90-1-DD-B</t>
  </si>
  <si>
    <t>98-31952-92-1-DD-C</t>
  </si>
  <si>
    <t>RT-87000-70600-6003-1-DD-B</t>
  </si>
  <si>
    <t>RT98-88010-PN-R009</t>
  </si>
  <si>
    <t>RT-87900-0429-1-DD-C</t>
  </si>
  <si>
    <t>RT-98-87900-PN-R003</t>
  </si>
  <si>
    <t>RT-88030-0312-1-DD-D</t>
  </si>
  <si>
    <t>RT-88010-0121-1-DD-B</t>
  </si>
  <si>
    <t>4038996-101</t>
  </si>
  <si>
    <t>PO1021254</t>
  </si>
  <si>
    <t>912E1601</t>
  </si>
  <si>
    <t>PO1021076</t>
  </si>
  <si>
    <t>RT-87600-76100-4003-1-DD-B</t>
  </si>
  <si>
    <t>71626-80</t>
  </si>
  <si>
    <t>216-02123-PN-T034</t>
  </si>
  <si>
    <t>RT-88010-0003-1-DD-D</t>
  </si>
  <si>
    <t>RT98-88010-PN-R014</t>
  </si>
  <si>
    <t>RT-88010-0001-1-GA-E</t>
  </si>
  <si>
    <t>RT-88010-0002-1-DD-D</t>
  </si>
  <si>
    <t>RT98-88030-PN-R001-R.2</t>
  </si>
  <si>
    <t>RT-87530-70006-1-DD-C</t>
  </si>
  <si>
    <t>RT-87590-71300-020-1-DD-D</t>
  </si>
  <si>
    <t>RT98-87590-PN-R006</t>
  </si>
  <si>
    <t>NPD0059-DET-5215</t>
  </si>
  <si>
    <t>RT-87590-71300-020-2-DD-D</t>
  </si>
  <si>
    <t>RT79-88030-PN-R001-R.2</t>
  </si>
  <si>
    <t>NPD0059-DET-8921</t>
  </si>
  <si>
    <t>67967-DT</t>
  </si>
  <si>
    <t>3767629-00</t>
  </si>
  <si>
    <t>RT-87840-70110-1018-1-DD-B</t>
  </si>
  <si>
    <t>RT-87840-70110-1005-1-DD-B</t>
  </si>
  <si>
    <t>RT-87840-70110-1017-1-DD-B</t>
  </si>
  <si>
    <t>RT-87840-70110-1009-1-DD-B</t>
  </si>
  <si>
    <t>RT-87000-70600-6100-1-GA-B</t>
  </si>
  <si>
    <t>RT-87000-70201-6102-1-DD-B</t>
  </si>
  <si>
    <t>RT-87000-70201-6101-1-DD-B</t>
  </si>
  <si>
    <t>RT-87000-70600-6000-1-GA-B</t>
  </si>
  <si>
    <t>RT-87000-70600-6101-2-DD-B</t>
  </si>
  <si>
    <t>RT-87000-70600-6101-1-DD-B</t>
  </si>
  <si>
    <t>RT-87000-70600-6102-1-DD-B</t>
  </si>
  <si>
    <t>RT-98-88030-PN-R001</t>
  </si>
  <si>
    <t>NDP0059-7-DET-2558</t>
  </si>
  <si>
    <t>NPD0059-7-DET-2536</t>
  </si>
  <si>
    <t>NPD0059-7-DET-2545</t>
  </si>
  <si>
    <t>RT-87000-70201-6100-1-GA</t>
  </si>
  <si>
    <t>NK38-DRAW-31935-10536-0002</t>
  </si>
  <si>
    <t>NK38-DRAW-31935-10538-0002</t>
  </si>
  <si>
    <t>88808-Rev.2</t>
  </si>
  <si>
    <t>RT-87850-1017-01-DD-E</t>
  </si>
  <si>
    <t>RT-87000-70201-6000-1-GA-B</t>
  </si>
  <si>
    <t>RT-88030-0021-01-GA-1</t>
  </si>
  <si>
    <t>RT-88030-0016-01-DD-1</t>
  </si>
  <si>
    <t>Tool Name</t>
  </si>
  <si>
    <t>Measurement Type</t>
  </si>
  <si>
    <t>Dimension Range</t>
  </si>
  <si>
    <t>Remark</t>
  </si>
  <si>
    <t>Accuracy</t>
  </si>
  <si>
    <t>Inches</t>
  </si>
  <si>
    <t>mm</t>
  </si>
  <si>
    <t>6 Inches / 150 mm</t>
  </si>
  <si>
    <t>≥ .004 Inches</t>
  </si>
  <si>
    <t>2. inside Diameter</t>
  </si>
  <si>
    <t>3. depth</t>
  </si>
  <si>
    <t>4. step distance</t>
  </si>
  <si>
    <t>.001</t>
  </si>
  <si>
    <t>1. outer size of an object</t>
  </si>
  <si>
    <t>Roughness Tester</t>
  </si>
  <si>
    <t>Faro Laser Tracker</t>
  </si>
  <si>
    <t>Angle Protractor Ruler</t>
  </si>
  <si>
    <t>Height Gauge</t>
  </si>
  <si>
    <t>Bore Gauge</t>
  </si>
  <si>
    <t>Thread Micrometer</t>
  </si>
  <si>
    <t>Telescopic Gauge</t>
  </si>
  <si>
    <t>Micrometer</t>
  </si>
  <si>
    <t>Pin Gauge</t>
  </si>
  <si>
    <t>Keyence IMS</t>
  </si>
  <si>
    <t xml:space="preserve"> Faro Arm Quantum</t>
  </si>
  <si>
    <t>Radius Gauge Set</t>
  </si>
  <si>
    <t>RT-88030-0300-01-GA-0</t>
  </si>
  <si>
    <t>21RT-88030-0408-001-DD-2</t>
  </si>
  <si>
    <t>RT38-17300-008_000-0000-009-01-DD-C</t>
  </si>
  <si>
    <t>RT-88030-0306-01-DD-C</t>
  </si>
  <si>
    <t>RT-88030-0314-01-DD-C</t>
  </si>
  <si>
    <t>RT-88030-0060-01-DD-E</t>
  </si>
  <si>
    <t>RT-88030-0064-02-GA-E</t>
  </si>
  <si>
    <t>RT-88030-0066-01-DD-E</t>
  </si>
  <si>
    <t>RT98-88030-PN-R001-R.1</t>
  </si>
  <si>
    <t>RT-87630-71697-1000-1-GA-D</t>
  </si>
  <si>
    <t>RT79-87630-PN-R009</t>
  </si>
  <si>
    <t>RT-88030-0064-01-DD-C</t>
  </si>
  <si>
    <t>RT-88030-0066-01-DD-C</t>
  </si>
  <si>
    <t>NPD0059-DET-5216</t>
  </si>
  <si>
    <t>00</t>
  </si>
  <si>
    <t>NPD0059-DET-9126</t>
  </si>
  <si>
    <t>NPD0059-DET-9128</t>
  </si>
  <si>
    <t>21-33110-0171-01-DD-2</t>
  </si>
  <si>
    <t>0</t>
  </si>
  <si>
    <t>21-33112-PN-R484</t>
  </si>
  <si>
    <t>K-640640-DET-3102</t>
  </si>
  <si>
    <t>K-640640-DET-4104</t>
  </si>
  <si>
    <t>K-640640-DET-5104</t>
  </si>
  <si>
    <t>K-640640-DET-5105</t>
  </si>
  <si>
    <t>NPD0059-DET-9120</t>
  </si>
  <si>
    <t>NPD0059-DET-9122</t>
  </si>
  <si>
    <t>NPD0059-DET-9119</t>
  </si>
  <si>
    <t>NPD0059-DET-9124</t>
  </si>
  <si>
    <t>NPD0059-DET-9121</t>
  </si>
  <si>
    <t>NPD0059-DET-9123</t>
  </si>
  <si>
    <t>K-640640-DET-3103</t>
  </si>
  <si>
    <t>K-640640-DET-3107</t>
  </si>
  <si>
    <t>K-016411-02-DET-0000-005</t>
  </si>
  <si>
    <t>K-016411-02-DET-0000-007</t>
  </si>
  <si>
    <t>RT-87530-70004-1-DD-C</t>
  </si>
  <si>
    <t>3</t>
  </si>
  <si>
    <t>98-31952-85-1-DD-B</t>
  </si>
  <si>
    <t>RT38-15300-032_000-1000-004-01-DD-D</t>
  </si>
  <si>
    <t>1</t>
  </si>
  <si>
    <t>RT79-87920-PN-R005</t>
  </si>
  <si>
    <t>RT98-87920-PN-R006</t>
  </si>
  <si>
    <t>RT-87590-71525-006-1-DD-B</t>
  </si>
  <si>
    <t>98-31952-70-1-DD-C</t>
  </si>
  <si>
    <t>RT-88030-0253-1-DD-D</t>
  </si>
  <si>
    <t>RT79-88030-PN-R001-R.1</t>
  </si>
  <si>
    <t>RT-87550-0110-01-DD-C</t>
  </si>
  <si>
    <t>RT-87840-70114-1000-1-GA-B</t>
  </si>
  <si>
    <t>RT-87840-70120-1002-1-DD-B</t>
  </si>
  <si>
    <t>RT-87840-70120-1003-1-DD-B</t>
  </si>
  <si>
    <t>RT-87840-70110-1024-1-DD-B</t>
  </si>
  <si>
    <t>RT-87840-70130-1006-1-DD-B</t>
  </si>
  <si>
    <t>RT-87590-71505-006-1-DD-B</t>
  </si>
  <si>
    <t>RT-87590-71100-071-1-DD-B</t>
  </si>
  <si>
    <t>RT-87590-71000-040-1-DD-B</t>
  </si>
  <si>
    <t>RT-87590-71000-041-1-DD-B</t>
  </si>
  <si>
    <t>RT-87590-71525-021-1-DD-B</t>
  </si>
  <si>
    <t>RT-87590-71300-034-1-DD-B</t>
  </si>
  <si>
    <t>RT-87713-70003-1-DD-B</t>
  </si>
  <si>
    <t>RT98-87710-PN-R006</t>
  </si>
  <si>
    <t>RT-87713-70009-1-DD-B</t>
  </si>
  <si>
    <t>K-640640-DET-5103</t>
  </si>
  <si>
    <t>RT-87840-70110-1014-1-DD-B</t>
  </si>
  <si>
    <t>RT-87840-70110-1010-1-DD-B</t>
  </si>
  <si>
    <t>K-640640-DET-4106</t>
  </si>
  <si>
    <t>RT-87530-70009-1-DD-C</t>
  </si>
  <si>
    <t>98-31952-93-1-DD-C</t>
  </si>
  <si>
    <t>RT-87920-74245-047-1-DD-B</t>
  </si>
  <si>
    <t>RT98-87920-PN-R014</t>
  </si>
  <si>
    <t>RT-87920-74245-028-1-DD-B</t>
  </si>
  <si>
    <t>RT-88000-70097-032-1-DD-B</t>
  </si>
  <si>
    <t>RT-88000-70097-033-1-DD-B</t>
  </si>
  <si>
    <t>RT-87920-74245-029-1-DD-B</t>
  </si>
  <si>
    <t>AC</t>
  </si>
  <si>
    <t>89691-Rev.4</t>
  </si>
  <si>
    <t>RT-87530-70015-1-DD-C</t>
  </si>
  <si>
    <t>2</t>
  </si>
  <si>
    <t>98-31952-84-1-DD-C</t>
  </si>
  <si>
    <t>RT-87840-70120-1008-1-DD-B</t>
  </si>
  <si>
    <t>K016411-02-DET-0000-004</t>
  </si>
  <si>
    <t>01</t>
  </si>
  <si>
    <t>AA</t>
  </si>
  <si>
    <t>90256- Rev.3</t>
  </si>
  <si>
    <t>RT-87530-70008-1-GA-C</t>
  </si>
  <si>
    <t>RT-87530-70005-1-DD-C</t>
  </si>
  <si>
    <t>RT-87840-70110-1012-1-DD-B</t>
  </si>
  <si>
    <t>RT-87840-70110-1002-1-DD-B</t>
  </si>
  <si>
    <t>RT-87900-0406-1-DD-C</t>
  </si>
  <si>
    <t>RT98-87900-PN-R003</t>
  </si>
  <si>
    <t>RT-87900-0420-1-DD-C</t>
  </si>
  <si>
    <t>RT-87900-0425-1-DD-C</t>
  </si>
  <si>
    <t>NPD0059-DET-9114</t>
  </si>
  <si>
    <t>Thickness</t>
  </si>
  <si>
    <t>Tool</t>
  </si>
  <si>
    <t>Structure</t>
  </si>
  <si>
    <t>Parameter</t>
  </si>
  <si>
    <t>Hole</t>
  </si>
  <si>
    <t>C/Bore</t>
  </si>
  <si>
    <t>Ø</t>
  </si>
  <si>
    <t>Long Plate</t>
  </si>
  <si>
    <t>Faro Arm</t>
  </si>
  <si>
    <t>Venier</t>
  </si>
  <si>
    <t>Radius Gauge</t>
  </si>
  <si>
    <t>Micro Meter (Tight Tolerance)</t>
  </si>
  <si>
    <t>R</t>
  </si>
  <si>
    <t>90282- Rev.2</t>
  </si>
  <si>
    <t>RT-87900-0453-1-DD-B</t>
  </si>
  <si>
    <t>RT-87630-71521-1026-1-DD-B</t>
  </si>
  <si>
    <t>RT79-87630-PN-R011</t>
  </si>
  <si>
    <t>RT-87550-0146-01-GA-C</t>
  </si>
  <si>
    <t>RT98-88550-PN-R004</t>
  </si>
  <si>
    <t>RT-87550-0147-01-GA-D</t>
  </si>
  <si>
    <t>RT-87900-0433-1-DD-C</t>
  </si>
  <si>
    <t>59RT-79112-0034-01-DD-B</t>
  </si>
  <si>
    <t>RT79-79112-PN-R002</t>
  </si>
  <si>
    <t>RT-87630-71521-1036-1-DD-B</t>
  </si>
  <si>
    <t>RT-87630-71622-1012-1-DD-B</t>
  </si>
  <si>
    <t>Pin Gauge (.011-1.000)</t>
  </si>
  <si>
    <t>Pin Gauge is used for a range, it won't provide a exact value read.</t>
  </si>
  <si>
    <t>No exact value is provided</t>
  </si>
  <si>
    <t>Pin Gauge is used for a range</t>
  </si>
  <si>
    <t>RT-87630-71521-1038-1-DD-B</t>
  </si>
  <si>
    <t>Slit as per DWG</t>
  </si>
  <si>
    <t>Protect; Store for Assembly xx</t>
  </si>
  <si>
    <t>Drill &amp; Tap (2x) 3/8-16 UNC</t>
  </si>
  <si>
    <t>Drill (Bore) Ø.266</t>
  </si>
  <si>
    <t>Receive or Stock; Inspect; Identify; HT#</t>
  </si>
  <si>
    <t>Notes</t>
  </si>
  <si>
    <t>Read Notes for each drawing</t>
  </si>
  <si>
    <t>RT-87630-71521-1001-2-DD-D</t>
  </si>
  <si>
    <t>RT-87630-71521-1000-1-GA-E</t>
  </si>
  <si>
    <t>VRS PT Lunchbox</t>
  </si>
  <si>
    <t>Weldment TOP BOX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</si>
</sst>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$&quot;* #,##0_);_(&quot;$&quot;* \(#,##0\);_(&quot;$&quot;* &quot;-&quot;_);_(@_)"/>
    <numFmt numFmtId="43" formatCode="_(* #,##0.00_);_(* \(#,##0.00\);_(* &quot;-&quot;??_);_(@_)"/>
    <numFmt numFmtId="164" formatCode="0.000"/>
    <numFmt numFmtId="165" formatCode="[$-409]mmmm\ d\,\ yyyy;@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sz val="11"/>
      <color theme="1"/>
      <name val="Calibri"/>
      <family val="2"/>
      <scheme val="minor"/>
    </font>
    <font>
      <sz val="10"/>
      <name val="Times New Roman"/>
      <family val="1"/>
    </font>
    <font>
      <b/>
      <sz val="12"/>
      <color theme="9" tint="-0.249977111117893"/>
      <name val="Times New Roman"/>
      <family val="1"/>
    </font>
    <font>
      <sz val="10"/>
      <name val="Arial"/>
      <family val="2"/>
    </font>
    <font>
      <sz val="10"/>
      <name val="Arial"/>
      <family val="2"/>
    </font>
    <font>
      <sz val="12"/>
      <color rgb="FF222222"/>
      <name val="Arial"/>
      <family val="2"/>
    </font>
    <font>
      <b/>
      <sz val="10"/>
      <name val="Times New Roman"/>
      <family val="1"/>
    </font>
    <font>
      <b/>
      <sz val="11"/>
      <name val="Arial"/>
      <family val="2"/>
    </font>
    <font>
      <sz val="10"/>
      <color theme="1"/>
      <name val="Cambria"/>
      <family val="2"/>
      <scheme val="major"/>
    </font>
    <font>
      <b/>
      <sz val="10"/>
      <color theme="1"/>
      <name val="Cambria"/>
      <family val="2"/>
      <scheme val="maj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Segoe UI Symbol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ptos Narrow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</fills>
  <borders count="29">
    <border>
      <left/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6" fillId="0" borderId="0"/>
    <xf numFmtId="4" fontId="7" fillId="0" borderId="0"/>
    <xf numFmtId="3" fontId="7" fillId="0" borderId="0"/>
    <xf numFmtId="42" fontId="7" fillId="0" borderId="0"/>
    <xf numFmtId="0" fontId="7" fillId="0" borderId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8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2" xfId="0" applyFont="1" applyBorder="1" applyAlignment="1">
      <alignment horizontal="center"/>
    </xf>
    <xf numFmtId="0" fontId="2" fillId="2" borderId="3" xfId="0" applyFont="1" applyFill="1" applyBorder="1" applyAlignment="1">
      <alignment horizontal="right" vertical="center"/>
    </xf>
    <xf numFmtId="0" fontId="2" fillId="0" borderId="3" xfId="0" applyFont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2" fillId="2" borderId="5" xfId="0" applyFont="1" applyFill="1" applyBorder="1" applyAlignment="1">
      <alignment horizontal="right" vertical="center"/>
    </xf>
    <xf numFmtId="0" fontId="2" fillId="0" borderId="6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49" fontId="0" fillId="0" borderId="0" xfId="0" applyNumberFormat="1"/>
    <xf numFmtId="49" fontId="0" fillId="0" borderId="8" xfId="0" applyNumberFormat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0" fontId="5" fillId="2" borderId="7" xfId="1" applyFont="1" applyFill="1" applyBorder="1" applyAlignment="1">
      <alignment horizontal="center"/>
    </xf>
    <xf numFmtId="164" fontId="4" fillId="0" borderId="7" xfId="2" applyNumberFormat="1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49" fontId="4" fillId="0" borderId="13" xfId="8" applyNumberFormat="1" applyFont="1" applyBorder="1" applyAlignment="1" applyProtection="1">
      <alignment horizontal="right"/>
      <protection locked="0"/>
    </xf>
    <xf numFmtId="0" fontId="8" fillId="0" borderId="13" xfId="0" applyFont="1" applyBorder="1" applyAlignment="1">
      <alignment horizontal="right"/>
    </xf>
    <xf numFmtId="49" fontId="1" fillId="0" borderId="13" xfId="0" applyNumberFormat="1" applyFont="1" applyBorder="1" applyAlignment="1" applyProtection="1">
      <alignment horizontal="right"/>
      <protection locked="0"/>
    </xf>
    <xf numFmtId="49" fontId="4" fillId="0" borderId="7" xfId="8" applyNumberFormat="1" applyFont="1" applyBorder="1" applyAlignment="1" applyProtection="1">
      <alignment horizontal="right"/>
      <protection locked="0"/>
    </xf>
    <xf numFmtId="0" fontId="4" fillId="0" borderId="0" xfId="0" applyFont="1" applyProtection="1">
      <protection locked="0"/>
    </xf>
    <xf numFmtId="49" fontId="4" fillId="0" borderId="0" xfId="8" applyNumberFormat="1" applyFont="1" applyFill="1" applyBorder="1" applyAlignment="1" applyProtection="1">
      <alignment horizontal="right"/>
      <protection locked="0"/>
    </xf>
    <xf numFmtId="49" fontId="4" fillId="0" borderId="15" xfId="8" applyNumberFormat="1" applyFont="1" applyBorder="1" applyAlignment="1" applyProtection="1">
      <alignment horizontal="left"/>
      <protection locked="0"/>
    </xf>
    <xf numFmtId="49" fontId="4" fillId="0" borderId="7" xfId="8" applyNumberFormat="1" applyFont="1" applyBorder="1" applyAlignment="1" applyProtection="1">
      <alignment horizontal="center"/>
      <protection locked="0"/>
    </xf>
    <xf numFmtId="164" fontId="4" fillId="0" borderId="7" xfId="8" applyNumberFormat="1" applyFont="1" applyBorder="1" applyAlignment="1" applyProtection="1">
      <alignment horizontal="center"/>
    </xf>
    <xf numFmtId="0" fontId="5" fillId="0" borderId="7" xfId="0" applyFont="1" applyBorder="1" applyAlignment="1">
      <alignment horizontal="center"/>
    </xf>
    <xf numFmtId="49" fontId="0" fillId="0" borderId="0" xfId="0" applyNumberFormat="1" applyAlignment="1">
      <alignment horizontal="center" vertical="center"/>
    </xf>
    <xf numFmtId="164" fontId="4" fillId="0" borderId="7" xfId="8" applyNumberFormat="1" applyFont="1" applyBorder="1" applyAlignment="1">
      <alignment horizontal="center"/>
    </xf>
    <xf numFmtId="49" fontId="4" fillId="0" borderId="15" xfId="8" applyNumberFormat="1" applyFont="1" applyBorder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10" fillId="6" borderId="16" xfId="0" applyFont="1" applyFill="1" applyBorder="1" applyAlignment="1">
      <alignment horizontal="center" vertical="center"/>
    </xf>
    <xf numFmtId="0" fontId="10" fillId="6" borderId="17" xfId="0" applyFont="1" applyFill="1" applyBorder="1" applyAlignment="1">
      <alignment horizontal="center" vertical="center"/>
    </xf>
    <xf numFmtId="0" fontId="10" fillId="6" borderId="18" xfId="0" applyFont="1" applyFill="1" applyBorder="1" applyAlignment="1">
      <alignment horizontal="center" vertical="center"/>
    </xf>
    <xf numFmtId="0" fontId="11" fillId="0" borderId="19" xfId="0" applyFont="1" applyBorder="1" applyAlignment="1">
      <alignment vertical="center"/>
    </xf>
    <xf numFmtId="165" fontId="11" fillId="0" borderId="19" xfId="0" applyNumberFormat="1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14" fontId="12" fillId="0" borderId="19" xfId="0" applyNumberFormat="1" applyFont="1" applyBorder="1" applyAlignment="1">
      <alignment horizontal="center" vertical="center"/>
    </xf>
    <xf numFmtId="165" fontId="11" fillId="0" borderId="20" xfId="0" applyNumberFormat="1" applyFont="1" applyBorder="1" applyAlignment="1">
      <alignment horizontal="center" vertical="center"/>
    </xf>
    <xf numFmtId="0" fontId="11" fillId="2" borderId="19" xfId="0" applyFont="1" applyFill="1" applyBorder="1" applyAlignment="1">
      <alignment vertical="center"/>
    </xf>
    <xf numFmtId="0" fontId="11" fillId="0" borderId="21" xfId="0" applyFont="1" applyBorder="1" applyAlignment="1">
      <alignment vertical="center"/>
    </xf>
    <xf numFmtId="0" fontId="11" fillId="0" borderId="21" xfId="0" applyFont="1" applyBorder="1" applyAlignment="1">
      <alignment horizontal="center" vertical="center"/>
    </xf>
    <xf numFmtId="0" fontId="11" fillId="0" borderId="19" xfId="0" applyFont="1" applyBorder="1" applyAlignment="1">
      <alignment horizontal="left" vertical="center"/>
    </xf>
    <xf numFmtId="0" fontId="11" fillId="0" borderId="9" xfId="0" applyFont="1" applyBorder="1" applyAlignment="1">
      <alignment vertical="center"/>
    </xf>
    <xf numFmtId="0" fontId="10" fillId="4" borderId="17" xfId="0" applyFont="1" applyFill="1" applyBorder="1" applyAlignment="1">
      <alignment horizontal="center" vertical="center"/>
    </xf>
    <xf numFmtId="0" fontId="11" fillId="4" borderId="19" xfId="0" applyFont="1" applyFill="1" applyBorder="1" applyAlignment="1">
      <alignment vertical="center"/>
    </xf>
    <xf numFmtId="0" fontId="11" fillId="4" borderId="21" xfId="0" applyFont="1" applyFill="1" applyBorder="1" applyAlignment="1">
      <alignment vertical="center"/>
    </xf>
    <xf numFmtId="0" fontId="11" fillId="4" borderId="19" xfId="0" applyFont="1" applyFill="1" applyBorder="1" applyAlignment="1">
      <alignment horizontal="left" vertical="center"/>
    </xf>
    <xf numFmtId="14" fontId="11" fillId="4" borderId="19" xfId="0" applyNumberFormat="1" applyFont="1" applyFill="1" applyBorder="1" applyAlignment="1">
      <alignment vertical="center"/>
    </xf>
    <xf numFmtId="0" fontId="0" fillId="4" borderId="0" xfId="0" applyFill="1"/>
    <xf numFmtId="0" fontId="2" fillId="0" borderId="1" xfId="0" applyFont="1" applyBorder="1" applyAlignment="1">
      <alignment horizontal="center" shrinkToFit="1"/>
    </xf>
    <xf numFmtId="0" fontId="14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49" fontId="0" fillId="0" borderId="23" xfId="0" applyNumberFormat="1" applyBorder="1" applyAlignment="1">
      <alignment horizontal="center"/>
    </xf>
    <xf numFmtId="49" fontId="0" fillId="0" borderId="24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18" fillId="0" borderId="0" xfId="0" applyNumberFormat="1" applyFont="1" applyAlignment="1">
      <alignment horizontal="center"/>
    </xf>
    <xf numFmtId="49" fontId="17" fillId="0" borderId="25" xfId="0" applyNumberFormat="1" applyFont="1" applyBorder="1" applyAlignment="1">
      <alignment horizontal="center"/>
    </xf>
    <xf numFmtId="49" fontId="19" fillId="0" borderId="23" xfId="0" applyNumberFormat="1" applyFon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27" xfId="0" applyNumberFormat="1" applyBorder="1" applyAlignment="1">
      <alignment horizontal="center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left"/>
    </xf>
    <xf numFmtId="49" fontId="0" fillId="0" borderId="27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28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0" borderId="19" xfId="0" applyNumberFormat="1" applyBorder="1" applyAlignment="1">
      <alignment horizontal="left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 wrapText="1"/>
    </xf>
    <xf numFmtId="49" fontId="9" fillId="3" borderId="13" xfId="8" applyNumberFormat="1" applyFont="1" applyFill="1" applyBorder="1" applyAlignment="1" applyProtection="1">
      <alignment horizontal="center"/>
      <protection locked="0"/>
    </xf>
    <xf numFmtId="49" fontId="4" fillId="3" borderId="14" xfId="8" applyNumberFormat="1" applyFont="1" applyFill="1" applyBorder="1" applyAlignment="1" applyProtection="1">
      <alignment horizontal="center"/>
      <protection locked="0"/>
    </xf>
    <xf numFmtId="49" fontId="4" fillId="3" borderId="2" xfId="8" applyNumberFormat="1" applyFont="1" applyFill="1" applyBorder="1" applyAlignment="1" applyProtection="1">
      <alignment horizontal="center"/>
      <protection locked="0"/>
    </xf>
    <xf numFmtId="49" fontId="17" fillId="0" borderId="22" xfId="0" applyNumberFormat="1" applyFont="1" applyBorder="1" applyAlignment="1">
      <alignment horizontal="center"/>
    </xf>
    <xf numFmtId="49" fontId="17" fillId="0" borderId="21" xfId="0" applyNumberFormat="1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23" xfId="0" applyNumberFormat="1" applyFont="1" applyBorder="1" applyAlignment="1">
      <alignment horizontal="center" vertical="center"/>
    </xf>
    <xf numFmtId="49" fontId="17" fillId="0" borderId="26" xfId="0" applyNumberFormat="1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49" fontId="14" fillId="0" borderId="0" xfId="0" applyNumberFormat="1" applyFont="1" applyAlignment="1">
      <alignment horizontal="center" vertical="center"/>
    </xf>
  </cellXfs>
  <cellStyles count="9">
    <cellStyle name="Comma" xfId="8" builtinId="3"/>
    <cellStyle name="Comma 2" xfId="7" xr:uid="{00000000-0005-0000-0000-000001000000}"/>
    <cellStyle name="Comma 3" xfId="2" xr:uid="{00000000-0005-0000-0000-000002000000}"/>
    <cellStyle name="Comma0" xfId="3" xr:uid="{00000000-0005-0000-0000-000003000000}"/>
    <cellStyle name="Currency0" xfId="4" xr:uid="{00000000-0005-0000-0000-000004000000}"/>
    <cellStyle name="Normal" xfId="0" builtinId="0"/>
    <cellStyle name="Normal 2" xfId="5" xr:uid="{00000000-0005-0000-0000-000006000000}"/>
    <cellStyle name="Normal 3" xfId="6" xr:uid="{00000000-0005-0000-0000-000007000000}"/>
    <cellStyle name="Normal 4" xfId="1" xr:uid="{00000000-0005-0000-0000-000008000000}"/>
  </cellStyles>
  <dxfs count="337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jpe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gif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gif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57150</xdr:rowOff>
        </xdr:from>
        <xdr:to>
          <xdr:col>3</xdr:col>
          <xdr:colOff>762000</xdr:colOff>
          <xdr:row>0</xdr:row>
          <xdr:rowOff>323850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157370</xdr:colOff>
      <xdr:row>35</xdr:row>
      <xdr:rowOff>35991</xdr:rowOff>
    </xdr:from>
    <xdr:to>
      <xdr:col>8</xdr:col>
      <xdr:colOff>551824</xdr:colOff>
      <xdr:row>37</xdr:row>
      <xdr:rowOff>182762</xdr:rowOff>
    </xdr:to>
    <xdr:pic>
      <xdr:nvPicPr>
        <xdr:cNvPr id="2" name="Picture 1" descr="Franco Signature w stamp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7504044" y="6239665"/>
          <a:ext cx="1987826" cy="527227"/>
        </a:xfrm>
        <a:prstGeom prst="rect">
          <a:avLst/>
        </a:prstGeom>
      </xdr:spPr>
    </xdr:pic>
    <xdr:clientData/>
  </xdr:twoCellAnchor>
  <xdr:twoCellAnchor editAs="oneCell">
    <xdr:from>
      <xdr:col>1</xdr:col>
      <xdr:colOff>47503</xdr:colOff>
      <xdr:row>35</xdr:row>
      <xdr:rowOff>58393</xdr:rowOff>
    </xdr:from>
    <xdr:to>
      <xdr:col>3</xdr:col>
      <xdr:colOff>331849</xdr:colOff>
      <xdr:row>37</xdr:row>
      <xdr:rowOff>182761</xdr:rowOff>
    </xdr:to>
    <xdr:pic>
      <xdr:nvPicPr>
        <xdr:cNvPr id="1029" name="Picture 5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660416" y="6262067"/>
          <a:ext cx="1509628" cy="504824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</xdr:col>
      <xdr:colOff>505810</xdr:colOff>
      <xdr:row>35</xdr:row>
      <xdr:rowOff>42270</xdr:rowOff>
    </xdr:from>
    <xdr:to>
      <xdr:col>4</xdr:col>
      <xdr:colOff>1489728</xdr:colOff>
      <xdr:row>37</xdr:row>
      <xdr:rowOff>154028</xdr:rowOff>
    </xdr:to>
    <xdr:pic>
      <xdr:nvPicPr>
        <xdr:cNvPr id="4" name="Picture 3" descr="CCI20230719.jp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344549" y="6245944"/>
          <a:ext cx="1596831" cy="492758"/>
        </a:xfrm>
        <a:prstGeom prst="rect">
          <a:avLst/>
        </a:prstGeom>
      </xdr:spPr>
    </xdr:pic>
    <xdr:clientData/>
  </xdr:twoCellAnchor>
  <xdr:twoCellAnchor editAs="oneCell">
    <xdr:from>
      <xdr:col>5</xdr:col>
      <xdr:colOff>207065</xdr:colOff>
      <xdr:row>35</xdr:row>
      <xdr:rowOff>74543</xdr:rowOff>
    </xdr:from>
    <xdr:to>
      <xdr:col>5</xdr:col>
      <xdr:colOff>1432002</xdr:colOff>
      <xdr:row>37</xdr:row>
      <xdr:rowOff>159216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6152" y="6278217"/>
          <a:ext cx="1218406" cy="466217"/>
        </a:xfrm>
        <a:prstGeom prst="rect">
          <a:avLst/>
        </a:prstGeom>
      </xdr:spPr>
    </xdr:pic>
    <xdr:clientData/>
  </xdr:twoCellAnchor>
  <xdr:twoCellAnchor editAs="oneCell">
    <xdr:from>
      <xdr:col>6</xdr:col>
      <xdr:colOff>115957</xdr:colOff>
      <xdr:row>35</xdr:row>
      <xdr:rowOff>66261</xdr:rowOff>
    </xdr:from>
    <xdr:to>
      <xdr:col>6</xdr:col>
      <xdr:colOff>1131363</xdr:colOff>
      <xdr:row>37</xdr:row>
      <xdr:rowOff>118595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8E3993A-FCBC-40BA-B694-54B88FCAB7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62870" y="6269935"/>
          <a:ext cx="1010780" cy="433334"/>
        </a:xfrm>
        <a:prstGeom prst="rect">
          <a:avLst/>
        </a:prstGeom>
      </xdr:spPr>
    </xdr:pic>
    <xdr:clientData/>
  </xdr:twoCellAnchor>
  <xdr:twoCellAnchor editAs="oneCell">
    <xdr:from>
      <xdr:col>10</xdr:col>
      <xdr:colOff>363474</xdr:colOff>
      <xdr:row>21</xdr:row>
      <xdr:rowOff>36030</xdr:rowOff>
    </xdr:from>
    <xdr:to>
      <xdr:col>10</xdr:col>
      <xdr:colOff>556631</xdr:colOff>
      <xdr:row>22</xdr:row>
      <xdr:rowOff>1656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539B965-9FE3-78DD-1664-9E941678B5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34517" y="4119356"/>
          <a:ext cx="186626" cy="1644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39</xdr:row>
      <xdr:rowOff>0</xdr:rowOff>
    </xdr:from>
    <xdr:to>
      <xdr:col>6</xdr:col>
      <xdr:colOff>1108465</xdr:colOff>
      <xdr:row>41</xdr:row>
      <xdr:rowOff>97561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EBFE599-953B-49BB-974A-319156F83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6913" y="6965674"/>
          <a:ext cx="1110370" cy="47475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39</xdr:row>
      <xdr:rowOff>0</xdr:rowOff>
    </xdr:from>
    <xdr:to>
      <xdr:col>8</xdr:col>
      <xdr:colOff>109578</xdr:colOff>
      <xdr:row>41</xdr:row>
      <xdr:rowOff>71964</xdr:rowOff>
    </xdr:to>
    <xdr:pic>
      <xdr:nvPicPr>
        <xdr:cNvPr id="9" name="Picture 8" descr="Franco Signature w stamp.jpg">
          <a:extLst>
            <a:ext uri="{FF2B5EF4-FFF2-40B4-BE49-F238E27FC236}">
              <a16:creationId xmlns:a16="http://schemas.microsoft.com/office/drawing/2014/main" id="{C678B76C-C74B-4190-8260-41739710F6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7346674" y="6965674"/>
          <a:ext cx="1706216" cy="451059"/>
        </a:xfrm>
        <a:prstGeom prst="rect">
          <a:avLst/>
        </a:prstGeom>
      </xdr:spPr>
    </xdr:pic>
    <xdr:clientData/>
  </xdr:twoCellAnchor>
  <xdr:twoCellAnchor editAs="oneCell">
    <xdr:from>
      <xdr:col>8</xdr:col>
      <xdr:colOff>8283</xdr:colOff>
      <xdr:row>22</xdr:row>
      <xdr:rowOff>8283</xdr:rowOff>
    </xdr:from>
    <xdr:to>
      <xdr:col>8</xdr:col>
      <xdr:colOff>213996</xdr:colOff>
      <xdr:row>22</xdr:row>
      <xdr:rowOff>191456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763AD3E2-DFF1-43EE-92DC-CA33E0DCC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953500" y="4290392"/>
          <a:ext cx="205713" cy="183173"/>
        </a:xfrm>
        <a:prstGeom prst="rect">
          <a:avLst/>
        </a:prstGeom>
      </xdr:spPr>
    </xdr:pic>
    <xdr:clientData/>
  </xdr:twoCellAnchor>
  <xdr:twoCellAnchor editAs="oneCell">
    <xdr:from>
      <xdr:col>8</xdr:col>
      <xdr:colOff>8284</xdr:colOff>
      <xdr:row>24</xdr:row>
      <xdr:rowOff>8283</xdr:rowOff>
    </xdr:from>
    <xdr:to>
      <xdr:col>8</xdr:col>
      <xdr:colOff>187636</xdr:colOff>
      <xdr:row>25</xdr:row>
      <xdr:rowOff>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F69D8C2-142B-3944-6CFA-9AFB8672A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953501" y="4687957"/>
          <a:ext cx="179352" cy="182217"/>
        </a:xfrm>
        <a:prstGeom prst="rect">
          <a:avLst/>
        </a:prstGeom>
      </xdr:spPr>
    </xdr:pic>
    <xdr:clientData/>
  </xdr:twoCellAnchor>
  <xdr:twoCellAnchor editAs="oneCell">
    <xdr:from>
      <xdr:col>8</xdr:col>
      <xdr:colOff>8284</xdr:colOff>
      <xdr:row>25</xdr:row>
      <xdr:rowOff>8284</xdr:rowOff>
    </xdr:from>
    <xdr:to>
      <xdr:col>8</xdr:col>
      <xdr:colOff>192330</xdr:colOff>
      <xdr:row>26</xdr:row>
      <xdr:rowOff>8284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ED00A12-BC18-A4A8-C26C-481FD0F2E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953501" y="4878458"/>
          <a:ext cx="184046" cy="190500"/>
        </a:xfrm>
        <a:prstGeom prst="rect">
          <a:avLst/>
        </a:prstGeom>
      </xdr:spPr>
    </xdr:pic>
    <xdr:clientData/>
  </xdr:twoCellAnchor>
  <xdr:twoCellAnchor editAs="oneCell">
    <xdr:from>
      <xdr:col>8</xdr:col>
      <xdr:colOff>8283</xdr:colOff>
      <xdr:row>28</xdr:row>
      <xdr:rowOff>8285</xdr:rowOff>
    </xdr:from>
    <xdr:to>
      <xdr:col>8</xdr:col>
      <xdr:colOff>208410</xdr:colOff>
      <xdr:row>29</xdr:row>
      <xdr:rowOff>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4196F847-1390-724E-61F1-3F469D648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953500" y="5449959"/>
          <a:ext cx="200127" cy="182216"/>
        </a:xfrm>
        <a:prstGeom prst="rect">
          <a:avLst/>
        </a:prstGeom>
      </xdr:spPr>
    </xdr:pic>
    <xdr:clientData/>
  </xdr:twoCellAnchor>
  <xdr:twoCellAnchor editAs="oneCell">
    <xdr:from>
      <xdr:col>8</xdr:col>
      <xdr:colOff>8284</xdr:colOff>
      <xdr:row>29</xdr:row>
      <xdr:rowOff>8284</xdr:rowOff>
    </xdr:from>
    <xdr:to>
      <xdr:col>8</xdr:col>
      <xdr:colOff>174599</xdr:colOff>
      <xdr:row>30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482F339B-A0F2-9672-505E-87E9D4AEA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953501" y="5640458"/>
          <a:ext cx="166315" cy="182216"/>
        </a:xfrm>
        <a:prstGeom prst="rect">
          <a:avLst/>
        </a:prstGeom>
      </xdr:spPr>
    </xdr:pic>
    <xdr:clientData/>
  </xdr:twoCellAnchor>
  <xdr:twoCellAnchor editAs="oneCell">
    <xdr:from>
      <xdr:col>8</xdr:col>
      <xdr:colOff>8284</xdr:colOff>
      <xdr:row>30</xdr:row>
      <xdr:rowOff>8284</xdr:rowOff>
    </xdr:from>
    <xdr:to>
      <xdr:col>8</xdr:col>
      <xdr:colOff>211442</xdr:colOff>
      <xdr:row>31</xdr:row>
      <xdr:rowOff>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EB97A77A-F73E-6CDD-9A92-0C661EF0A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953501" y="5830958"/>
          <a:ext cx="203158" cy="182216"/>
        </a:xfrm>
        <a:prstGeom prst="rect">
          <a:avLst/>
        </a:prstGeom>
      </xdr:spPr>
    </xdr:pic>
    <xdr:clientData/>
  </xdr:twoCellAnchor>
  <xdr:twoCellAnchor editAs="oneCell">
    <xdr:from>
      <xdr:col>9</xdr:col>
      <xdr:colOff>8283</xdr:colOff>
      <xdr:row>28</xdr:row>
      <xdr:rowOff>8283</xdr:rowOff>
    </xdr:from>
    <xdr:to>
      <xdr:col>9</xdr:col>
      <xdr:colOff>173936</xdr:colOff>
      <xdr:row>29</xdr:row>
      <xdr:rowOff>1952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E309FBCD-1490-435C-B5ED-F8D432C8BC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566413" y="5449957"/>
          <a:ext cx="165653" cy="184169"/>
        </a:xfrm>
        <a:prstGeom prst="rect">
          <a:avLst/>
        </a:prstGeom>
      </xdr:spPr>
    </xdr:pic>
    <xdr:clientData/>
  </xdr:twoCellAnchor>
  <xdr:twoCellAnchor editAs="oneCell">
    <xdr:from>
      <xdr:col>9</xdr:col>
      <xdr:colOff>7327</xdr:colOff>
      <xdr:row>22</xdr:row>
      <xdr:rowOff>7328</xdr:rowOff>
    </xdr:from>
    <xdr:to>
      <xdr:col>9</xdr:col>
      <xdr:colOff>177842</xdr:colOff>
      <xdr:row>23</xdr:row>
      <xdr:rowOff>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83DF686F-E992-0317-EEF0-5F9DF77DF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539654" y="4278924"/>
          <a:ext cx="170515" cy="190500"/>
        </a:xfrm>
        <a:prstGeom prst="rect">
          <a:avLst/>
        </a:prstGeom>
      </xdr:spPr>
    </xdr:pic>
    <xdr:clientData/>
  </xdr:twoCellAnchor>
  <xdr:twoCellAnchor editAs="oneCell">
    <xdr:from>
      <xdr:col>10</xdr:col>
      <xdr:colOff>7328</xdr:colOff>
      <xdr:row>28</xdr:row>
      <xdr:rowOff>7328</xdr:rowOff>
    </xdr:from>
    <xdr:to>
      <xdr:col>10</xdr:col>
      <xdr:colOff>168519</xdr:colOff>
      <xdr:row>29</xdr:row>
      <xdr:rowOff>482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4163AED5-44BD-E404-5D83-8387B700B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147790" y="5436578"/>
          <a:ext cx="161191" cy="183654"/>
        </a:xfrm>
        <a:prstGeom prst="rect">
          <a:avLst/>
        </a:prstGeom>
      </xdr:spPr>
    </xdr:pic>
    <xdr:clientData/>
  </xdr:twoCellAnchor>
  <xdr:twoCellAnchor editAs="oneCell">
    <xdr:from>
      <xdr:col>9</xdr:col>
      <xdr:colOff>7328</xdr:colOff>
      <xdr:row>30</xdr:row>
      <xdr:rowOff>7327</xdr:rowOff>
    </xdr:from>
    <xdr:to>
      <xdr:col>9</xdr:col>
      <xdr:colOff>167206</xdr:colOff>
      <xdr:row>31</xdr:row>
      <xdr:rowOff>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ABA6FC3-C10C-DA9D-6571-36997F996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9539655" y="5817577"/>
          <a:ext cx="159878" cy="183173"/>
        </a:xfrm>
        <a:prstGeom prst="rect">
          <a:avLst/>
        </a:prstGeom>
      </xdr:spPr>
    </xdr:pic>
    <xdr:clientData/>
  </xdr:twoCellAnchor>
  <xdr:twoCellAnchor editAs="oneCell">
    <xdr:from>
      <xdr:col>9</xdr:col>
      <xdr:colOff>7328</xdr:colOff>
      <xdr:row>26</xdr:row>
      <xdr:rowOff>7328</xdr:rowOff>
    </xdr:from>
    <xdr:to>
      <xdr:col>9</xdr:col>
      <xdr:colOff>168520</xdr:colOff>
      <xdr:row>26</xdr:row>
      <xdr:rowOff>189842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844CDCD-06DC-E54F-B0BA-5D903E9C0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9539655" y="5055578"/>
          <a:ext cx="161192" cy="182514"/>
        </a:xfrm>
        <a:prstGeom prst="rect">
          <a:avLst/>
        </a:prstGeom>
      </xdr:spPr>
    </xdr:pic>
    <xdr:clientData/>
  </xdr:twoCellAnchor>
  <xdr:twoCellAnchor editAs="oneCell">
    <xdr:from>
      <xdr:col>10</xdr:col>
      <xdr:colOff>432289</xdr:colOff>
      <xdr:row>22</xdr:row>
      <xdr:rowOff>7328</xdr:rowOff>
    </xdr:from>
    <xdr:to>
      <xdr:col>10</xdr:col>
      <xdr:colOff>603591</xdr:colOff>
      <xdr:row>23</xdr:row>
      <xdr:rowOff>1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68EC74F4-C150-59C5-181F-9945A090B8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0572751" y="4278924"/>
          <a:ext cx="171302" cy="190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91F06-D7A8-4B3B-9A5C-8281FC34F40A}">
  <sheetPr codeName="Sheet1"/>
  <dimension ref="A1:L159"/>
  <sheetViews>
    <sheetView zoomScaleNormal="100" workbookViewId="0">
      <pane ySplit="1" topLeftCell="A110" activePane="bottomLeft" state="frozen"/>
      <selection pane="bottomLeft" activeCell="A117" sqref="A117"/>
    </sheetView>
  </sheetViews>
  <sheetFormatPr defaultRowHeight="15" x14ac:dyDescent="0.25"/>
  <cols>
    <col min="1" max="1" width="35.7109375" style="3" bestFit="1" customWidth="1"/>
    <col min="2" max="2" width="4.5703125" style="3" bestFit="1" customWidth="1"/>
    <col min="3" max="3" width="6.42578125" style="3" bestFit="1" customWidth="1"/>
    <col min="4" max="4" width="49.28515625" style="3" bestFit="1" customWidth="1"/>
    <col min="5" max="5" width="6" style="3" bestFit="1" customWidth="1"/>
    <col min="6" max="6" width="19.28515625" style="3" bestFit="1" customWidth="1"/>
    <col min="7" max="7" width="7.28515625" style="3" customWidth="1"/>
    <col min="8" max="9" width="10.85546875" style="3" bestFit="1" customWidth="1"/>
    <col min="10" max="10" width="10.7109375" style="3" customWidth="1"/>
    <col min="11" max="11" width="9.140625" style="3"/>
    <col min="12" max="12" width="12" style="3" bestFit="1" customWidth="1"/>
    <col min="13" max="16384" width="9.140625" style="3"/>
  </cols>
  <sheetData>
    <row r="1" spans="1:12" s="56" customFormat="1" ht="15.75" x14ac:dyDescent="0.25">
      <c r="A1" s="56" t="s">
        <v>531</v>
      </c>
      <c r="B1" s="56" t="s">
        <v>614</v>
      </c>
      <c r="C1" s="56" t="s">
        <v>615</v>
      </c>
      <c r="D1" s="56" t="s">
        <v>532</v>
      </c>
      <c r="E1" s="56" t="s">
        <v>636</v>
      </c>
      <c r="F1" s="56" t="s">
        <v>637</v>
      </c>
      <c r="G1" s="56" t="s">
        <v>533</v>
      </c>
      <c r="H1" s="56" t="s">
        <v>616</v>
      </c>
      <c r="I1" s="56" t="s">
        <v>617</v>
      </c>
      <c r="J1" s="56" t="s">
        <v>534</v>
      </c>
      <c r="L1" s="56" t="s">
        <v>535</v>
      </c>
    </row>
    <row r="2" spans="1:12" x14ac:dyDescent="0.25">
      <c r="A2" s="3" t="s">
        <v>620</v>
      </c>
      <c r="B2" s="3">
        <v>0</v>
      </c>
      <c r="C2" s="3">
        <v>72084</v>
      </c>
      <c r="D2" s="3" t="str">
        <f t="shared" ref="D2:D36" si="0">A2 &amp; " REV. " &amp; B2 &amp; " @" &amp; C2</f>
        <v>RT-88030-0067-01-DD-C REV. 0 @72084</v>
      </c>
      <c r="E2" s="3">
        <v>38758</v>
      </c>
      <c r="F2" s="3" t="s">
        <v>638</v>
      </c>
      <c r="G2" s="3" t="s">
        <v>538</v>
      </c>
      <c r="H2" s="3" t="s">
        <v>618</v>
      </c>
    </row>
    <row r="3" spans="1:12" x14ac:dyDescent="0.25">
      <c r="A3" s="3" t="s">
        <v>620</v>
      </c>
      <c r="B3" s="3">
        <v>0</v>
      </c>
      <c r="C3" s="3">
        <v>72086</v>
      </c>
      <c r="D3" s="3" t="str">
        <f t="shared" si="0"/>
        <v>RT-88030-0067-01-DD-C REV. 0 @72086</v>
      </c>
      <c r="E3" s="3">
        <v>38759</v>
      </c>
      <c r="F3" s="3" t="s">
        <v>639</v>
      </c>
      <c r="G3" s="3" t="s">
        <v>538</v>
      </c>
      <c r="H3" s="3" t="s">
        <v>618</v>
      </c>
    </row>
    <row r="4" spans="1:12" x14ac:dyDescent="0.25">
      <c r="A4" s="3" t="s">
        <v>621</v>
      </c>
      <c r="B4" s="3">
        <v>0</v>
      </c>
      <c r="C4" s="3">
        <v>72083</v>
      </c>
      <c r="D4" s="3" t="str">
        <f t="shared" ref="D4:D19" si="1">A4 &amp; " REV. " &amp; B4 &amp; " @" &amp; C4</f>
        <v>RT-88030-0035-1-DD-2 REV. 0 @72083</v>
      </c>
      <c r="E4" s="3">
        <v>38758</v>
      </c>
      <c r="F4" s="3" t="s">
        <v>638</v>
      </c>
      <c r="G4" s="3" t="s">
        <v>538</v>
      </c>
      <c r="H4" s="3" t="s">
        <v>618</v>
      </c>
    </row>
    <row r="5" spans="1:12" x14ac:dyDescent="0.25">
      <c r="A5" s="3" t="s">
        <v>621</v>
      </c>
      <c r="B5" s="3">
        <v>0</v>
      </c>
      <c r="C5" s="3">
        <v>72085</v>
      </c>
      <c r="D5" s="3" t="str">
        <f t="shared" si="1"/>
        <v>RT-88030-0035-1-DD-2 REV. 0 @72085</v>
      </c>
      <c r="E5" s="3">
        <v>38759</v>
      </c>
      <c r="F5" s="3" t="s">
        <v>639</v>
      </c>
      <c r="G5" s="3" t="s">
        <v>538</v>
      </c>
      <c r="H5" s="3" t="s">
        <v>618</v>
      </c>
    </row>
    <row r="6" spans="1:12" x14ac:dyDescent="0.25">
      <c r="A6" s="3" t="s">
        <v>630</v>
      </c>
      <c r="B6" s="3">
        <v>0</v>
      </c>
      <c r="C6" s="3">
        <v>72084</v>
      </c>
      <c r="D6" s="3" t="str">
        <f t="shared" si="1"/>
        <v>RT-88030-0068-01-DD-C REV. 0 @72084</v>
      </c>
      <c r="E6" s="3">
        <v>38758</v>
      </c>
      <c r="F6" s="3" t="s">
        <v>638</v>
      </c>
      <c r="G6" s="3" t="s">
        <v>538</v>
      </c>
      <c r="H6" s="3" t="s">
        <v>618</v>
      </c>
    </row>
    <row r="7" spans="1:12" x14ac:dyDescent="0.25">
      <c r="A7" s="3" t="s">
        <v>630</v>
      </c>
      <c r="B7" s="3">
        <v>0</v>
      </c>
      <c r="C7" s="3">
        <v>72086</v>
      </c>
      <c r="D7" s="3" t="str">
        <f t="shared" si="1"/>
        <v>RT-88030-0068-01-DD-C REV. 0 @72086</v>
      </c>
      <c r="E7" s="3">
        <v>38759</v>
      </c>
      <c r="F7" s="3" t="s">
        <v>639</v>
      </c>
      <c r="G7" s="3" t="s">
        <v>538</v>
      </c>
      <c r="H7" s="3" t="s">
        <v>618</v>
      </c>
    </row>
    <row r="8" spans="1:12" x14ac:dyDescent="0.25">
      <c r="A8" s="3" t="s">
        <v>631</v>
      </c>
      <c r="B8" s="3">
        <v>1</v>
      </c>
      <c r="C8" s="3">
        <v>72084</v>
      </c>
      <c r="D8" s="3" t="str">
        <f t="shared" si="1"/>
        <v>RT-88030-0069-01-DD-C REV. 1 @72084</v>
      </c>
      <c r="E8" s="3">
        <v>38758</v>
      </c>
      <c r="F8" s="3" t="s">
        <v>638</v>
      </c>
      <c r="G8" s="3" t="s">
        <v>538</v>
      </c>
      <c r="H8" s="3" t="s">
        <v>618</v>
      </c>
    </row>
    <row r="9" spans="1:12" x14ac:dyDescent="0.25">
      <c r="A9" s="3" t="s">
        <v>631</v>
      </c>
      <c r="B9" s="3">
        <v>1</v>
      </c>
      <c r="C9" s="3">
        <v>72086</v>
      </c>
      <c r="D9" s="3" t="str">
        <f t="shared" si="1"/>
        <v>RT-88030-0069-01-DD-C REV. 1 @72086</v>
      </c>
      <c r="E9" s="3">
        <v>38759</v>
      </c>
      <c r="F9" s="3" t="s">
        <v>639</v>
      </c>
      <c r="G9" s="3" t="s">
        <v>538</v>
      </c>
      <c r="H9" s="3" t="s">
        <v>618</v>
      </c>
    </row>
    <row r="10" spans="1:12" x14ac:dyDescent="0.25">
      <c r="A10" s="3" t="s">
        <v>632</v>
      </c>
      <c r="B10" s="3">
        <v>0</v>
      </c>
      <c r="C10" s="3">
        <v>72084</v>
      </c>
      <c r="D10" s="3" t="str">
        <f t="shared" si="1"/>
        <v>RT-88030-0070-01-DD-C REV. 0 @72084</v>
      </c>
      <c r="E10" s="3">
        <v>38758</v>
      </c>
      <c r="F10" s="3" t="s">
        <v>638</v>
      </c>
      <c r="G10" s="3" t="s">
        <v>538</v>
      </c>
      <c r="H10" s="3" t="s">
        <v>618</v>
      </c>
    </row>
    <row r="11" spans="1:12" x14ac:dyDescent="0.25">
      <c r="A11" s="3" t="s">
        <v>632</v>
      </c>
      <c r="B11" s="3">
        <v>0</v>
      </c>
      <c r="C11" s="3">
        <v>72086</v>
      </c>
      <c r="D11" s="3" t="str">
        <f t="shared" si="1"/>
        <v>RT-88030-0070-01-DD-C REV. 0 @72086</v>
      </c>
      <c r="E11" s="3">
        <v>38759</v>
      </c>
      <c r="F11" s="3" t="s">
        <v>639</v>
      </c>
      <c r="G11" s="3" t="s">
        <v>538</v>
      </c>
      <c r="H11" s="3" t="s">
        <v>618</v>
      </c>
    </row>
    <row r="12" spans="1:12" x14ac:dyDescent="0.25">
      <c r="A12" s="3" t="s">
        <v>633</v>
      </c>
      <c r="B12" s="3">
        <v>1</v>
      </c>
      <c r="C12" s="3">
        <v>72084</v>
      </c>
      <c r="D12" s="3" t="str">
        <f t="shared" si="1"/>
        <v>RT-88030-0071-01-DD-C REV. 1 @72084</v>
      </c>
      <c r="E12" s="3">
        <v>38758</v>
      </c>
      <c r="F12" s="3" t="s">
        <v>638</v>
      </c>
      <c r="G12" s="3" t="s">
        <v>538</v>
      </c>
      <c r="H12" s="3" t="s">
        <v>618</v>
      </c>
    </row>
    <row r="13" spans="1:12" x14ac:dyDescent="0.25">
      <c r="A13" s="3" t="s">
        <v>633</v>
      </c>
      <c r="B13" s="3">
        <v>1</v>
      </c>
      <c r="C13" s="3">
        <v>72086</v>
      </c>
      <c r="D13" s="3" t="str">
        <f t="shared" si="1"/>
        <v>RT-88030-0071-01-DD-C REV. 1 @72086</v>
      </c>
      <c r="E13" s="3">
        <v>38759</v>
      </c>
      <c r="F13" s="3" t="s">
        <v>639</v>
      </c>
      <c r="G13" s="3" t="s">
        <v>538</v>
      </c>
      <c r="H13" s="3" t="s">
        <v>618</v>
      </c>
    </row>
    <row r="14" spans="1:12" x14ac:dyDescent="0.25">
      <c r="A14" s="3" t="s">
        <v>634</v>
      </c>
      <c r="B14" s="3">
        <v>0</v>
      </c>
      <c r="C14" s="3">
        <v>72084</v>
      </c>
      <c r="D14" s="3" t="str">
        <f t="shared" si="1"/>
        <v>RT-88030-0075-01-DD-C REV. 0 @72084</v>
      </c>
      <c r="E14" s="3">
        <v>38758</v>
      </c>
      <c r="F14" s="3" t="s">
        <v>638</v>
      </c>
      <c r="G14" s="3" t="s">
        <v>538</v>
      </c>
      <c r="H14" s="3" t="s">
        <v>618</v>
      </c>
    </row>
    <row r="15" spans="1:12" x14ac:dyDescent="0.25">
      <c r="A15" s="3" t="s">
        <v>634</v>
      </c>
      <c r="B15" s="3">
        <v>0</v>
      </c>
      <c r="C15" s="3">
        <v>72086</v>
      </c>
      <c r="D15" s="3" t="str">
        <f t="shared" si="1"/>
        <v>RT-88030-0075-01-DD-C REV. 0 @72086</v>
      </c>
      <c r="E15" s="3">
        <v>38759</v>
      </c>
      <c r="F15" s="3" t="s">
        <v>639</v>
      </c>
      <c r="G15" s="3" t="s">
        <v>538</v>
      </c>
      <c r="H15" s="3" t="s">
        <v>618</v>
      </c>
    </row>
    <row r="16" spans="1:12" x14ac:dyDescent="0.25">
      <c r="A16" s="3" t="s">
        <v>635</v>
      </c>
      <c r="B16" s="3">
        <v>1</v>
      </c>
      <c r="C16" s="3">
        <v>72084</v>
      </c>
      <c r="D16" s="3" t="str">
        <f t="shared" si="1"/>
        <v>RT-88030-0076-01-DD-D REV. 1 @72084</v>
      </c>
      <c r="E16" s="3">
        <v>38758</v>
      </c>
      <c r="F16" s="3" t="s">
        <v>638</v>
      </c>
      <c r="G16" s="3" t="s">
        <v>538</v>
      </c>
      <c r="H16" s="3" t="s">
        <v>618</v>
      </c>
    </row>
    <row r="17" spans="1:8" x14ac:dyDescent="0.25">
      <c r="A17" s="3" t="s">
        <v>635</v>
      </c>
      <c r="B17" s="3">
        <v>1</v>
      </c>
      <c r="C17" s="3">
        <v>72086</v>
      </c>
      <c r="D17" s="3" t="str">
        <f t="shared" si="1"/>
        <v>RT-88030-0076-01-DD-D REV. 1 @72086</v>
      </c>
      <c r="E17" s="3">
        <v>38759</v>
      </c>
      <c r="F17" s="3" t="s">
        <v>639</v>
      </c>
      <c r="G17" s="3" t="s">
        <v>538</v>
      </c>
      <c r="H17" s="3" t="s">
        <v>618</v>
      </c>
    </row>
    <row r="18" spans="1:8" x14ac:dyDescent="0.25">
      <c r="A18" s="3" t="s">
        <v>624</v>
      </c>
      <c r="B18" s="3">
        <v>1</v>
      </c>
      <c r="C18" s="3">
        <v>72083</v>
      </c>
      <c r="D18" s="3" t="str">
        <f t="shared" si="1"/>
        <v>RT-88030-0125-01-DD-2 REV. 1 @72083</v>
      </c>
      <c r="E18" s="3">
        <v>38758</v>
      </c>
      <c r="F18" s="3" t="s">
        <v>638</v>
      </c>
      <c r="G18" s="3" t="s">
        <v>538</v>
      </c>
      <c r="H18" s="3" t="s">
        <v>618</v>
      </c>
    </row>
    <row r="19" spans="1:8" x14ac:dyDescent="0.25">
      <c r="A19" s="3" t="s">
        <v>624</v>
      </c>
      <c r="B19" s="3">
        <v>1</v>
      </c>
      <c r="C19" s="3">
        <v>72085</v>
      </c>
      <c r="D19" s="3" t="str">
        <f t="shared" si="1"/>
        <v>RT-88030-0125-01-DD-2 REV. 1 @72085</v>
      </c>
      <c r="E19" s="3">
        <v>38759</v>
      </c>
      <c r="F19" s="3" t="s">
        <v>639</v>
      </c>
      <c r="G19" s="3" t="s">
        <v>538</v>
      </c>
      <c r="H19" s="3" t="s">
        <v>618</v>
      </c>
    </row>
    <row r="20" spans="1:8" x14ac:dyDescent="0.25">
      <c r="A20" s="3" t="s">
        <v>622</v>
      </c>
      <c r="B20" s="3">
        <v>0</v>
      </c>
      <c r="C20" s="3">
        <v>72083</v>
      </c>
      <c r="D20" s="3" t="str">
        <f t="shared" si="0"/>
        <v>RT-88030-0302-01-DD-2 REV. 0 @72083</v>
      </c>
      <c r="E20" s="3">
        <v>38758</v>
      </c>
      <c r="F20" s="3" t="s">
        <v>638</v>
      </c>
      <c r="G20" s="3" t="s">
        <v>538</v>
      </c>
      <c r="H20" s="3" t="s">
        <v>618</v>
      </c>
    </row>
    <row r="21" spans="1:8" x14ac:dyDescent="0.25">
      <c r="A21" s="3" t="s">
        <v>622</v>
      </c>
      <c r="B21" s="3">
        <v>0</v>
      </c>
      <c r="C21" s="3">
        <v>72085</v>
      </c>
      <c r="D21" s="3" t="str">
        <f t="shared" si="0"/>
        <v>RT-88030-0302-01-DD-2 REV. 0 @72085</v>
      </c>
      <c r="E21" s="3">
        <v>38759</v>
      </c>
      <c r="F21" s="3" t="s">
        <v>639</v>
      </c>
      <c r="G21" s="3" t="s">
        <v>538</v>
      </c>
      <c r="H21" s="3" t="s">
        <v>618</v>
      </c>
    </row>
    <row r="22" spans="1:8" x14ac:dyDescent="0.25">
      <c r="A22" s="3" t="s">
        <v>625</v>
      </c>
      <c r="B22" s="3">
        <v>0</v>
      </c>
      <c r="C22" s="3">
        <v>72083</v>
      </c>
      <c r="D22" s="3" t="str">
        <f t="shared" si="0"/>
        <v>RT-88030-0307-01-DD-C REV. 0 @72083</v>
      </c>
      <c r="E22" s="3">
        <v>38758</v>
      </c>
      <c r="F22" s="3" t="s">
        <v>638</v>
      </c>
      <c r="G22" s="3" t="s">
        <v>538</v>
      </c>
      <c r="H22" s="3" t="s">
        <v>618</v>
      </c>
    </row>
    <row r="23" spans="1:8" x14ac:dyDescent="0.25">
      <c r="A23" s="3" t="s">
        <v>625</v>
      </c>
      <c r="B23" s="3">
        <v>0</v>
      </c>
      <c r="C23" s="3">
        <v>72085</v>
      </c>
      <c r="D23" s="3" t="str">
        <f t="shared" si="0"/>
        <v>RT-88030-0307-01-DD-C REV. 0 @72085</v>
      </c>
      <c r="E23" s="3">
        <v>38759</v>
      </c>
      <c r="F23" s="3" t="s">
        <v>639</v>
      </c>
      <c r="G23" s="3" t="s">
        <v>538</v>
      </c>
      <c r="H23" s="3" t="s">
        <v>618</v>
      </c>
    </row>
    <row r="24" spans="1:8" x14ac:dyDescent="0.25">
      <c r="A24" s="3" t="s">
        <v>626</v>
      </c>
      <c r="B24" s="3">
        <v>0</v>
      </c>
      <c r="C24" s="3">
        <v>72083</v>
      </c>
      <c r="D24" s="3" t="str">
        <f t="shared" si="0"/>
        <v>RT-88030-0315-01-DD-C REV. 0 @72083</v>
      </c>
      <c r="E24" s="3">
        <v>38758</v>
      </c>
      <c r="F24" s="3" t="s">
        <v>638</v>
      </c>
      <c r="G24" s="3" t="s">
        <v>538</v>
      </c>
      <c r="H24" s="3" t="s">
        <v>618</v>
      </c>
    </row>
    <row r="25" spans="1:8" x14ac:dyDescent="0.25">
      <c r="A25" s="3" t="s">
        <v>626</v>
      </c>
      <c r="B25" s="3">
        <v>0</v>
      </c>
      <c r="C25" s="3">
        <v>72085</v>
      </c>
      <c r="D25" s="3" t="str">
        <f t="shared" si="0"/>
        <v>RT-88030-0315-01-DD-C REV. 0 @72085</v>
      </c>
      <c r="E25" s="3">
        <v>38759</v>
      </c>
      <c r="F25" s="3" t="s">
        <v>639</v>
      </c>
      <c r="G25" s="3" t="s">
        <v>538</v>
      </c>
      <c r="H25" s="3" t="s">
        <v>618</v>
      </c>
    </row>
    <row r="26" spans="1:8" x14ac:dyDescent="0.25">
      <c r="A26" s="3" t="s">
        <v>627</v>
      </c>
      <c r="B26" s="3">
        <v>0</v>
      </c>
      <c r="C26" s="3">
        <v>72084</v>
      </c>
      <c r="D26" s="3" t="str">
        <f t="shared" si="0"/>
        <v>RT38-17300-002_000-0000-003-01-DD-B REV. 0 @72084</v>
      </c>
      <c r="E26" s="3">
        <v>38758</v>
      </c>
      <c r="F26" s="3" t="s">
        <v>638</v>
      </c>
      <c r="G26" s="3" t="s">
        <v>538</v>
      </c>
      <c r="H26" s="3" t="s">
        <v>618</v>
      </c>
    </row>
    <row r="27" spans="1:8" x14ac:dyDescent="0.25">
      <c r="A27" s="3" t="s">
        <v>627</v>
      </c>
      <c r="B27" s="3">
        <v>0</v>
      </c>
      <c r="C27" s="3">
        <v>72086</v>
      </c>
      <c r="D27" s="3" t="str">
        <f t="shared" si="0"/>
        <v>RT38-17300-002_000-0000-003-01-DD-B REV. 0 @72086</v>
      </c>
      <c r="E27" s="3">
        <v>38759</v>
      </c>
      <c r="F27" s="3" t="s">
        <v>639</v>
      </c>
      <c r="G27" s="3" t="s">
        <v>538</v>
      </c>
      <c r="H27" s="3" t="s">
        <v>618</v>
      </c>
    </row>
    <row r="28" spans="1:8" x14ac:dyDescent="0.25">
      <c r="A28" s="3" t="s">
        <v>628</v>
      </c>
      <c r="B28" s="3">
        <v>1</v>
      </c>
      <c r="C28" s="3">
        <v>72083</v>
      </c>
      <c r="D28" s="3" t="str">
        <f t="shared" si="0"/>
        <v>RT38-17300-008_000-0000-007-01-DD-C REV. 1 @72083</v>
      </c>
      <c r="E28" s="3">
        <v>38758</v>
      </c>
      <c r="F28" s="3" t="s">
        <v>638</v>
      </c>
      <c r="G28" s="3" t="s">
        <v>539</v>
      </c>
      <c r="H28" s="3" t="s">
        <v>618</v>
      </c>
    </row>
    <row r="29" spans="1:8" x14ac:dyDescent="0.25">
      <c r="A29" s="3" t="s">
        <v>628</v>
      </c>
      <c r="B29" s="3">
        <v>1</v>
      </c>
      <c r="C29" s="3">
        <v>72085</v>
      </c>
      <c r="D29" s="3" t="str">
        <f t="shared" si="0"/>
        <v>RT38-17300-008_000-0000-007-01-DD-C REV. 1 @72085</v>
      </c>
      <c r="E29" s="3">
        <v>38759</v>
      </c>
      <c r="F29" s="3" t="s">
        <v>639</v>
      </c>
      <c r="G29" s="3" t="s">
        <v>539</v>
      </c>
      <c r="H29" s="3" t="s">
        <v>618</v>
      </c>
    </row>
    <row r="30" spans="1:8" x14ac:dyDescent="0.25">
      <c r="A30" s="3" t="s">
        <v>629</v>
      </c>
      <c r="B30" s="3">
        <v>0</v>
      </c>
      <c r="C30" s="3">
        <v>72083</v>
      </c>
      <c r="D30" s="3" t="str">
        <f t="shared" si="0"/>
        <v>RT38-17300-008_000-0000-008-01-DD-C REV. 0 @72083</v>
      </c>
      <c r="E30" s="3">
        <v>38758</v>
      </c>
      <c r="F30" s="3" t="s">
        <v>638</v>
      </c>
      <c r="G30" s="3" t="s">
        <v>539</v>
      </c>
      <c r="H30" s="3" t="s">
        <v>618</v>
      </c>
    </row>
    <row r="31" spans="1:8" x14ac:dyDescent="0.25">
      <c r="A31" s="3" t="s">
        <v>629</v>
      </c>
      <c r="B31" s="3">
        <v>0</v>
      </c>
      <c r="C31" s="3">
        <v>72085</v>
      </c>
      <c r="D31" s="3" t="str">
        <f t="shared" si="0"/>
        <v>RT38-17300-008_000-0000-008-01-DD-C REV. 0 @72085</v>
      </c>
      <c r="E31" s="3">
        <v>38759</v>
      </c>
      <c r="F31" s="3" t="s">
        <v>639</v>
      </c>
      <c r="G31" s="3" t="s">
        <v>539</v>
      </c>
      <c r="H31" s="3" t="s">
        <v>618</v>
      </c>
    </row>
    <row r="32" spans="1:8" x14ac:dyDescent="0.25">
      <c r="A32" s="3" t="s">
        <v>623</v>
      </c>
      <c r="B32" s="3">
        <v>0</v>
      </c>
      <c r="C32" s="3">
        <v>72083</v>
      </c>
      <c r="D32" s="3" t="str">
        <f>A32 &amp; " REV. " &amp; B32 &amp; " @" &amp; C32</f>
        <v>RT38-17300-008_000-0000-010-01-DD-C REV. 0 @72083</v>
      </c>
      <c r="E32" s="3">
        <v>38758</v>
      </c>
      <c r="F32" s="3" t="s">
        <v>638</v>
      </c>
      <c r="G32" s="3" t="s">
        <v>539</v>
      </c>
      <c r="H32" s="3" t="s">
        <v>618</v>
      </c>
    </row>
    <row r="33" spans="1:12" x14ac:dyDescent="0.25">
      <c r="A33" s="3" t="s">
        <v>623</v>
      </c>
      <c r="B33" s="3">
        <v>0</v>
      </c>
      <c r="C33" s="3">
        <v>72085</v>
      </c>
      <c r="D33" s="3" t="str">
        <f>A33 &amp; " REV. " &amp; B33 &amp; " @" &amp; C33</f>
        <v>RT38-17300-008_000-0000-010-01-DD-C REV. 0 @72085</v>
      </c>
      <c r="E33" s="3">
        <v>38759</v>
      </c>
      <c r="F33" s="3" t="s">
        <v>639</v>
      </c>
      <c r="G33" s="3" t="s">
        <v>539</v>
      </c>
      <c r="H33" s="3" t="s">
        <v>618</v>
      </c>
    </row>
    <row r="34" spans="1:12" x14ac:dyDescent="0.25">
      <c r="A34" s="3" t="s">
        <v>640</v>
      </c>
      <c r="B34" s="3">
        <v>1</v>
      </c>
      <c r="C34" s="3">
        <v>72083</v>
      </c>
      <c r="D34" s="3" t="str">
        <f t="shared" ref="D34:D35" si="2">A34 &amp; " REV. " &amp; B34 &amp; " @" &amp; C34</f>
        <v>21RT-88030-0401-001-DD-2 REV. 1 @72083</v>
      </c>
      <c r="E34" s="3">
        <v>38758</v>
      </c>
      <c r="F34" s="3" t="s">
        <v>638</v>
      </c>
      <c r="G34" s="3" t="s">
        <v>539</v>
      </c>
    </row>
    <row r="35" spans="1:12" x14ac:dyDescent="0.25">
      <c r="A35" s="3" t="s">
        <v>640</v>
      </c>
      <c r="B35" s="3">
        <v>1</v>
      </c>
      <c r="C35" s="3">
        <v>72085</v>
      </c>
      <c r="D35" s="3" t="str">
        <f t="shared" si="2"/>
        <v>21RT-88030-0401-001-DD-2 REV. 1 @72085</v>
      </c>
      <c r="E35" s="3">
        <v>38759</v>
      </c>
      <c r="F35" s="3" t="s">
        <v>639</v>
      </c>
      <c r="G35" s="3" t="s">
        <v>539</v>
      </c>
    </row>
    <row r="36" spans="1:12" s="56" customFormat="1" ht="15.75" x14ac:dyDescent="0.25">
      <c r="D36" s="3" t="str">
        <f t="shared" si="0"/>
        <v xml:space="preserve"> REV.  @</v>
      </c>
      <c r="E36" s="3"/>
      <c r="F36" s="3"/>
      <c r="G36" s="58" t="s">
        <v>539</v>
      </c>
    </row>
    <row r="37" spans="1:12" ht="16.5" x14ac:dyDescent="0.3">
      <c r="A37" s="3" t="s">
        <v>536</v>
      </c>
      <c r="B37" s="3">
        <v>0</v>
      </c>
      <c r="C37" s="3">
        <v>71851</v>
      </c>
      <c r="D37" s="3" t="str">
        <f t="shared" ref="D37:D100" si="3">A37 &amp; " REV. " &amp; B37 &amp; " @" &amp; C37</f>
        <v>RT-87550-0104-01-DD-D REV. 0 @71851</v>
      </c>
      <c r="G37" s="58" t="s">
        <v>538</v>
      </c>
      <c r="H37" s="3" t="s">
        <v>537</v>
      </c>
      <c r="I37" s="3" t="s">
        <v>619</v>
      </c>
      <c r="L37" s="57" t="s">
        <v>538</v>
      </c>
    </row>
    <row r="38" spans="1:12" ht="16.5" x14ac:dyDescent="0.3">
      <c r="A38" s="3" t="s">
        <v>536</v>
      </c>
      <c r="B38" s="3">
        <v>0</v>
      </c>
      <c r="C38" s="3">
        <v>72023</v>
      </c>
      <c r="D38" s="3" t="str">
        <f t="shared" si="3"/>
        <v>RT-87550-0104-01-DD-D REV. 0 @72023</v>
      </c>
      <c r="G38" s="58" t="s">
        <v>538</v>
      </c>
      <c r="H38" s="3" t="s">
        <v>537</v>
      </c>
      <c r="I38" s="3" t="s">
        <v>619</v>
      </c>
      <c r="L38" s="57" t="s">
        <v>539</v>
      </c>
    </row>
    <row r="39" spans="1:12" x14ac:dyDescent="0.25">
      <c r="A39" s="3" t="s">
        <v>540</v>
      </c>
      <c r="B39" s="3">
        <v>0</v>
      </c>
      <c r="C39" s="3">
        <v>71851</v>
      </c>
      <c r="D39" s="3" t="str">
        <f t="shared" si="3"/>
        <v>RT-87550-0105-01-DD-C REV. 0 @71851</v>
      </c>
      <c r="G39" s="58" t="s">
        <v>538</v>
      </c>
      <c r="H39" s="3" t="s">
        <v>537</v>
      </c>
      <c r="I39" s="3" t="s">
        <v>619</v>
      </c>
    </row>
    <row r="40" spans="1:12" x14ac:dyDescent="0.25">
      <c r="A40" s="3" t="s">
        <v>540</v>
      </c>
      <c r="B40" s="3">
        <v>0</v>
      </c>
      <c r="C40" s="3">
        <v>71873</v>
      </c>
      <c r="D40" s="3" t="str">
        <f t="shared" si="3"/>
        <v>RT-87550-0105-01-DD-C REV. 0 @71873</v>
      </c>
      <c r="G40" s="58" t="s">
        <v>538</v>
      </c>
      <c r="H40" s="3" t="s">
        <v>537</v>
      </c>
      <c r="I40" s="3" t="s">
        <v>619</v>
      </c>
    </row>
    <row r="41" spans="1:12" x14ac:dyDescent="0.25">
      <c r="A41" s="3" t="s">
        <v>540</v>
      </c>
      <c r="B41" s="3">
        <v>0</v>
      </c>
      <c r="C41" s="3">
        <v>72023</v>
      </c>
      <c r="D41" s="3" t="str">
        <f t="shared" si="3"/>
        <v>RT-87550-0105-01-DD-C REV. 0 @72023</v>
      </c>
      <c r="G41" s="58" t="s">
        <v>538</v>
      </c>
      <c r="H41" s="3" t="s">
        <v>537</v>
      </c>
      <c r="I41" s="3" t="s">
        <v>619</v>
      </c>
    </row>
    <row r="42" spans="1:12" x14ac:dyDescent="0.25">
      <c r="A42" s="3" t="s">
        <v>540</v>
      </c>
      <c r="B42" s="3">
        <v>0</v>
      </c>
      <c r="C42" s="3">
        <v>72024</v>
      </c>
      <c r="D42" s="3" t="str">
        <f t="shared" si="3"/>
        <v>RT-87550-0105-01-DD-C REV. 0 @72024</v>
      </c>
      <c r="G42" s="58" t="s">
        <v>538</v>
      </c>
      <c r="H42" s="3" t="s">
        <v>537</v>
      </c>
      <c r="I42" s="3" t="s">
        <v>619</v>
      </c>
    </row>
    <row r="43" spans="1:12" x14ac:dyDescent="0.25">
      <c r="A43" s="3" t="s">
        <v>541</v>
      </c>
      <c r="B43" s="3">
        <v>0</v>
      </c>
      <c r="C43" s="3">
        <v>71851</v>
      </c>
      <c r="D43" s="3" t="str">
        <f t="shared" si="3"/>
        <v>RT-87550-0107-01-DD-C REV. 0 @71851</v>
      </c>
      <c r="G43" s="58" t="s">
        <v>538</v>
      </c>
      <c r="H43" s="3" t="s">
        <v>537</v>
      </c>
      <c r="I43" s="3" t="s">
        <v>619</v>
      </c>
    </row>
    <row r="44" spans="1:12" x14ac:dyDescent="0.25">
      <c r="A44" s="3" t="s">
        <v>541</v>
      </c>
      <c r="B44" s="3">
        <v>0</v>
      </c>
      <c r="C44" s="3">
        <v>72023</v>
      </c>
      <c r="D44" s="3" t="str">
        <f t="shared" si="3"/>
        <v>RT-87550-0107-01-DD-C REV. 0 @72023</v>
      </c>
      <c r="G44" s="58" t="s">
        <v>538</v>
      </c>
      <c r="H44" s="3" t="s">
        <v>537</v>
      </c>
      <c r="I44" s="3" t="s">
        <v>619</v>
      </c>
    </row>
    <row r="45" spans="1:12" x14ac:dyDescent="0.25">
      <c r="A45" s="3" t="s">
        <v>542</v>
      </c>
      <c r="B45" s="3">
        <v>0</v>
      </c>
      <c r="C45" s="3">
        <v>71851</v>
      </c>
      <c r="D45" s="3" t="str">
        <f t="shared" si="3"/>
        <v>RT-87550-0108-01-DD-C REV. 0 @71851</v>
      </c>
      <c r="G45" s="58" t="s">
        <v>538</v>
      </c>
      <c r="H45" s="3" t="s">
        <v>537</v>
      </c>
      <c r="I45" s="3" t="s">
        <v>619</v>
      </c>
    </row>
    <row r="46" spans="1:12" x14ac:dyDescent="0.25">
      <c r="A46" s="3" t="s">
        <v>542</v>
      </c>
      <c r="B46" s="3">
        <v>0</v>
      </c>
      <c r="C46" s="3">
        <v>72023</v>
      </c>
      <c r="D46" s="3" t="str">
        <f t="shared" si="3"/>
        <v>RT-87550-0108-01-DD-C REV. 0 @72023</v>
      </c>
      <c r="G46" s="58" t="s">
        <v>538</v>
      </c>
      <c r="H46" s="3" t="s">
        <v>537</v>
      </c>
      <c r="I46" s="3" t="s">
        <v>619</v>
      </c>
    </row>
    <row r="47" spans="1:12" x14ac:dyDescent="0.25">
      <c r="A47" s="3" t="s">
        <v>543</v>
      </c>
      <c r="B47" s="3">
        <v>0</v>
      </c>
      <c r="C47" s="3">
        <v>71851</v>
      </c>
      <c r="D47" s="3" t="str">
        <f t="shared" si="3"/>
        <v>RT-87550-0109-01-DD-C REV. 0 @71851</v>
      </c>
      <c r="G47" s="58" t="s">
        <v>538</v>
      </c>
      <c r="H47" s="3" t="s">
        <v>537</v>
      </c>
      <c r="I47" s="3" t="s">
        <v>619</v>
      </c>
    </row>
    <row r="48" spans="1:12" x14ac:dyDescent="0.25">
      <c r="A48" s="3" t="s">
        <v>543</v>
      </c>
      <c r="B48" s="3">
        <v>0</v>
      </c>
      <c r="C48" s="3">
        <v>72023</v>
      </c>
      <c r="D48" s="3" t="str">
        <f t="shared" si="3"/>
        <v>RT-87550-0109-01-DD-C REV. 0 @72023</v>
      </c>
      <c r="G48" s="58" t="s">
        <v>538</v>
      </c>
      <c r="H48" s="3" t="s">
        <v>537</v>
      </c>
      <c r="I48" s="3" t="s">
        <v>619</v>
      </c>
    </row>
    <row r="49" spans="1:9" x14ac:dyDescent="0.25">
      <c r="A49" s="3" t="s">
        <v>544</v>
      </c>
      <c r="B49" s="3">
        <v>0</v>
      </c>
      <c r="C49" s="3">
        <v>71851</v>
      </c>
      <c r="D49" s="3" t="str">
        <f t="shared" si="3"/>
        <v>RT-87550-0111-01-DD-C REV. 0 @71851</v>
      </c>
      <c r="G49" s="58" t="s">
        <v>538</v>
      </c>
      <c r="H49" s="3" t="s">
        <v>537</v>
      </c>
      <c r="I49" s="3" t="s">
        <v>619</v>
      </c>
    </row>
    <row r="50" spans="1:9" x14ac:dyDescent="0.25">
      <c r="A50" s="3" t="s">
        <v>544</v>
      </c>
      <c r="B50" s="3">
        <v>0</v>
      </c>
      <c r="C50" s="3">
        <v>72023</v>
      </c>
      <c r="D50" s="3" t="str">
        <f t="shared" si="3"/>
        <v>RT-87550-0111-01-DD-C REV. 0 @72023</v>
      </c>
      <c r="G50" s="58" t="s">
        <v>538</v>
      </c>
      <c r="H50" s="3" t="s">
        <v>537</v>
      </c>
      <c r="I50" s="3" t="s">
        <v>619</v>
      </c>
    </row>
    <row r="51" spans="1:9" x14ac:dyDescent="0.25">
      <c r="A51" s="3" t="s">
        <v>545</v>
      </c>
      <c r="B51" s="3">
        <v>0</v>
      </c>
      <c r="C51" s="3">
        <v>71851</v>
      </c>
      <c r="D51" s="3" t="str">
        <f t="shared" si="3"/>
        <v>RT-87550-0113-01-DD-C REV. 0 @71851</v>
      </c>
      <c r="G51" s="58" t="s">
        <v>538</v>
      </c>
      <c r="H51" s="3" t="s">
        <v>537</v>
      </c>
      <c r="I51" s="3" t="s">
        <v>619</v>
      </c>
    </row>
    <row r="52" spans="1:9" x14ac:dyDescent="0.25">
      <c r="A52" s="3" t="s">
        <v>545</v>
      </c>
      <c r="B52" s="3">
        <v>0</v>
      </c>
      <c r="C52" s="3">
        <v>72023</v>
      </c>
      <c r="D52" s="3" t="str">
        <f t="shared" si="3"/>
        <v>RT-87550-0113-01-DD-C REV. 0 @72023</v>
      </c>
      <c r="G52" s="58" t="s">
        <v>538</v>
      </c>
      <c r="H52" s="3" t="s">
        <v>537</v>
      </c>
      <c r="I52" s="3" t="s">
        <v>619</v>
      </c>
    </row>
    <row r="53" spans="1:9" x14ac:dyDescent="0.25">
      <c r="A53" s="3" t="s">
        <v>546</v>
      </c>
      <c r="B53" s="3">
        <v>0</v>
      </c>
      <c r="C53" s="3">
        <v>71851</v>
      </c>
      <c r="D53" s="3" t="str">
        <f t="shared" si="3"/>
        <v>RT-87550-0115-01-DD-C REV. 0 @71851</v>
      </c>
      <c r="G53" s="58" t="s">
        <v>538</v>
      </c>
      <c r="H53" s="3" t="s">
        <v>537</v>
      </c>
      <c r="I53" s="3" t="s">
        <v>619</v>
      </c>
    </row>
    <row r="54" spans="1:9" x14ac:dyDescent="0.25">
      <c r="A54" s="3" t="s">
        <v>546</v>
      </c>
      <c r="B54" s="3">
        <v>0</v>
      </c>
      <c r="C54" s="3">
        <v>71873</v>
      </c>
      <c r="D54" s="3" t="str">
        <f t="shared" si="3"/>
        <v>RT-87550-0115-01-DD-C REV. 0 @71873</v>
      </c>
      <c r="G54" s="58" t="s">
        <v>538</v>
      </c>
      <c r="H54" s="3" t="s">
        <v>537</v>
      </c>
      <c r="I54" s="3" t="s">
        <v>619</v>
      </c>
    </row>
    <row r="55" spans="1:9" x14ac:dyDescent="0.25">
      <c r="A55" s="3" t="s">
        <v>546</v>
      </c>
      <c r="B55" s="3">
        <v>0</v>
      </c>
      <c r="C55" s="3">
        <v>72023</v>
      </c>
      <c r="D55" s="3" t="str">
        <f t="shared" si="3"/>
        <v>RT-87550-0115-01-DD-C REV. 0 @72023</v>
      </c>
      <c r="G55" s="58" t="s">
        <v>538</v>
      </c>
      <c r="H55" s="3" t="s">
        <v>537</v>
      </c>
      <c r="I55" s="3" t="s">
        <v>619</v>
      </c>
    </row>
    <row r="56" spans="1:9" x14ac:dyDescent="0.25">
      <c r="A56" s="3" t="s">
        <v>546</v>
      </c>
      <c r="B56" s="3">
        <v>0</v>
      </c>
      <c r="C56" s="3">
        <v>72024</v>
      </c>
      <c r="D56" s="3" t="str">
        <f t="shared" si="3"/>
        <v>RT-87550-0115-01-DD-C REV. 0 @72024</v>
      </c>
      <c r="G56" s="58" t="s">
        <v>538</v>
      </c>
      <c r="H56" s="3" t="s">
        <v>537</v>
      </c>
      <c r="I56" s="3" t="s">
        <v>619</v>
      </c>
    </row>
    <row r="57" spans="1:9" x14ac:dyDescent="0.25">
      <c r="A57" s="3" t="s">
        <v>547</v>
      </c>
      <c r="B57" s="3">
        <v>0</v>
      </c>
      <c r="C57" s="3">
        <v>71851</v>
      </c>
      <c r="D57" s="3" t="str">
        <f t="shared" si="3"/>
        <v>RT-87550-0116-01-DD-C REV. 0 @71851</v>
      </c>
      <c r="G57" s="3" t="s">
        <v>538</v>
      </c>
      <c r="H57" s="3" t="s">
        <v>537</v>
      </c>
      <c r="I57" s="3" t="s">
        <v>619</v>
      </c>
    </row>
    <row r="58" spans="1:9" x14ac:dyDescent="0.25">
      <c r="A58" s="3" t="s">
        <v>547</v>
      </c>
      <c r="B58" s="3">
        <v>0</v>
      </c>
      <c r="C58" s="3">
        <v>72023</v>
      </c>
      <c r="D58" s="3" t="str">
        <f t="shared" si="3"/>
        <v>RT-87550-0116-01-DD-C REV. 0 @72023</v>
      </c>
      <c r="G58" s="3" t="s">
        <v>538</v>
      </c>
      <c r="H58" s="3" t="s">
        <v>537</v>
      </c>
      <c r="I58" s="3" t="s">
        <v>619</v>
      </c>
    </row>
    <row r="59" spans="1:9" x14ac:dyDescent="0.25">
      <c r="A59" s="3" t="s">
        <v>548</v>
      </c>
      <c r="B59" s="3">
        <v>0</v>
      </c>
      <c r="C59" s="3">
        <v>71851</v>
      </c>
      <c r="D59" s="3" t="str">
        <f t="shared" si="3"/>
        <v>RT-87550-0118-01-DD-C REV. 0 @71851</v>
      </c>
      <c r="G59" s="3" t="s">
        <v>538</v>
      </c>
      <c r="H59" s="3" t="s">
        <v>537</v>
      </c>
      <c r="I59" s="3" t="s">
        <v>619</v>
      </c>
    </row>
    <row r="60" spans="1:9" x14ac:dyDescent="0.25">
      <c r="A60" s="3" t="s">
        <v>548</v>
      </c>
      <c r="B60" s="3">
        <v>0</v>
      </c>
      <c r="C60" s="3">
        <v>71873</v>
      </c>
      <c r="D60" s="3" t="str">
        <f t="shared" si="3"/>
        <v>RT-87550-0118-01-DD-C REV. 0 @71873</v>
      </c>
      <c r="G60" s="3" t="s">
        <v>538</v>
      </c>
      <c r="H60" s="3" t="s">
        <v>537</v>
      </c>
      <c r="I60" s="3" t="s">
        <v>619</v>
      </c>
    </row>
    <row r="61" spans="1:9" x14ac:dyDescent="0.25">
      <c r="A61" s="3" t="s">
        <v>548</v>
      </c>
      <c r="B61" s="3">
        <v>0</v>
      </c>
      <c r="C61" s="3">
        <v>72023</v>
      </c>
      <c r="D61" s="3" t="str">
        <f t="shared" si="3"/>
        <v>RT-87550-0118-01-DD-C REV. 0 @72023</v>
      </c>
      <c r="G61" s="3" t="s">
        <v>538</v>
      </c>
      <c r="H61" s="3" t="s">
        <v>537</v>
      </c>
      <c r="I61" s="3" t="s">
        <v>619</v>
      </c>
    </row>
    <row r="62" spans="1:9" x14ac:dyDescent="0.25">
      <c r="A62" s="3" t="s">
        <v>548</v>
      </c>
      <c r="B62" s="3">
        <v>0</v>
      </c>
      <c r="C62" s="3">
        <v>72024</v>
      </c>
      <c r="D62" s="3" t="str">
        <f t="shared" si="3"/>
        <v>RT-87550-0118-01-DD-C REV. 0 @72024</v>
      </c>
      <c r="G62" s="3" t="s">
        <v>538</v>
      </c>
      <c r="H62" s="3" t="s">
        <v>537</v>
      </c>
      <c r="I62" s="3" t="s">
        <v>619</v>
      </c>
    </row>
    <row r="63" spans="1:9" x14ac:dyDescent="0.25">
      <c r="A63" s="3" t="s">
        <v>549</v>
      </c>
      <c r="B63" s="3">
        <v>0</v>
      </c>
      <c r="C63" s="3">
        <v>71851</v>
      </c>
      <c r="D63" s="3" t="str">
        <f t="shared" si="3"/>
        <v>RT-87550-0122-01-DD-C REV. 0 @71851</v>
      </c>
      <c r="G63" s="3" t="s">
        <v>538</v>
      </c>
      <c r="H63" s="3" t="s">
        <v>537</v>
      </c>
      <c r="I63" s="3" t="s">
        <v>619</v>
      </c>
    </row>
    <row r="64" spans="1:9" x14ac:dyDescent="0.25">
      <c r="A64" s="3" t="s">
        <v>549</v>
      </c>
      <c r="B64" s="3">
        <v>0</v>
      </c>
      <c r="C64" s="3">
        <v>72023</v>
      </c>
      <c r="D64" s="3" t="str">
        <f t="shared" si="3"/>
        <v>RT-87550-0122-01-DD-C REV. 0 @72023</v>
      </c>
      <c r="G64" s="3" t="s">
        <v>538</v>
      </c>
      <c r="H64" s="3" t="s">
        <v>537</v>
      </c>
      <c r="I64" s="3" t="s">
        <v>619</v>
      </c>
    </row>
    <row r="65" spans="1:9" x14ac:dyDescent="0.25">
      <c r="A65" s="3" t="s">
        <v>550</v>
      </c>
      <c r="B65" s="3">
        <v>0</v>
      </c>
      <c r="C65" s="3">
        <v>71851</v>
      </c>
      <c r="D65" s="3" t="str">
        <f t="shared" si="3"/>
        <v>RT-87550-0123-01-DD-C REV. 0 @71851</v>
      </c>
      <c r="G65" s="3" t="s">
        <v>538</v>
      </c>
      <c r="H65" s="3" t="s">
        <v>537</v>
      </c>
      <c r="I65" s="3" t="s">
        <v>619</v>
      </c>
    </row>
    <row r="66" spans="1:9" x14ac:dyDescent="0.25">
      <c r="A66" s="3" t="s">
        <v>550</v>
      </c>
      <c r="B66" s="3">
        <v>0</v>
      </c>
      <c r="C66" s="3">
        <v>72023</v>
      </c>
      <c r="D66" s="3" t="str">
        <f t="shared" si="3"/>
        <v>RT-87550-0123-01-DD-C REV. 0 @72023</v>
      </c>
      <c r="G66" s="3" t="s">
        <v>538</v>
      </c>
      <c r="H66" s="3" t="s">
        <v>537</v>
      </c>
      <c r="I66" s="3" t="s">
        <v>619</v>
      </c>
    </row>
    <row r="67" spans="1:9" x14ac:dyDescent="0.25">
      <c r="A67" s="3" t="s">
        <v>551</v>
      </c>
      <c r="B67" s="3">
        <v>0</v>
      </c>
      <c r="C67" s="3">
        <v>71851</v>
      </c>
      <c r="D67" s="3" t="str">
        <f t="shared" si="3"/>
        <v>RT-87550-0124-01-DD-C REV. 0 @71851</v>
      </c>
      <c r="G67" s="3" t="s">
        <v>538</v>
      </c>
      <c r="H67" s="3" t="s">
        <v>537</v>
      </c>
      <c r="I67" s="3" t="s">
        <v>619</v>
      </c>
    </row>
    <row r="68" spans="1:9" x14ac:dyDescent="0.25">
      <c r="A68" s="3" t="s">
        <v>551</v>
      </c>
      <c r="B68" s="3">
        <v>0</v>
      </c>
      <c r="C68" s="3">
        <v>72023</v>
      </c>
      <c r="D68" s="3" t="str">
        <f t="shared" si="3"/>
        <v>RT-87550-0124-01-DD-C REV. 0 @72023</v>
      </c>
      <c r="G68" s="3" t="s">
        <v>538</v>
      </c>
      <c r="H68" s="3" t="s">
        <v>537</v>
      </c>
      <c r="I68" s="3" t="s">
        <v>619</v>
      </c>
    </row>
    <row r="69" spans="1:9" x14ac:dyDescent="0.25">
      <c r="A69" s="3" t="s">
        <v>552</v>
      </c>
      <c r="B69" s="3">
        <v>0</v>
      </c>
      <c r="C69" s="3">
        <v>71851</v>
      </c>
      <c r="D69" s="3" t="str">
        <f t="shared" si="3"/>
        <v>RT-87550-0125-01-DD-C REV. 0 @71851</v>
      </c>
      <c r="G69" s="3" t="s">
        <v>538</v>
      </c>
      <c r="H69" s="3" t="s">
        <v>537</v>
      </c>
      <c r="I69" s="3" t="s">
        <v>619</v>
      </c>
    </row>
    <row r="70" spans="1:9" x14ac:dyDescent="0.25">
      <c r="A70" s="3" t="s">
        <v>552</v>
      </c>
      <c r="B70" s="3">
        <v>0</v>
      </c>
      <c r="C70" s="3">
        <v>72023</v>
      </c>
      <c r="D70" s="3" t="str">
        <f t="shared" si="3"/>
        <v>RT-87550-0125-01-DD-C REV. 0 @72023</v>
      </c>
      <c r="G70" s="3" t="s">
        <v>538</v>
      </c>
      <c r="H70" s="3" t="s">
        <v>537</v>
      </c>
      <c r="I70" s="3" t="s">
        <v>619</v>
      </c>
    </row>
    <row r="71" spans="1:9" x14ac:dyDescent="0.25">
      <c r="A71" s="3" t="s">
        <v>553</v>
      </c>
      <c r="B71" s="3">
        <v>0</v>
      </c>
      <c r="C71" s="3">
        <v>71851</v>
      </c>
      <c r="D71" s="3" t="str">
        <f t="shared" si="3"/>
        <v>RT-87550-0126-01-DD-C REV. 0 @71851</v>
      </c>
      <c r="G71" s="3" t="s">
        <v>538</v>
      </c>
      <c r="H71" s="3" t="s">
        <v>537</v>
      </c>
      <c r="I71" s="3" t="s">
        <v>618</v>
      </c>
    </row>
    <row r="72" spans="1:9" x14ac:dyDescent="0.25">
      <c r="A72" s="3" t="s">
        <v>553</v>
      </c>
      <c r="B72" s="3">
        <v>0</v>
      </c>
      <c r="C72" s="3">
        <v>72023</v>
      </c>
      <c r="D72" s="3" t="str">
        <f t="shared" si="3"/>
        <v>RT-87550-0126-01-DD-C REV. 0 @72023</v>
      </c>
      <c r="G72" s="3" t="s">
        <v>538</v>
      </c>
      <c r="H72" s="3" t="s">
        <v>537</v>
      </c>
      <c r="I72" s="3" t="s">
        <v>618</v>
      </c>
    </row>
    <row r="73" spans="1:9" x14ac:dyDescent="0.25">
      <c r="A73" s="3" t="s">
        <v>554</v>
      </c>
      <c r="B73" s="3">
        <v>0</v>
      </c>
      <c r="C73" s="3">
        <v>71851</v>
      </c>
      <c r="D73" s="3" t="str">
        <f t="shared" si="3"/>
        <v>RT-87550-0127-01-DD-C REV. 0 @71851</v>
      </c>
      <c r="G73" s="3" t="s">
        <v>538</v>
      </c>
      <c r="H73" s="3" t="s">
        <v>537</v>
      </c>
      <c r="I73" s="3" t="s">
        <v>618</v>
      </c>
    </row>
    <row r="74" spans="1:9" x14ac:dyDescent="0.25">
      <c r="A74" s="3" t="s">
        <v>554</v>
      </c>
      <c r="B74" s="3">
        <v>0</v>
      </c>
      <c r="C74" s="3">
        <v>72023</v>
      </c>
      <c r="D74" s="3" t="str">
        <f t="shared" si="3"/>
        <v>RT-87550-0127-01-DD-C REV. 0 @72023</v>
      </c>
      <c r="G74" s="3" t="s">
        <v>538</v>
      </c>
      <c r="H74" s="3" t="s">
        <v>537</v>
      </c>
      <c r="I74" s="3" t="s">
        <v>618</v>
      </c>
    </row>
    <row r="75" spans="1:9" x14ac:dyDescent="0.25">
      <c r="A75" s="3" t="s">
        <v>555</v>
      </c>
      <c r="B75" s="3">
        <v>0</v>
      </c>
      <c r="C75" s="3">
        <v>71851</v>
      </c>
      <c r="D75" s="3" t="str">
        <f t="shared" si="3"/>
        <v>RT-87550-0128-01-DD-C REV. 0 @71851</v>
      </c>
      <c r="G75" s="3" t="s">
        <v>538</v>
      </c>
      <c r="H75" s="3" t="s">
        <v>537</v>
      </c>
      <c r="I75" s="3" t="s">
        <v>618</v>
      </c>
    </row>
    <row r="76" spans="1:9" x14ac:dyDescent="0.25">
      <c r="A76" s="3" t="s">
        <v>555</v>
      </c>
      <c r="B76" s="3">
        <v>0</v>
      </c>
      <c r="C76" s="3">
        <v>72023</v>
      </c>
      <c r="D76" s="3" t="str">
        <f t="shared" si="3"/>
        <v>RT-87550-0128-01-DD-C REV. 0 @72023</v>
      </c>
      <c r="G76" s="3" t="s">
        <v>538</v>
      </c>
      <c r="H76" s="3" t="s">
        <v>537</v>
      </c>
      <c r="I76" s="3" t="s">
        <v>618</v>
      </c>
    </row>
    <row r="77" spans="1:9" x14ac:dyDescent="0.25">
      <c r="A77" s="3" t="s">
        <v>556</v>
      </c>
      <c r="B77" s="3">
        <v>0</v>
      </c>
      <c r="C77" s="3">
        <v>71851</v>
      </c>
      <c r="D77" s="3" t="str">
        <f t="shared" si="3"/>
        <v>RT-87550-0129-01-DD-C REV. 0 @71851</v>
      </c>
      <c r="G77" s="3" t="s">
        <v>538</v>
      </c>
      <c r="H77" s="3" t="s">
        <v>537</v>
      </c>
      <c r="I77" s="3" t="s">
        <v>618</v>
      </c>
    </row>
    <row r="78" spans="1:9" x14ac:dyDescent="0.25">
      <c r="A78" s="3" t="s">
        <v>556</v>
      </c>
      <c r="B78" s="3">
        <v>0</v>
      </c>
      <c r="C78" s="3">
        <v>72023</v>
      </c>
      <c r="D78" s="3" t="str">
        <f t="shared" si="3"/>
        <v>RT-87550-0129-01-DD-C REV. 0 @72023</v>
      </c>
      <c r="G78" s="3" t="s">
        <v>538</v>
      </c>
      <c r="H78" s="3" t="s">
        <v>537</v>
      </c>
      <c r="I78" s="3" t="s">
        <v>618</v>
      </c>
    </row>
    <row r="79" spans="1:9" x14ac:dyDescent="0.25">
      <c r="A79" s="3" t="s">
        <v>557</v>
      </c>
      <c r="B79" s="3">
        <v>0</v>
      </c>
      <c r="C79" s="3">
        <v>71851</v>
      </c>
      <c r="D79" s="3" t="str">
        <f t="shared" si="3"/>
        <v>RT-87550-0130-01-DD-C REV. 0 @71851</v>
      </c>
      <c r="G79" s="3" t="s">
        <v>538</v>
      </c>
      <c r="H79" s="3" t="s">
        <v>537</v>
      </c>
      <c r="I79" s="3" t="s">
        <v>618</v>
      </c>
    </row>
    <row r="80" spans="1:9" x14ac:dyDescent="0.25">
      <c r="A80" s="3" t="s">
        <v>557</v>
      </c>
      <c r="B80" s="3">
        <v>0</v>
      </c>
      <c r="C80" s="3">
        <v>72023</v>
      </c>
      <c r="D80" s="3" t="str">
        <f t="shared" si="3"/>
        <v>RT-87550-0130-01-DD-C REV. 0 @72023</v>
      </c>
      <c r="G80" s="3" t="s">
        <v>538</v>
      </c>
      <c r="H80" s="3" t="s">
        <v>537</v>
      </c>
      <c r="I80" s="3" t="s">
        <v>618</v>
      </c>
    </row>
    <row r="81" spans="1:9" x14ac:dyDescent="0.25">
      <c r="A81" s="3" t="s">
        <v>558</v>
      </c>
      <c r="B81" s="3">
        <v>0</v>
      </c>
      <c r="C81" s="3">
        <v>71851</v>
      </c>
      <c r="D81" s="3" t="str">
        <f t="shared" si="3"/>
        <v>RT-87550-0136-01-DD-D REV. 0 @71851</v>
      </c>
      <c r="G81" s="3" t="s">
        <v>538</v>
      </c>
      <c r="H81" s="3" t="s">
        <v>537</v>
      </c>
      <c r="I81" s="3" t="s">
        <v>618</v>
      </c>
    </row>
    <row r="82" spans="1:9" x14ac:dyDescent="0.25">
      <c r="A82" s="3" t="s">
        <v>558</v>
      </c>
      <c r="B82" s="3">
        <v>0</v>
      </c>
      <c r="C82" s="3">
        <v>72023</v>
      </c>
      <c r="D82" s="3" t="str">
        <f t="shared" si="3"/>
        <v>RT-87550-0136-01-DD-D REV. 0 @72023</v>
      </c>
      <c r="G82" s="3" t="s">
        <v>538</v>
      </c>
      <c r="H82" s="3" t="s">
        <v>537</v>
      </c>
      <c r="I82" s="3" t="s">
        <v>618</v>
      </c>
    </row>
    <row r="83" spans="1:9" x14ac:dyDescent="0.25">
      <c r="A83" s="3" t="s">
        <v>559</v>
      </c>
      <c r="B83" s="3">
        <v>0</v>
      </c>
      <c r="C83" s="3">
        <v>71851</v>
      </c>
      <c r="D83" s="3" t="str">
        <f t="shared" si="3"/>
        <v>RT-87550-0138-01-DD-C REV. 0 @71851</v>
      </c>
      <c r="G83" s="3" t="s">
        <v>538</v>
      </c>
      <c r="H83" s="3" t="s">
        <v>537</v>
      </c>
      <c r="I83" s="3" t="s">
        <v>618</v>
      </c>
    </row>
    <row r="84" spans="1:9" x14ac:dyDescent="0.25">
      <c r="A84" s="3" t="s">
        <v>559</v>
      </c>
      <c r="B84" s="3">
        <v>0</v>
      </c>
      <c r="C84" s="3">
        <v>72023</v>
      </c>
      <c r="D84" s="3" t="str">
        <f t="shared" si="3"/>
        <v>RT-87550-0138-01-DD-C REV. 0 @72023</v>
      </c>
      <c r="G84" s="3" t="s">
        <v>538</v>
      </c>
      <c r="H84" s="3" t="s">
        <v>537</v>
      </c>
      <c r="I84" s="3" t="s">
        <v>618</v>
      </c>
    </row>
    <row r="85" spans="1:9" x14ac:dyDescent="0.25">
      <c r="A85" s="3" t="s">
        <v>560</v>
      </c>
      <c r="B85" s="3">
        <v>0</v>
      </c>
      <c r="C85" s="3">
        <v>71851</v>
      </c>
      <c r="D85" s="3" t="str">
        <f t="shared" si="3"/>
        <v>RT-87550-0139-01-DD-C REV. 0 @71851</v>
      </c>
      <c r="G85" s="3" t="s">
        <v>538</v>
      </c>
      <c r="H85" s="3" t="s">
        <v>537</v>
      </c>
      <c r="I85" s="3" t="s">
        <v>618</v>
      </c>
    </row>
    <row r="86" spans="1:9" x14ac:dyDescent="0.25">
      <c r="A86" s="3" t="s">
        <v>560</v>
      </c>
      <c r="B86" s="3">
        <v>0</v>
      </c>
      <c r="C86" s="3">
        <v>72023</v>
      </c>
      <c r="D86" s="3" t="str">
        <f t="shared" si="3"/>
        <v>RT-87550-0139-01-DD-C REV. 0 @72023</v>
      </c>
      <c r="G86" s="3" t="s">
        <v>538</v>
      </c>
      <c r="H86" s="3" t="s">
        <v>537</v>
      </c>
      <c r="I86" s="3" t="s">
        <v>618</v>
      </c>
    </row>
    <row r="87" spans="1:9" x14ac:dyDescent="0.25">
      <c r="A87" s="3" t="s">
        <v>561</v>
      </c>
      <c r="B87" s="3">
        <v>0</v>
      </c>
      <c r="C87" s="3">
        <v>71851</v>
      </c>
      <c r="D87" s="3" t="str">
        <f t="shared" ref="D87" si="4">A87 &amp; " REV. " &amp; B87 &amp; " @" &amp; C87</f>
        <v>RT-87550-0140-01-DD-C REV. 0 @71851</v>
      </c>
      <c r="G87" s="3" t="s">
        <v>538</v>
      </c>
      <c r="H87" s="3" t="s">
        <v>537</v>
      </c>
      <c r="I87" s="3" t="s">
        <v>618</v>
      </c>
    </row>
    <row r="88" spans="1:9" x14ac:dyDescent="0.25">
      <c r="A88" s="3" t="s">
        <v>561</v>
      </c>
      <c r="B88" s="3">
        <v>0</v>
      </c>
      <c r="C88" s="3">
        <v>72023</v>
      </c>
      <c r="D88" s="3" t="str">
        <f t="shared" si="3"/>
        <v>RT-87550-0140-01-DD-C REV. 0 @72023</v>
      </c>
      <c r="G88" s="3" t="s">
        <v>538</v>
      </c>
      <c r="H88" s="3" t="s">
        <v>537</v>
      </c>
      <c r="I88" s="3" t="s">
        <v>618</v>
      </c>
    </row>
    <row r="89" spans="1:9" x14ac:dyDescent="0.25">
      <c r="A89" s="3" t="s">
        <v>562</v>
      </c>
      <c r="B89" s="3">
        <v>0</v>
      </c>
      <c r="C89" s="3">
        <v>71851</v>
      </c>
      <c r="D89" s="3" t="str">
        <f t="shared" si="3"/>
        <v>RT-87550-0148-01-DD-C REV. 0 @71851</v>
      </c>
      <c r="G89" s="3" t="s">
        <v>538</v>
      </c>
      <c r="H89" s="3" t="s">
        <v>537</v>
      </c>
      <c r="I89" s="3" t="s">
        <v>618</v>
      </c>
    </row>
    <row r="90" spans="1:9" x14ac:dyDescent="0.25">
      <c r="A90" s="3" t="s">
        <v>562</v>
      </c>
      <c r="B90" s="3">
        <v>0</v>
      </c>
      <c r="C90" s="3">
        <v>72023</v>
      </c>
      <c r="D90" s="3" t="str">
        <f t="shared" si="3"/>
        <v>RT-87550-0148-01-DD-C REV. 0 @72023</v>
      </c>
      <c r="G90" s="3" t="s">
        <v>538</v>
      </c>
      <c r="H90" s="3" t="s">
        <v>537</v>
      </c>
      <c r="I90" s="3" t="s">
        <v>618</v>
      </c>
    </row>
    <row r="91" spans="1:9" x14ac:dyDescent="0.25">
      <c r="A91" s="3" t="s">
        <v>563</v>
      </c>
      <c r="B91" s="3">
        <v>0</v>
      </c>
      <c r="C91" s="3">
        <v>71851</v>
      </c>
      <c r="D91" s="3" t="str">
        <f t="shared" si="3"/>
        <v>RT-87550-0149-01-DD-C REV. 0 @71851</v>
      </c>
      <c r="G91" s="3" t="s">
        <v>538</v>
      </c>
      <c r="H91" s="3" t="s">
        <v>537</v>
      </c>
      <c r="I91" s="3" t="s">
        <v>618</v>
      </c>
    </row>
    <row r="92" spans="1:9" x14ac:dyDescent="0.25">
      <c r="A92" s="3" t="s">
        <v>563</v>
      </c>
      <c r="B92" s="3">
        <v>0</v>
      </c>
      <c r="C92" s="3">
        <v>72023</v>
      </c>
      <c r="D92" s="3" t="str">
        <f t="shared" si="3"/>
        <v>RT-87550-0149-01-DD-C REV. 0 @72023</v>
      </c>
      <c r="G92" s="3" t="s">
        <v>538</v>
      </c>
      <c r="H92" s="3" t="s">
        <v>537</v>
      </c>
      <c r="I92" s="3" t="s">
        <v>618</v>
      </c>
    </row>
    <row r="93" spans="1:9" x14ac:dyDescent="0.25">
      <c r="A93" s="3" t="s">
        <v>564</v>
      </c>
      <c r="B93" s="3">
        <v>0</v>
      </c>
      <c r="C93" s="3">
        <v>71851</v>
      </c>
      <c r="D93" s="3" t="str">
        <f t="shared" si="3"/>
        <v>RT-87550-0162-01-DD-C REV. 0 @71851</v>
      </c>
      <c r="G93" s="3" t="s">
        <v>538</v>
      </c>
      <c r="H93" s="3" t="s">
        <v>537</v>
      </c>
      <c r="I93" s="3" t="s">
        <v>618</v>
      </c>
    </row>
    <row r="94" spans="1:9" x14ac:dyDescent="0.25">
      <c r="A94" s="3" t="s">
        <v>564</v>
      </c>
      <c r="B94" s="3">
        <v>0</v>
      </c>
      <c r="C94" s="3">
        <v>72023</v>
      </c>
      <c r="D94" s="3" t="str">
        <f t="shared" si="3"/>
        <v>RT-87550-0162-01-DD-C REV. 0 @72023</v>
      </c>
      <c r="G94" s="3" t="s">
        <v>538</v>
      </c>
      <c r="H94" s="3" t="s">
        <v>537</v>
      </c>
      <c r="I94" s="3" t="s">
        <v>618</v>
      </c>
    </row>
    <row r="95" spans="1:9" x14ac:dyDescent="0.25">
      <c r="A95" s="3" t="s">
        <v>565</v>
      </c>
      <c r="B95" s="3">
        <v>0</v>
      </c>
      <c r="C95" s="3">
        <v>71851</v>
      </c>
      <c r="D95" s="3" t="str">
        <f t="shared" si="3"/>
        <v>RT-87550-0166-01-GA-C REV. 0 @71851</v>
      </c>
      <c r="G95" s="3" t="s">
        <v>538</v>
      </c>
      <c r="H95" s="3" t="s">
        <v>537</v>
      </c>
      <c r="I95" s="3" t="s">
        <v>618</v>
      </c>
    </row>
    <row r="96" spans="1:9" x14ac:dyDescent="0.25">
      <c r="A96" s="3" t="s">
        <v>565</v>
      </c>
      <c r="B96" s="3">
        <v>0</v>
      </c>
      <c r="C96" s="3">
        <v>72023</v>
      </c>
      <c r="D96" s="3" t="str">
        <f t="shared" si="3"/>
        <v>RT-87550-0166-01-GA-C REV. 0 @72023</v>
      </c>
      <c r="G96" s="3" t="s">
        <v>538</v>
      </c>
      <c r="H96" s="3" t="s">
        <v>537</v>
      </c>
      <c r="I96" s="3" t="s">
        <v>618</v>
      </c>
    </row>
    <row r="97" spans="1:9" x14ac:dyDescent="0.25">
      <c r="A97" s="3" t="s">
        <v>566</v>
      </c>
      <c r="B97" s="3">
        <v>0</v>
      </c>
      <c r="C97" s="3">
        <v>71851</v>
      </c>
      <c r="D97" s="3" t="str">
        <f t="shared" si="3"/>
        <v>RT-87550-0167-01-DD-C REV. 0 @71851</v>
      </c>
      <c r="G97" s="3" t="s">
        <v>538</v>
      </c>
      <c r="H97" s="3" t="s">
        <v>537</v>
      </c>
      <c r="I97" s="3" t="s">
        <v>618</v>
      </c>
    </row>
    <row r="98" spans="1:9" x14ac:dyDescent="0.25">
      <c r="A98" s="3" t="s">
        <v>566</v>
      </c>
      <c r="B98" s="3">
        <v>0</v>
      </c>
      <c r="C98" s="3">
        <v>72023</v>
      </c>
      <c r="D98" s="3" t="str">
        <f t="shared" si="3"/>
        <v>RT-87550-0167-01-DD-C REV. 0 @72023</v>
      </c>
      <c r="G98" s="3" t="s">
        <v>538</v>
      </c>
      <c r="H98" s="3" t="s">
        <v>537</v>
      </c>
      <c r="I98" s="3" t="s">
        <v>618</v>
      </c>
    </row>
    <row r="99" spans="1:9" x14ac:dyDescent="0.25">
      <c r="A99" s="3" t="s">
        <v>567</v>
      </c>
      <c r="B99" s="3">
        <v>0</v>
      </c>
      <c r="C99" s="3">
        <v>71851</v>
      </c>
      <c r="D99" s="3" t="str">
        <f t="shared" si="3"/>
        <v>RT-87550-0173-01-DD-C REV. 0 @71851</v>
      </c>
      <c r="G99" s="3" t="s">
        <v>538</v>
      </c>
      <c r="H99" s="3" t="s">
        <v>537</v>
      </c>
      <c r="I99" s="3" t="s">
        <v>618</v>
      </c>
    </row>
    <row r="100" spans="1:9" x14ac:dyDescent="0.25">
      <c r="A100" s="3" t="s">
        <v>567</v>
      </c>
      <c r="B100" s="3">
        <v>0</v>
      </c>
      <c r="C100" s="3">
        <v>72023</v>
      </c>
      <c r="D100" s="3" t="str">
        <f t="shared" si="3"/>
        <v>RT-87550-0173-01-DD-C REV. 0 @72023</v>
      </c>
      <c r="G100" s="3" t="s">
        <v>538</v>
      </c>
      <c r="H100" s="3" t="s">
        <v>537</v>
      </c>
      <c r="I100" s="3" t="s">
        <v>618</v>
      </c>
    </row>
    <row r="101" spans="1:9" x14ac:dyDescent="0.25">
      <c r="A101" s="3" t="s">
        <v>568</v>
      </c>
      <c r="B101" s="3">
        <v>0</v>
      </c>
      <c r="C101" s="3">
        <v>71851</v>
      </c>
      <c r="D101" s="3" t="str">
        <f t="shared" ref="D101:D136" si="5">A101 &amp; " REV. " &amp; B101 &amp; " @" &amp; C101</f>
        <v>RT-87550-0174-01-DD-C REV. 0 @71851</v>
      </c>
      <c r="G101" s="3" t="s">
        <v>538</v>
      </c>
      <c r="H101" s="3" t="s">
        <v>537</v>
      </c>
      <c r="I101" s="3" t="s">
        <v>618</v>
      </c>
    </row>
    <row r="102" spans="1:9" x14ac:dyDescent="0.25">
      <c r="A102" s="3" t="s">
        <v>568</v>
      </c>
      <c r="B102" s="3">
        <v>0</v>
      </c>
      <c r="C102" s="3">
        <v>72023</v>
      </c>
      <c r="D102" s="3" t="str">
        <f t="shared" si="5"/>
        <v>RT-87550-0174-01-DD-C REV. 0 @72023</v>
      </c>
      <c r="G102" s="3" t="s">
        <v>538</v>
      </c>
      <c r="H102" s="3" t="s">
        <v>537</v>
      </c>
      <c r="I102" s="3" t="s">
        <v>618</v>
      </c>
    </row>
    <row r="103" spans="1:9" x14ac:dyDescent="0.25">
      <c r="A103" s="3" t="s">
        <v>569</v>
      </c>
      <c r="B103" s="3">
        <v>0</v>
      </c>
      <c r="C103" s="3">
        <v>71851</v>
      </c>
      <c r="D103" s="3" t="str">
        <f t="shared" si="5"/>
        <v>RT-87550-0175-01-DD-C REV. 0 @71851</v>
      </c>
      <c r="G103" s="3" t="s">
        <v>538</v>
      </c>
      <c r="H103" s="3" t="s">
        <v>537</v>
      </c>
      <c r="I103" s="3" t="s">
        <v>618</v>
      </c>
    </row>
    <row r="104" spans="1:9" x14ac:dyDescent="0.25">
      <c r="A104" s="3" t="s">
        <v>569</v>
      </c>
      <c r="B104" s="3">
        <v>0</v>
      </c>
      <c r="C104" s="3">
        <v>72023</v>
      </c>
      <c r="D104" s="3" t="str">
        <f t="shared" si="5"/>
        <v>RT-87550-0175-01-DD-C REV. 0 @72023</v>
      </c>
      <c r="G104" s="3" t="s">
        <v>538</v>
      </c>
      <c r="H104" s="3" t="s">
        <v>537</v>
      </c>
      <c r="I104" s="3" t="s">
        <v>618</v>
      </c>
    </row>
    <row r="105" spans="1:9" x14ac:dyDescent="0.25">
      <c r="A105" s="3" t="s">
        <v>570</v>
      </c>
      <c r="B105" s="3">
        <v>0</v>
      </c>
      <c r="C105" s="3">
        <v>71851</v>
      </c>
      <c r="D105" s="3" t="str">
        <f t="shared" si="5"/>
        <v>RT-87550-0192-01-DD-C REV. 0 @71851</v>
      </c>
      <c r="G105" s="3" t="s">
        <v>538</v>
      </c>
      <c r="H105" s="3" t="s">
        <v>537</v>
      </c>
      <c r="I105" s="3" t="s">
        <v>618</v>
      </c>
    </row>
    <row r="106" spans="1:9" x14ac:dyDescent="0.25">
      <c r="A106" s="3" t="s">
        <v>570</v>
      </c>
      <c r="B106" s="3">
        <v>0</v>
      </c>
      <c r="C106" s="3">
        <v>72023</v>
      </c>
      <c r="D106" s="3" t="str">
        <f t="shared" si="5"/>
        <v>RT-87550-0192-01-DD-C REV. 0 @72023</v>
      </c>
      <c r="G106" s="3" t="s">
        <v>538</v>
      </c>
      <c r="H106" s="3" t="s">
        <v>537</v>
      </c>
      <c r="I106" s="3" t="s">
        <v>618</v>
      </c>
    </row>
    <row r="107" spans="1:9" x14ac:dyDescent="0.25">
      <c r="A107" s="3" t="s">
        <v>571</v>
      </c>
      <c r="B107" s="3">
        <v>0</v>
      </c>
      <c r="C107" s="3">
        <v>71851</v>
      </c>
      <c r="D107" s="3" t="str">
        <f t="shared" si="5"/>
        <v>RT-87550-0301-01-DD-C REV. 0 @71851</v>
      </c>
      <c r="G107" s="3" t="s">
        <v>538</v>
      </c>
      <c r="H107" s="3" t="s">
        <v>537</v>
      </c>
      <c r="I107" s="3" t="s">
        <v>618</v>
      </c>
    </row>
    <row r="108" spans="1:9" x14ac:dyDescent="0.25">
      <c r="A108" s="3" t="s">
        <v>571</v>
      </c>
      <c r="B108" s="3">
        <v>0</v>
      </c>
      <c r="C108" s="3">
        <v>71873</v>
      </c>
      <c r="D108" s="3" t="str">
        <f t="shared" si="5"/>
        <v>RT-87550-0301-01-DD-C REV. 0 @71873</v>
      </c>
      <c r="G108" s="3" t="s">
        <v>538</v>
      </c>
      <c r="H108" s="3" t="s">
        <v>537</v>
      </c>
      <c r="I108" s="3" t="s">
        <v>618</v>
      </c>
    </row>
    <row r="109" spans="1:9" x14ac:dyDescent="0.25">
      <c r="A109" s="3" t="s">
        <v>571</v>
      </c>
      <c r="B109" s="3">
        <v>0</v>
      </c>
      <c r="C109" s="3">
        <v>72023</v>
      </c>
      <c r="D109" s="3" t="str">
        <f t="shared" si="5"/>
        <v>RT-87550-0301-01-DD-C REV. 0 @72023</v>
      </c>
      <c r="G109" s="3" t="s">
        <v>538</v>
      </c>
      <c r="H109" s="3" t="s">
        <v>537</v>
      </c>
      <c r="I109" s="3" t="s">
        <v>618</v>
      </c>
    </row>
    <row r="110" spans="1:9" x14ac:dyDescent="0.25">
      <c r="A110" s="3" t="s">
        <v>571</v>
      </c>
      <c r="B110" s="3">
        <v>0</v>
      </c>
      <c r="C110" s="3">
        <v>72024</v>
      </c>
      <c r="D110" s="3" t="str">
        <f t="shared" si="5"/>
        <v>RT-87550-0301-01-DD-C REV. 0 @72024</v>
      </c>
      <c r="G110" s="3" t="s">
        <v>538</v>
      </c>
      <c r="H110" s="3" t="s">
        <v>537</v>
      </c>
      <c r="I110" s="3" t="s">
        <v>618</v>
      </c>
    </row>
    <row r="111" spans="1:9" x14ac:dyDescent="0.25">
      <c r="A111" s="3" t="s">
        <v>572</v>
      </c>
      <c r="B111" s="3">
        <v>0</v>
      </c>
      <c r="C111" s="3">
        <v>71851</v>
      </c>
      <c r="D111" s="3" t="str">
        <f t="shared" si="5"/>
        <v>RT-87550-0321-01-DD-C REV. 0 @71851</v>
      </c>
      <c r="G111" s="3" t="s">
        <v>538</v>
      </c>
      <c r="H111" s="3" t="s">
        <v>537</v>
      </c>
      <c r="I111" s="3" t="s">
        <v>618</v>
      </c>
    </row>
    <row r="112" spans="1:9" x14ac:dyDescent="0.25">
      <c r="A112" s="3" t="s">
        <v>572</v>
      </c>
      <c r="B112" s="3">
        <v>0</v>
      </c>
      <c r="C112" s="3">
        <v>72023</v>
      </c>
      <c r="D112" s="3" t="str">
        <f t="shared" si="5"/>
        <v>RT-87550-0321-01-DD-C REV. 0 @72023</v>
      </c>
      <c r="G112" s="3" t="s">
        <v>538</v>
      </c>
      <c r="H112" s="3" t="s">
        <v>537</v>
      </c>
      <c r="I112" s="3" t="s">
        <v>618</v>
      </c>
    </row>
    <row r="113" spans="1:9" x14ac:dyDescent="0.25">
      <c r="A113" s="3" t="s">
        <v>573</v>
      </c>
      <c r="B113" s="3">
        <v>0</v>
      </c>
      <c r="C113" s="3">
        <v>71851</v>
      </c>
      <c r="D113" s="3" t="str">
        <f t="shared" si="5"/>
        <v>RT-87550-0322-01-DD-C REV. 0 @71851</v>
      </c>
      <c r="G113" s="3" t="s">
        <v>538</v>
      </c>
      <c r="H113" s="3" t="s">
        <v>537</v>
      </c>
      <c r="I113" s="3" t="s">
        <v>618</v>
      </c>
    </row>
    <row r="114" spans="1:9" x14ac:dyDescent="0.25">
      <c r="A114" s="3" t="s">
        <v>573</v>
      </c>
      <c r="B114" s="3">
        <v>0</v>
      </c>
      <c r="C114" s="3">
        <v>72023</v>
      </c>
      <c r="D114" s="3" t="str">
        <f t="shared" si="5"/>
        <v>RT-87550-0322-01-DD-C REV. 0 @72023</v>
      </c>
      <c r="G114" s="3" t="s">
        <v>538</v>
      </c>
      <c r="H114" s="3" t="s">
        <v>537</v>
      </c>
      <c r="I114" s="3" t="s">
        <v>618</v>
      </c>
    </row>
    <row r="115" spans="1:9" x14ac:dyDescent="0.25">
      <c r="A115" s="3" t="s">
        <v>574</v>
      </c>
      <c r="B115" s="3">
        <v>0</v>
      </c>
      <c r="C115" s="3">
        <v>71851</v>
      </c>
      <c r="D115" s="3" t="str">
        <f t="shared" si="5"/>
        <v>RT-87550-0323-01-DD-C REV. 0 @71851</v>
      </c>
      <c r="G115" s="3" t="s">
        <v>538</v>
      </c>
      <c r="H115" s="3" t="s">
        <v>537</v>
      </c>
      <c r="I115" s="3" t="s">
        <v>618</v>
      </c>
    </row>
    <row r="116" spans="1:9" x14ac:dyDescent="0.25">
      <c r="A116" s="3" t="s">
        <v>574</v>
      </c>
      <c r="B116" s="3">
        <v>0</v>
      </c>
      <c r="C116" s="3">
        <v>72023</v>
      </c>
      <c r="D116" s="3" t="str">
        <f t="shared" si="5"/>
        <v>RT-87550-0323-01-DD-C REV. 0 @72023</v>
      </c>
      <c r="G116" s="3" t="s">
        <v>538</v>
      </c>
      <c r="H116" s="3" t="s">
        <v>537</v>
      </c>
      <c r="I116" s="3" t="s">
        <v>618</v>
      </c>
    </row>
    <row r="117" spans="1:9" x14ac:dyDescent="0.25">
      <c r="A117" s="3" t="s">
        <v>575</v>
      </c>
      <c r="B117" s="3">
        <v>0</v>
      </c>
      <c r="C117" s="3">
        <v>71851</v>
      </c>
      <c r="D117" s="3" t="str">
        <f t="shared" si="5"/>
        <v>RT-87550-0324-01-DD-C REV. 0 @71851</v>
      </c>
      <c r="G117" s="3" t="s">
        <v>538</v>
      </c>
      <c r="H117" s="3" t="s">
        <v>537</v>
      </c>
      <c r="I117" s="3" t="s">
        <v>618</v>
      </c>
    </row>
    <row r="118" spans="1:9" x14ac:dyDescent="0.25">
      <c r="A118" s="3" t="s">
        <v>923</v>
      </c>
      <c r="B118" s="3">
        <v>0</v>
      </c>
      <c r="C118" s="3">
        <v>72023</v>
      </c>
      <c r="D118" s="3" t="str">
        <f t="shared" si="5"/>
        <v>RT-87630-71521-1001-2-DD-D REV. 0 @72023</v>
      </c>
      <c r="E118" s="3">
        <v>39000</v>
      </c>
      <c r="F118" s="3" t="s">
        <v>902</v>
      </c>
      <c r="G118" s="3" t="s">
        <v>538</v>
      </c>
      <c r="H118" s="3" t="s">
        <v>537</v>
      </c>
      <c r="I118" s="3" t="s">
        <v>618</v>
      </c>
    </row>
    <row r="119" spans="1:9" x14ac:dyDescent="0.25">
      <c r="A119" s="3" t="s">
        <v>576</v>
      </c>
      <c r="B119" s="3">
        <v>0</v>
      </c>
      <c r="C119" s="3">
        <v>71851</v>
      </c>
      <c r="D119" s="3" t="str">
        <f t="shared" si="5"/>
        <v>RT-87550-0325-01-DD-C REV. 0 @71851</v>
      </c>
      <c r="G119" s="3" t="s">
        <v>538</v>
      </c>
      <c r="H119" s="3" t="s">
        <v>537</v>
      </c>
      <c r="I119" s="3" t="s">
        <v>618</v>
      </c>
    </row>
    <row r="120" spans="1:9" x14ac:dyDescent="0.25">
      <c r="A120" s="3" t="s">
        <v>576</v>
      </c>
      <c r="B120" s="3">
        <v>0</v>
      </c>
      <c r="C120" s="3">
        <v>72023</v>
      </c>
      <c r="D120" s="3" t="str">
        <f t="shared" si="5"/>
        <v>RT-87550-0325-01-DD-C REV. 0 @72023</v>
      </c>
      <c r="G120" s="3" t="s">
        <v>538</v>
      </c>
      <c r="H120" s="3" t="s">
        <v>537</v>
      </c>
      <c r="I120" s="3" t="s">
        <v>618</v>
      </c>
    </row>
    <row r="121" spans="1:9" x14ac:dyDescent="0.25">
      <c r="A121" s="3" t="s">
        <v>577</v>
      </c>
      <c r="B121" s="3">
        <v>0</v>
      </c>
      <c r="C121" s="3">
        <v>71851</v>
      </c>
      <c r="D121" s="3" t="str">
        <f t="shared" si="5"/>
        <v>RT-87550-0326-01-DD-C REV. 0 @71851</v>
      </c>
      <c r="G121" s="3" t="s">
        <v>538</v>
      </c>
      <c r="H121" s="3" t="s">
        <v>537</v>
      </c>
      <c r="I121" s="3" t="s">
        <v>618</v>
      </c>
    </row>
    <row r="122" spans="1:9" x14ac:dyDescent="0.25">
      <c r="A122" s="3" t="s">
        <v>577</v>
      </c>
      <c r="B122" s="3">
        <v>0</v>
      </c>
      <c r="C122" s="3">
        <v>72023</v>
      </c>
      <c r="D122" s="3" t="str">
        <f t="shared" si="5"/>
        <v>RT-87550-0326-01-DD-C REV. 0 @72023</v>
      </c>
      <c r="G122" s="3" t="s">
        <v>538</v>
      </c>
      <c r="H122" s="3" t="s">
        <v>537</v>
      </c>
      <c r="I122" s="3" t="s">
        <v>618</v>
      </c>
    </row>
    <row r="123" spans="1:9" x14ac:dyDescent="0.25">
      <c r="A123" s="3" t="s">
        <v>578</v>
      </c>
      <c r="B123" s="3">
        <v>0</v>
      </c>
      <c r="C123" s="3">
        <v>71851</v>
      </c>
      <c r="D123" s="3" t="str">
        <f t="shared" si="5"/>
        <v>RT-87550-0329-01-DD-C REV. 0 @71851</v>
      </c>
      <c r="G123" s="3" t="s">
        <v>538</v>
      </c>
      <c r="H123" s="3" t="s">
        <v>537</v>
      </c>
      <c r="I123" s="3" t="s">
        <v>618</v>
      </c>
    </row>
    <row r="124" spans="1:9" x14ac:dyDescent="0.25">
      <c r="A124" s="3" t="s">
        <v>578</v>
      </c>
      <c r="B124" s="3">
        <v>0</v>
      </c>
      <c r="C124" s="3">
        <v>71873</v>
      </c>
      <c r="D124" s="3" t="str">
        <f t="shared" si="5"/>
        <v>RT-87550-0329-01-DD-C REV. 0 @71873</v>
      </c>
      <c r="G124" s="3" t="s">
        <v>538</v>
      </c>
      <c r="H124" s="3" t="s">
        <v>537</v>
      </c>
      <c r="I124" s="3" t="s">
        <v>618</v>
      </c>
    </row>
    <row r="125" spans="1:9" x14ac:dyDescent="0.25">
      <c r="A125" s="3" t="s">
        <v>578</v>
      </c>
      <c r="B125" s="3">
        <v>0</v>
      </c>
      <c r="C125" s="3">
        <v>72023</v>
      </c>
      <c r="D125" s="3" t="str">
        <f t="shared" si="5"/>
        <v>RT-87550-0329-01-DD-C REV. 0 @72023</v>
      </c>
      <c r="G125" s="3" t="s">
        <v>538</v>
      </c>
      <c r="H125" s="3" t="s">
        <v>537</v>
      </c>
      <c r="I125" s="3" t="s">
        <v>618</v>
      </c>
    </row>
    <row r="126" spans="1:9" x14ac:dyDescent="0.25">
      <c r="A126" s="3" t="s">
        <v>578</v>
      </c>
      <c r="B126" s="3">
        <v>0</v>
      </c>
      <c r="C126" s="3">
        <v>72024</v>
      </c>
      <c r="D126" s="3" t="str">
        <f t="shared" si="5"/>
        <v>RT-87550-0329-01-DD-C REV. 0 @72024</v>
      </c>
      <c r="G126" s="3" t="s">
        <v>538</v>
      </c>
      <c r="H126" s="3" t="s">
        <v>537</v>
      </c>
      <c r="I126" s="3" t="s">
        <v>618</v>
      </c>
    </row>
    <row r="128" spans="1:9" x14ac:dyDescent="0.25">
      <c r="A128" s="3" t="s">
        <v>579</v>
      </c>
      <c r="B128" s="3">
        <v>0</v>
      </c>
      <c r="C128" s="3">
        <v>72280</v>
      </c>
      <c r="D128" s="3" t="str">
        <f t="shared" si="5"/>
        <v>RT-87640-72150-011-1-DD-D REV. 0 @72280</v>
      </c>
      <c r="G128" s="3" t="s">
        <v>538</v>
      </c>
      <c r="H128" s="3" t="s">
        <v>580</v>
      </c>
      <c r="I128" s="3" t="s">
        <v>580</v>
      </c>
    </row>
    <row r="129" spans="1:9" x14ac:dyDescent="0.25">
      <c r="A129" s="3" t="s">
        <v>581</v>
      </c>
      <c r="B129" s="3">
        <v>0</v>
      </c>
      <c r="C129" s="3">
        <v>72280</v>
      </c>
      <c r="D129" s="3" t="str">
        <f t="shared" si="5"/>
        <v>RT-87640-72150-013-1-DD-B REV. 0 @72280</v>
      </c>
      <c r="G129" s="3" t="s">
        <v>538</v>
      </c>
      <c r="H129" s="3" t="s">
        <v>582</v>
      </c>
      <c r="I129" s="3" t="s">
        <v>583</v>
      </c>
    </row>
    <row r="130" spans="1:9" x14ac:dyDescent="0.25">
      <c r="A130" s="3" t="s">
        <v>584</v>
      </c>
      <c r="B130" s="3">
        <v>0</v>
      </c>
      <c r="C130" s="3">
        <v>72280</v>
      </c>
      <c r="D130" s="3" t="str">
        <f t="shared" si="5"/>
        <v>RT-87640-72150-014-1-DD-D REV. 0 @72280</v>
      </c>
      <c r="G130" s="3" t="s">
        <v>538</v>
      </c>
      <c r="H130" s="3" t="s">
        <v>582</v>
      </c>
      <c r="I130" s="3" t="s">
        <v>583</v>
      </c>
    </row>
    <row r="131" spans="1:9" x14ac:dyDescent="0.25">
      <c r="A131" s="3" t="s">
        <v>585</v>
      </c>
      <c r="B131" s="3">
        <v>0</v>
      </c>
      <c r="C131" s="3">
        <v>72280</v>
      </c>
      <c r="D131" s="3" t="str">
        <f t="shared" si="5"/>
        <v>RT-87640-72150-020-1-DD-D REV. 0 @72280</v>
      </c>
      <c r="G131" s="3" t="s">
        <v>538</v>
      </c>
      <c r="H131" s="3" t="s">
        <v>582</v>
      </c>
      <c r="I131" s="3" t="s">
        <v>583</v>
      </c>
    </row>
    <row r="132" spans="1:9" x14ac:dyDescent="0.25">
      <c r="A132" s="3" t="s">
        <v>586</v>
      </c>
      <c r="B132" s="3">
        <v>1</v>
      </c>
      <c r="C132" s="3">
        <v>72280</v>
      </c>
      <c r="D132" s="3" t="str">
        <f t="shared" si="5"/>
        <v>RT-87640-72150-026-1-DD-B REV. 1 @72280</v>
      </c>
      <c r="G132" s="3" t="s">
        <v>538</v>
      </c>
      <c r="H132" s="3" t="s">
        <v>582</v>
      </c>
      <c r="I132" s="3" t="s">
        <v>583</v>
      </c>
    </row>
    <row r="133" spans="1:9" x14ac:dyDescent="0.25">
      <c r="A133" s="3" t="s">
        <v>587</v>
      </c>
      <c r="B133" s="3">
        <v>1</v>
      </c>
      <c r="C133" s="3">
        <v>72280</v>
      </c>
      <c r="D133" s="3" t="str">
        <f t="shared" si="5"/>
        <v>RT-87640-72150-028-1-DD-B REV. 1 @72280</v>
      </c>
      <c r="G133" s="3" t="s">
        <v>538</v>
      </c>
      <c r="H133" s="3" t="s">
        <v>582</v>
      </c>
      <c r="I133" s="3" t="s">
        <v>583</v>
      </c>
    </row>
    <row r="134" spans="1:9" x14ac:dyDescent="0.25">
      <c r="A134" s="3" t="s">
        <v>588</v>
      </c>
      <c r="B134" s="3">
        <v>0</v>
      </c>
      <c r="C134" s="3">
        <v>72280</v>
      </c>
      <c r="D134" s="3" t="str">
        <f t="shared" si="5"/>
        <v>RT-87640-72150-030-1-DD-D REV. 0 @72280</v>
      </c>
      <c r="G134" s="3" t="s">
        <v>538</v>
      </c>
      <c r="H134" s="3" t="s">
        <v>580</v>
      </c>
      <c r="I134" s="3" t="s">
        <v>580</v>
      </c>
    </row>
    <row r="135" spans="1:9" x14ac:dyDescent="0.25">
      <c r="A135" s="3" t="s">
        <v>589</v>
      </c>
      <c r="B135" s="3">
        <v>1</v>
      </c>
      <c r="C135" s="3">
        <v>72280</v>
      </c>
      <c r="D135" s="3" t="str">
        <f t="shared" si="5"/>
        <v>RT-87640-72150-038-1-DD-B REV. 1 @72280</v>
      </c>
      <c r="G135" s="3" t="s">
        <v>538</v>
      </c>
      <c r="H135" s="3" t="s">
        <v>582</v>
      </c>
      <c r="I135" s="3" t="s">
        <v>583</v>
      </c>
    </row>
    <row r="136" spans="1:9" x14ac:dyDescent="0.25">
      <c r="A136" s="3" t="s">
        <v>590</v>
      </c>
      <c r="B136" s="3">
        <v>1</v>
      </c>
      <c r="C136" s="3">
        <v>72280</v>
      </c>
      <c r="D136" s="3" t="str">
        <f t="shared" si="5"/>
        <v>RT-87640-72150-039-1-DD-B REV. 1 @72280</v>
      </c>
      <c r="G136" s="3" t="s">
        <v>538</v>
      </c>
      <c r="H136" s="3" t="s">
        <v>582</v>
      </c>
      <c r="I136" s="3" t="s">
        <v>583</v>
      </c>
    </row>
    <row r="137" spans="1:9" x14ac:dyDescent="0.25">
      <c r="A137" s="3" t="s">
        <v>591</v>
      </c>
      <c r="B137" s="3">
        <v>1</v>
      </c>
      <c r="C137" s="3">
        <v>72280</v>
      </c>
      <c r="D137" s="3" t="str">
        <f>A137 &amp; " REV. " &amp; B137 &amp; " @" &amp; C137</f>
        <v>RT-87640-72150-078-1-DD-B REV. 1 @72280</v>
      </c>
      <c r="G137" s="3" t="s">
        <v>538</v>
      </c>
      <c r="H137" s="3" t="s">
        <v>582</v>
      </c>
      <c r="I137" s="3" t="s">
        <v>583</v>
      </c>
    </row>
    <row r="138" spans="1:9" x14ac:dyDescent="0.25">
      <c r="A138" s="3" t="s">
        <v>592</v>
      </c>
      <c r="B138" s="3">
        <v>1</v>
      </c>
      <c r="C138" s="3">
        <v>72280</v>
      </c>
      <c r="D138" s="3" t="str">
        <f t="shared" ref="D138:D159" si="6">A138 &amp; " REV. " &amp; B138 &amp; " @" &amp; C138</f>
        <v>RT-87640-72150-079-1-DD-B REV. 1 @72280</v>
      </c>
      <c r="G138" s="3" t="s">
        <v>538</v>
      </c>
      <c r="H138" s="3" t="s">
        <v>582</v>
      </c>
      <c r="I138" s="3" t="s">
        <v>583</v>
      </c>
    </row>
    <row r="139" spans="1:9" x14ac:dyDescent="0.25">
      <c r="A139" s="3" t="s">
        <v>593</v>
      </c>
      <c r="B139" s="3">
        <v>0</v>
      </c>
      <c r="C139" s="3">
        <v>72280</v>
      </c>
      <c r="D139" s="3" t="str">
        <f t="shared" si="6"/>
        <v>RT-87640-72150-082-1-DD-B REV. 0 @72280</v>
      </c>
      <c r="G139" s="3" t="s">
        <v>538</v>
      </c>
      <c r="H139" s="3" t="s">
        <v>582</v>
      </c>
      <c r="I139" s="3" t="s">
        <v>583</v>
      </c>
    </row>
    <row r="140" spans="1:9" x14ac:dyDescent="0.25">
      <c r="A140" s="3" t="s">
        <v>594</v>
      </c>
      <c r="B140" s="3">
        <v>0</v>
      </c>
      <c r="C140" s="3">
        <v>72280</v>
      </c>
      <c r="D140" s="3" t="str">
        <f t="shared" si="6"/>
        <v>RT-87640-72150-093-1-DD-D REV. 0 @72280</v>
      </c>
      <c r="G140" s="3" t="s">
        <v>538</v>
      </c>
      <c r="H140" s="3" t="s">
        <v>582</v>
      </c>
      <c r="I140" s="3" t="s">
        <v>583</v>
      </c>
    </row>
    <row r="141" spans="1:9" x14ac:dyDescent="0.25">
      <c r="A141" s="3" t="s">
        <v>595</v>
      </c>
      <c r="B141" s="3">
        <v>0</v>
      </c>
      <c r="C141" s="3">
        <v>72280</v>
      </c>
      <c r="D141" s="3" t="str">
        <f t="shared" si="6"/>
        <v>RT-87640-72150-094-1-DD-B REV. 0 @72280</v>
      </c>
      <c r="G141" s="3" t="s">
        <v>538</v>
      </c>
      <c r="H141" s="3" t="s">
        <v>582</v>
      </c>
      <c r="I141" s="3" t="s">
        <v>583</v>
      </c>
    </row>
    <row r="142" spans="1:9" x14ac:dyDescent="0.25">
      <c r="A142" s="3" t="s">
        <v>596</v>
      </c>
      <c r="B142" s="3">
        <v>0</v>
      </c>
      <c r="C142" s="3">
        <v>72280</v>
      </c>
      <c r="D142" s="3" t="str">
        <f t="shared" si="6"/>
        <v>RT-87640-72150-095-1-DD-D REV. 0 @72280</v>
      </c>
      <c r="G142" s="3" t="s">
        <v>538</v>
      </c>
      <c r="H142" s="3" t="s">
        <v>582</v>
      </c>
      <c r="I142" s="3" t="s">
        <v>583</v>
      </c>
    </row>
    <row r="143" spans="1:9" x14ac:dyDescent="0.25">
      <c r="A143" s="3" t="s">
        <v>597</v>
      </c>
      <c r="B143" s="3">
        <v>0</v>
      </c>
      <c r="C143" s="3">
        <v>72280</v>
      </c>
      <c r="D143" s="3" t="str">
        <f t="shared" si="6"/>
        <v>RT-87640-72150-096-1-DD-B REV. 0 @72280</v>
      </c>
      <c r="G143" s="3" t="s">
        <v>538</v>
      </c>
      <c r="H143" s="3" t="s">
        <v>582</v>
      </c>
      <c r="I143" s="3" t="s">
        <v>583</v>
      </c>
    </row>
    <row r="144" spans="1:9" x14ac:dyDescent="0.25">
      <c r="A144" s="3" t="s">
        <v>598</v>
      </c>
      <c r="B144" s="3">
        <v>0</v>
      </c>
      <c r="C144" s="3">
        <v>72280</v>
      </c>
      <c r="D144" s="3" t="str">
        <f t="shared" si="6"/>
        <v>RT-87640-72150-097-1-DD-B REV. 0 @72280</v>
      </c>
      <c r="G144" s="3" t="s">
        <v>538</v>
      </c>
      <c r="H144" s="3" t="s">
        <v>582</v>
      </c>
      <c r="I144" s="3" t="s">
        <v>583</v>
      </c>
    </row>
    <row r="145" spans="1:9" x14ac:dyDescent="0.25">
      <c r="A145" s="3" t="s">
        <v>599</v>
      </c>
      <c r="B145" s="3">
        <v>0</v>
      </c>
      <c r="C145" s="3">
        <v>72280</v>
      </c>
      <c r="D145" s="3" t="str">
        <f t="shared" si="6"/>
        <v>RT-87640-72150-098-1-DD-B REV. 0 @72280</v>
      </c>
      <c r="G145" s="3" t="s">
        <v>538</v>
      </c>
      <c r="H145" s="3" t="s">
        <v>582</v>
      </c>
      <c r="I145" s="3" t="s">
        <v>583</v>
      </c>
    </row>
    <row r="146" spans="1:9" x14ac:dyDescent="0.25">
      <c r="A146" s="3" t="s">
        <v>600</v>
      </c>
      <c r="B146" s="3">
        <v>0</v>
      </c>
      <c r="C146" s="3">
        <v>72280</v>
      </c>
      <c r="D146" s="3" t="str">
        <f t="shared" si="6"/>
        <v>RT-87640-72150-099-1-DD-B REV. 0 @72280</v>
      </c>
      <c r="G146" s="3" t="s">
        <v>538</v>
      </c>
      <c r="H146" s="3" t="s">
        <v>582</v>
      </c>
      <c r="I146" s="3" t="s">
        <v>583</v>
      </c>
    </row>
    <row r="147" spans="1:9" x14ac:dyDescent="0.25">
      <c r="A147" s="3" t="s">
        <v>601</v>
      </c>
      <c r="B147" s="3">
        <v>0</v>
      </c>
      <c r="C147" s="3">
        <v>72280</v>
      </c>
      <c r="D147" s="3" t="str">
        <f t="shared" si="6"/>
        <v>RT-87640-72150-100-1-DD-D REV. 0 @72280</v>
      </c>
      <c r="G147" s="3" t="s">
        <v>538</v>
      </c>
      <c r="H147" s="3" t="s">
        <v>582</v>
      </c>
      <c r="I147" s="3" t="s">
        <v>583</v>
      </c>
    </row>
    <row r="148" spans="1:9" x14ac:dyDescent="0.25">
      <c r="A148" s="3" t="s">
        <v>602</v>
      </c>
      <c r="B148" s="3">
        <v>0</v>
      </c>
      <c r="C148" s="3">
        <v>72280</v>
      </c>
      <c r="D148" s="3" t="str">
        <f t="shared" si="6"/>
        <v>RT-87640-72150-101-1-DD-D REV. 0 @72280</v>
      </c>
      <c r="G148" s="3" t="s">
        <v>538</v>
      </c>
      <c r="H148" s="3" t="s">
        <v>582</v>
      </c>
      <c r="I148" s="3" t="s">
        <v>583</v>
      </c>
    </row>
    <row r="149" spans="1:9" x14ac:dyDescent="0.25">
      <c r="A149" s="3" t="s">
        <v>603</v>
      </c>
      <c r="B149" s="3">
        <v>0</v>
      </c>
      <c r="C149" s="3">
        <v>72280</v>
      </c>
      <c r="D149" s="3" t="str">
        <f t="shared" si="6"/>
        <v>RT-87640-72150-102-1-DD-B REV. 0 @72280</v>
      </c>
      <c r="G149" s="3" t="s">
        <v>538</v>
      </c>
      <c r="H149" s="3" t="s">
        <v>582</v>
      </c>
      <c r="I149" s="3" t="s">
        <v>583</v>
      </c>
    </row>
    <row r="150" spans="1:9" x14ac:dyDescent="0.25">
      <c r="A150" s="3" t="s">
        <v>604</v>
      </c>
      <c r="B150" s="3">
        <v>0</v>
      </c>
      <c r="C150" s="3">
        <v>72280</v>
      </c>
      <c r="D150" s="3" t="str">
        <f t="shared" si="6"/>
        <v>RT-87640-72150-103-1-DD-B REV. 0 @72280</v>
      </c>
      <c r="G150" s="3" t="s">
        <v>538</v>
      </c>
      <c r="H150" s="3" t="s">
        <v>582</v>
      </c>
      <c r="I150" s="3" t="s">
        <v>583</v>
      </c>
    </row>
    <row r="151" spans="1:9" x14ac:dyDescent="0.25">
      <c r="A151" s="3" t="s">
        <v>605</v>
      </c>
      <c r="B151" s="3">
        <v>0</v>
      </c>
      <c r="C151" s="3">
        <v>72280</v>
      </c>
      <c r="D151" s="3" t="str">
        <f t="shared" si="6"/>
        <v>RT-87640-72150-104-1-DD-B REV. 0 @72280</v>
      </c>
      <c r="G151" s="3" t="s">
        <v>538</v>
      </c>
      <c r="H151" s="3" t="s">
        <v>582</v>
      </c>
      <c r="I151" s="3" t="s">
        <v>583</v>
      </c>
    </row>
    <row r="153" spans="1:9" x14ac:dyDescent="0.25">
      <c r="A153" s="3" t="s">
        <v>606</v>
      </c>
      <c r="B153" s="3">
        <v>1</v>
      </c>
      <c r="C153" s="3">
        <v>72407</v>
      </c>
      <c r="D153" s="3" t="str">
        <f t="shared" si="6"/>
        <v>XX-35217-3-1-DD-D REV. 1 @72407</v>
      </c>
      <c r="G153" s="3" t="s">
        <v>538</v>
      </c>
      <c r="H153" s="3" t="s">
        <v>583</v>
      </c>
      <c r="I153" s="3" t="s">
        <v>583</v>
      </c>
    </row>
    <row r="154" spans="1:9" x14ac:dyDescent="0.25">
      <c r="A154" s="3" t="s">
        <v>607</v>
      </c>
      <c r="B154" s="3">
        <v>1</v>
      </c>
      <c r="C154" s="3">
        <v>72373</v>
      </c>
      <c r="D154" s="3" t="str">
        <f t="shared" si="6"/>
        <v>RT-87590-71000-034-1-DD-B REV. 1 @72373</v>
      </c>
      <c r="G154" s="3" t="s">
        <v>538</v>
      </c>
      <c r="H154" s="3" t="s">
        <v>583</v>
      </c>
      <c r="I154" s="3" t="s">
        <v>583</v>
      </c>
    </row>
    <row r="155" spans="1:9" x14ac:dyDescent="0.25">
      <c r="A155" s="3" t="s">
        <v>608</v>
      </c>
      <c r="B155" s="3">
        <v>1</v>
      </c>
      <c r="C155" s="3">
        <v>72469</v>
      </c>
      <c r="D155" s="3" t="str">
        <f t="shared" si="6"/>
        <v>RT-88000-70164-018-1-DD-D REV. 1 @72469</v>
      </c>
      <c r="G155" s="3" t="s">
        <v>538</v>
      </c>
      <c r="H155" s="3" t="s">
        <v>583</v>
      </c>
      <c r="I155" s="3" t="s">
        <v>583</v>
      </c>
    </row>
    <row r="156" spans="1:9" x14ac:dyDescent="0.25">
      <c r="A156" s="3" t="s">
        <v>609</v>
      </c>
      <c r="B156" s="3">
        <v>1</v>
      </c>
      <c r="C156" s="3">
        <v>72471</v>
      </c>
      <c r="D156" s="3" t="str">
        <f t="shared" si="6"/>
        <v>RT-88000-70164-019-1-DD-D REV. 1 @72471</v>
      </c>
      <c r="G156" s="3" t="s">
        <v>538</v>
      </c>
      <c r="H156" s="3" t="s">
        <v>583</v>
      </c>
      <c r="I156" s="3" t="s">
        <v>583</v>
      </c>
    </row>
    <row r="157" spans="1:9" x14ac:dyDescent="0.25">
      <c r="A157" s="3" t="s">
        <v>610</v>
      </c>
      <c r="B157" s="3">
        <v>0</v>
      </c>
      <c r="C157" s="3">
        <v>72783</v>
      </c>
      <c r="D157" s="3" t="str">
        <f t="shared" si="6"/>
        <v>NPD0059-DET-6322 REV. 0 @72783</v>
      </c>
      <c r="G157" s="3" t="s">
        <v>538</v>
      </c>
      <c r="H157" s="3" t="s">
        <v>611</v>
      </c>
      <c r="I157" s="3" t="s">
        <v>611</v>
      </c>
    </row>
    <row r="158" spans="1:9" x14ac:dyDescent="0.25">
      <c r="A158" s="3" t="s">
        <v>612</v>
      </c>
      <c r="B158" s="3">
        <v>0</v>
      </c>
      <c r="C158" s="3">
        <v>72672</v>
      </c>
      <c r="D158" s="3" t="str">
        <f t="shared" si="6"/>
        <v>NPD0059-DET-9127 REV. 0 @72672</v>
      </c>
      <c r="G158" s="3" t="s">
        <v>538</v>
      </c>
      <c r="H158" s="3" t="s">
        <v>611</v>
      </c>
      <c r="I158" s="3" t="s">
        <v>611</v>
      </c>
    </row>
    <row r="159" spans="1:9" x14ac:dyDescent="0.25">
      <c r="A159" s="3">
        <v>700358645</v>
      </c>
      <c r="B159" s="3" t="s">
        <v>613</v>
      </c>
      <c r="D159" s="3" t="str">
        <f t="shared" si="6"/>
        <v>700358645 REV. AE @</v>
      </c>
      <c r="G159" s="3" t="s">
        <v>538</v>
      </c>
      <c r="H159" s="3" t="s">
        <v>580</v>
      </c>
      <c r="I159" s="3" t="s">
        <v>580</v>
      </c>
    </row>
  </sheetData>
  <phoneticPr fontId="16" type="noConversion"/>
  <dataValidations count="1">
    <dataValidation type="list" allowBlank="1" showInputMessage="1" showErrorMessage="1" sqref="J37:J80 E36:I126 E128:I159 H2:I30 H32:I33 G2:G35" xr:uid="{CAB43CFF-CA06-41BF-80F2-324DB64A6919}">
      <formula1>$L$37:$L$38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93C0-5E6C-4266-B7CB-C96F5A8B68D9}">
  <sheetPr codeName="Sheet2"/>
  <dimension ref="A1:L155"/>
  <sheetViews>
    <sheetView zoomScaleNormal="100" workbookViewId="0">
      <pane ySplit="1" topLeftCell="A110" activePane="bottomLeft" state="frozen"/>
      <selection pane="bottomLeft" activeCell="A118" sqref="A118"/>
    </sheetView>
  </sheetViews>
  <sheetFormatPr defaultRowHeight="15" x14ac:dyDescent="0.25"/>
  <cols>
    <col min="1" max="1" width="35.7109375" style="3" bestFit="1" customWidth="1"/>
    <col min="2" max="2" width="4.5703125" style="3" bestFit="1" customWidth="1"/>
    <col min="3" max="3" width="8.7109375" style="3" bestFit="1" customWidth="1"/>
    <col min="4" max="4" width="49.28515625" style="3" bestFit="1" customWidth="1"/>
    <col min="5" max="5" width="6" style="3" bestFit="1" customWidth="1"/>
    <col min="6" max="6" width="22.85546875" style="3" bestFit="1" customWidth="1"/>
    <col min="7" max="8" width="7.28515625" style="3" customWidth="1"/>
    <col min="9" max="9" width="10.85546875" style="3" bestFit="1" customWidth="1"/>
    <col min="10" max="10" width="10.7109375" style="3" customWidth="1"/>
    <col min="11" max="11" width="9.140625" style="3"/>
    <col min="12" max="12" width="12" style="3" bestFit="1" customWidth="1"/>
    <col min="13" max="16384" width="9.140625" style="3"/>
  </cols>
  <sheetData>
    <row r="1" spans="1:12" s="56" customFormat="1" ht="15.75" x14ac:dyDescent="0.25">
      <c r="A1" s="56" t="s">
        <v>531</v>
      </c>
      <c r="B1" s="56" t="s">
        <v>614</v>
      </c>
      <c r="C1" s="56" t="s">
        <v>615</v>
      </c>
      <c r="D1" s="56" t="s">
        <v>532</v>
      </c>
      <c r="E1" s="56" t="s">
        <v>636</v>
      </c>
      <c r="F1" s="56" t="s">
        <v>637</v>
      </c>
      <c r="G1" s="56" t="s">
        <v>533</v>
      </c>
      <c r="H1" s="56" t="s">
        <v>664</v>
      </c>
      <c r="I1" s="56" t="s">
        <v>617</v>
      </c>
      <c r="J1" s="56" t="s">
        <v>534</v>
      </c>
      <c r="L1" s="56" t="s">
        <v>535</v>
      </c>
    </row>
    <row r="2" spans="1:12" ht="16.5" x14ac:dyDescent="0.3">
      <c r="A2" s="3">
        <v>700358645</v>
      </c>
      <c r="B2" s="3" t="s">
        <v>613</v>
      </c>
      <c r="C2" s="3">
        <v>71507</v>
      </c>
      <c r="D2" s="3" t="str">
        <f t="shared" ref="D2:D3" si="0">IF(AND(A2="", B2="", C2=""), "", A2 &amp; " REV. " &amp; B2 &amp; " @" &amp; C2)</f>
        <v>700358645 REV. AE @71507</v>
      </c>
      <c r="E2" s="3">
        <v>38121</v>
      </c>
      <c r="F2" s="3">
        <v>87347</v>
      </c>
      <c r="G2" s="3" t="s">
        <v>538</v>
      </c>
      <c r="H2" s="3" t="s">
        <v>538</v>
      </c>
      <c r="I2" s="3" t="s">
        <v>662</v>
      </c>
      <c r="L2" s="57" t="s">
        <v>538</v>
      </c>
    </row>
    <row r="3" spans="1:12" ht="16.5" x14ac:dyDescent="0.3">
      <c r="D3" s="3" t="str">
        <f t="shared" si="0"/>
        <v/>
      </c>
      <c r="L3" s="57" t="s">
        <v>539</v>
      </c>
    </row>
    <row r="4" spans="1:12" x14ac:dyDescent="0.25">
      <c r="A4" s="3" t="s">
        <v>641</v>
      </c>
      <c r="B4" s="3">
        <v>0</v>
      </c>
      <c r="C4" s="3">
        <v>72589</v>
      </c>
      <c r="D4" s="3" t="str">
        <f>IF(AND(A4="", B4="", C4=""), "", A4 &amp; " REV. " &amp; B4 &amp; " @" &amp; C4)</f>
        <v>RT-88040-0040-01-DD-C REV. 0 @72589</v>
      </c>
      <c r="E4" s="3">
        <v>38970</v>
      </c>
      <c r="F4" s="3" t="s">
        <v>642</v>
      </c>
      <c r="G4" s="3" t="s">
        <v>538</v>
      </c>
      <c r="H4" s="3" t="s">
        <v>538</v>
      </c>
    </row>
    <row r="5" spans="1:12" x14ac:dyDescent="0.25">
      <c r="D5" s="3" t="str">
        <f t="shared" ref="D5:D49" si="1">IF(AND(A5="", B5="", C5=""), "", A5 &amp; " REV. " &amp; B5 &amp; " @" &amp; C5)</f>
        <v/>
      </c>
    </row>
    <row r="6" spans="1:12" x14ac:dyDescent="0.25">
      <c r="A6" s="3" t="s">
        <v>652</v>
      </c>
      <c r="B6" s="3">
        <v>1</v>
      </c>
      <c r="C6" s="3">
        <v>72590</v>
      </c>
      <c r="D6" s="3" t="str">
        <f t="shared" si="1"/>
        <v>RT-88000-70034-006-1-DD-B REV. 1 @72590</v>
      </c>
      <c r="E6" s="3">
        <v>38970</v>
      </c>
      <c r="F6" s="3" t="s">
        <v>642</v>
      </c>
      <c r="G6" s="3" t="s">
        <v>538</v>
      </c>
      <c r="H6" s="3" t="s">
        <v>538</v>
      </c>
    </row>
    <row r="7" spans="1:12" x14ac:dyDescent="0.25">
      <c r="A7" s="3" t="s">
        <v>656</v>
      </c>
      <c r="B7" s="3">
        <v>1</v>
      </c>
      <c r="C7" s="3">
        <v>72590</v>
      </c>
      <c r="D7" s="3" t="str">
        <f t="shared" si="1"/>
        <v>RT-88000-70034-007-1-DD-B REV. 1 @72590</v>
      </c>
      <c r="E7" s="3">
        <v>38970</v>
      </c>
      <c r="F7" s="3" t="s">
        <v>642</v>
      </c>
      <c r="G7" s="3" t="s">
        <v>538</v>
      </c>
      <c r="H7" s="3" t="s">
        <v>538</v>
      </c>
    </row>
    <row r="8" spans="1:12" x14ac:dyDescent="0.25">
      <c r="A8" s="3" t="s">
        <v>657</v>
      </c>
      <c r="B8" s="3">
        <v>1</v>
      </c>
      <c r="C8" s="3">
        <v>72590</v>
      </c>
      <c r="D8" s="3" t="str">
        <f t="shared" si="1"/>
        <v>RT-88000-70034-100-1-DD-B REV. 1 @72590</v>
      </c>
      <c r="E8" s="3">
        <v>38970</v>
      </c>
      <c r="F8" s="3" t="s">
        <v>642</v>
      </c>
      <c r="G8" s="3" t="s">
        <v>538</v>
      </c>
      <c r="H8" s="3" t="s">
        <v>538</v>
      </c>
    </row>
    <row r="9" spans="1:12" x14ac:dyDescent="0.25">
      <c r="A9" s="3" t="s">
        <v>661</v>
      </c>
      <c r="B9" s="3">
        <v>1</v>
      </c>
      <c r="C9" s="3">
        <v>72590</v>
      </c>
      <c r="D9" s="3" t="str">
        <f t="shared" si="1"/>
        <v>RT-88000-70034-102-1-DD-B REV. 1 @72590</v>
      </c>
      <c r="E9" s="3">
        <v>38970</v>
      </c>
      <c r="F9" s="3" t="s">
        <v>642</v>
      </c>
      <c r="G9" s="3" t="s">
        <v>538</v>
      </c>
      <c r="H9" s="3" t="s">
        <v>538</v>
      </c>
    </row>
    <row r="10" spans="1:12" x14ac:dyDescent="0.25">
      <c r="A10" s="3" t="s">
        <v>659</v>
      </c>
      <c r="B10" s="3">
        <v>1</v>
      </c>
      <c r="C10" s="3">
        <v>72590</v>
      </c>
      <c r="D10" s="3" t="str">
        <f t="shared" si="1"/>
        <v>RT-88000-70034-105-1-DD-B REV. 1 @72590</v>
      </c>
      <c r="E10" s="3">
        <v>38970</v>
      </c>
      <c r="F10" s="3" t="s">
        <v>642</v>
      </c>
      <c r="G10" s="3" t="s">
        <v>538</v>
      </c>
      <c r="H10" s="3" t="s">
        <v>538</v>
      </c>
    </row>
    <row r="11" spans="1:12" x14ac:dyDescent="0.25">
      <c r="A11" s="3" t="s">
        <v>660</v>
      </c>
      <c r="B11" s="3">
        <v>1</v>
      </c>
      <c r="C11" s="3">
        <v>72590</v>
      </c>
      <c r="D11" s="3" t="str">
        <f t="shared" si="1"/>
        <v>RT-88000-70034-109-1-DD-B REV. 1 @72590</v>
      </c>
      <c r="E11" s="3">
        <v>38970</v>
      </c>
      <c r="F11" s="3" t="s">
        <v>642</v>
      </c>
      <c r="G11" s="3" t="s">
        <v>538</v>
      </c>
      <c r="H11" s="3" t="s">
        <v>538</v>
      </c>
    </row>
    <row r="12" spans="1:12" x14ac:dyDescent="0.25">
      <c r="A12" s="3" t="s">
        <v>658</v>
      </c>
      <c r="B12" s="3">
        <v>1</v>
      </c>
      <c r="C12" s="3">
        <v>72590</v>
      </c>
      <c r="D12" s="3" t="str">
        <f t="shared" si="1"/>
        <v>RT-88000-70034-111-1-DD-B REV. 1 @72590</v>
      </c>
      <c r="E12" s="3">
        <v>38970</v>
      </c>
      <c r="F12" s="3" t="s">
        <v>642</v>
      </c>
      <c r="G12" s="3" t="s">
        <v>538</v>
      </c>
      <c r="H12" s="3" t="s">
        <v>538</v>
      </c>
    </row>
    <row r="13" spans="1:12" x14ac:dyDescent="0.25">
      <c r="A13" s="3" t="s">
        <v>651</v>
      </c>
      <c r="B13" s="3">
        <v>1</v>
      </c>
      <c r="C13" s="3">
        <v>72590</v>
      </c>
      <c r="D13" s="3" t="str">
        <f t="shared" si="1"/>
        <v>RT-88000-70034-113-1-DD-B REV. 1 @72590</v>
      </c>
      <c r="E13" s="3">
        <v>38970</v>
      </c>
      <c r="F13" s="3" t="s">
        <v>642</v>
      </c>
      <c r="G13" s="3" t="s">
        <v>538</v>
      </c>
      <c r="H13" s="3" t="s">
        <v>538</v>
      </c>
    </row>
    <row r="14" spans="1:12" x14ac:dyDescent="0.25">
      <c r="D14" s="3" t="str">
        <f t="shared" si="1"/>
        <v/>
      </c>
    </row>
    <row r="15" spans="1:12" x14ac:dyDescent="0.25">
      <c r="A15" s="3" t="s">
        <v>663</v>
      </c>
      <c r="B15" s="3">
        <v>1</v>
      </c>
      <c r="C15" s="3">
        <v>72591</v>
      </c>
      <c r="D15" s="3" t="str">
        <f t="shared" si="1"/>
        <v>RT-88000-70051-006-1-DD-B REV. 1 @72591</v>
      </c>
      <c r="E15" s="3">
        <v>38970</v>
      </c>
      <c r="F15" s="3" t="s">
        <v>642</v>
      </c>
      <c r="G15" s="3" t="s">
        <v>538</v>
      </c>
      <c r="H15" s="3" t="s">
        <v>538</v>
      </c>
    </row>
    <row r="16" spans="1:12" x14ac:dyDescent="0.25">
      <c r="A16" s="3" t="s">
        <v>655</v>
      </c>
      <c r="B16" s="3">
        <v>1</v>
      </c>
      <c r="C16" s="3">
        <v>72591</v>
      </c>
      <c r="D16" s="3" t="str">
        <f t="shared" si="1"/>
        <v>RT-88000-70051-001-1-DD-B REV. 1 @72591</v>
      </c>
      <c r="E16" s="3">
        <v>38970</v>
      </c>
      <c r="F16" s="3" t="s">
        <v>642</v>
      </c>
      <c r="G16" s="3" t="s">
        <v>538</v>
      </c>
      <c r="H16" s="3" t="s">
        <v>538</v>
      </c>
    </row>
    <row r="17" spans="1:8" x14ac:dyDescent="0.25">
      <c r="A17" s="3" t="s">
        <v>654</v>
      </c>
      <c r="B17" s="3">
        <v>1</v>
      </c>
      <c r="C17" s="3">
        <v>72591</v>
      </c>
      <c r="D17" s="3" t="str">
        <f t="shared" si="1"/>
        <v>RT-88000-70051-004-1-DD-B REV. 1 @72591</v>
      </c>
      <c r="E17" s="3">
        <v>38970</v>
      </c>
      <c r="F17" s="3" t="s">
        <v>642</v>
      </c>
      <c r="G17" s="3" t="s">
        <v>538</v>
      </c>
      <c r="H17" s="3" t="s">
        <v>538</v>
      </c>
    </row>
    <row r="18" spans="1:8" x14ac:dyDescent="0.25">
      <c r="A18" s="3" t="s">
        <v>653</v>
      </c>
      <c r="B18" s="3">
        <v>1</v>
      </c>
      <c r="C18" s="3">
        <v>72591</v>
      </c>
      <c r="D18" s="3" t="str">
        <f t="shared" si="1"/>
        <v>RT-88000-70051-005-1-DD-B REV. 1 @72591</v>
      </c>
      <c r="E18" s="3">
        <v>38970</v>
      </c>
      <c r="F18" s="3" t="s">
        <v>642</v>
      </c>
      <c r="G18" s="3" t="s">
        <v>538</v>
      </c>
      <c r="H18" s="3" t="s">
        <v>538</v>
      </c>
    </row>
    <row r="19" spans="1:8" x14ac:dyDescent="0.25">
      <c r="D19" s="3" t="str">
        <f t="shared" si="1"/>
        <v/>
      </c>
    </row>
    <row r="20" spans="1:8" x14ac:dyDescent="0.25">
      <c r="A20" s="3" t="s">
        <v>648</v>
      </c>
      <c r="B20" s="3">
        <v>1</v>
      </c>
      <c r="C20" s="3">
        <v>72592</v>
      </c>
      <c r="D20" s="3" t="str">
        <f t="shared" si="1"/>
        <v>RT-88010-0033-1-DD-B REV. 1 @72592</v>
      </c>
      <c r="E20" s="3">
        <v>38970</v>
      </c>
      <c r="F20" s="3" t="s">
        <v>642</v>
      </c>
      <c r="G20" s="3" t="s">
        <v>538</v>
      </c>
      <c r="H20" s="3" t="s">
        <v>538</v>
      </c>
    </row>
    <row r="21" spans="1:8" x14ac:dyDescent="0.25">
      <c r="A21" s="3" t="s">
        <v>647</v>
      </c>
      <c r="B21" s="3">
        <v>1</v>
      </c>
      <c r="C21" s="3">
        <v>72593</v>
      </c>
      <c r="D21" s="3" t="str">
        <f t="shared" si="1"/>
        <v>RT-88010-0032-1-DD-B REV. 1 @72593</v>
      </c>
      <c r="E21" s="3">
        <v>38970</v>
      </c>
      <c r="F21" s="3" t="s">
        <v>642</v>
      </c>
      <c r="G21" s="3" t="s">
        <v>538</v>
      </c>
      <c r="H21" s="3" t="s">
        <v>538</v>
      </c>
    </row>
    <row r="22" spans="1:8" x14ac:dyDescent="0.25">
      <c r="A22" s="3" t="s">
        <v>649</v>
      </c>
      <c r="B22" s="3">
        <v>1</v>
      </c>
      <c r="C22" s="3">
        <v>72594</v>
      </c>
      <c r="D22" s="3" t="str">
        <f t="shared" si="1"/>
        <v>RT-88010-0031-1-DD-B REV. 1 @72594</v>
      </c>
      <c r="E22" s="3">
        <v>38970</v>
      </c>
      <c r="F22" s="3" t="s">
        <v>642</v>
      </c>
      <c r="G22" s="3" t="s">
        <v>538</v>
      </c>
      <c r="H22" s="3" t="s">
        <v>538</v>
      </c>
    </row>
    <row r="23" spans="1:8" x14ac:dyDescent="0.25">
      <c r="A23" s="3" t="s">
        <v>650</v>
      </c>
      <c r="B23" s="3">
        <v>1</v>
      </c>
      <c r="C23" s="3">
        <v>72595</v>
      </c>
      <c r="D23" s="3" t="str">
        <f t="shared" si="1"/>
        <v>RT-88000-70210-060-1-DD-B REV. 1 @72595</v>
      </c>
      <c r="E23" s="3">
        <v>38970</v>
      </c>
      <c r="F23" s="3" t="s">
        <v>642</v>
      </c>
      <c r="G23" s="3" t="s">
        <v>538</v>
      </c>
      <c r="H23" s="3" t="s">
        <v>538</v>
      </c>
    </row>
    <row r="24" spans="1:8" x14ac:dyDescent="0.25">
      <c r="A24" s="3" t="s">
        <v>646</v>
      </c>
      <c r="B24" s="3">
        <v>1</v>
      </c>
      <c r="C24" s="3">
        <v>72596</v>
      </c>
      <c r="D24" s="3" t="str">
        <f t="shared" si="1"/>
        <v>RT-88010-0120-1-DD-C REV. 1 @72596</v>
      </c>
      <c r="E24" s="3">
        <v>38970</v>
      </c>
      <c r="F24" s="3" t="s">
        <v>642</v>
      </c>
      <c r="G24" s="3" t="s">
        <v>538</v>
      </c>
      <c r="H24" s="3" t="s">
        <v>538</v>
      </c>
    </row>
    <row r="25" spans="1:8" x14ac:dyDescent="0.25">
      <c r="A25" s="3" t="s">
        <v>645</v>
      </c>
      <c r="B25" s="3">
        <v>1</v>
      </c>
      <c r="C25" s="3">
        <v>72598</v>
      </c>
      <c r="D25" s="3" t="str">
        <f t="shared" si="1"/>
        <v>RT-88000-70210-041-1-DD-D REV. 1 @72598</v>
      </c>
      <c r="E25" s="3">
        <v>38970</v>
      </c>
      <c r="F25" s="3" t="s">
        <v>642</v>
      </c>
      <c r="G25" s="3" t="s">
        <v>538</v>
      </c>
      <c r="H25" s="3" t="s">
        <v>538</v>
      </c>
    </row>
    <row r="26" spans="1:8" x14ac:dyDescent="0.25">
      <c r="A26" s="3" t="s">
        <v>643</v>
      </c>
      <c r="B26" s="3">
        <v>1</v>
      </c>
      <c r="C26" s="3">
        <v>72599</v>
      </c>
      <c r="D26" s="3" t="str">
        <f t="shared" si="1"/>
        <v>RT-88000-70210-044-1-DD-D REV. 1 @72599</v>
      </c>
      <c r="E26" s="3">
        <v>38970</v>
      </c>
      <c r="F26" s="3" t="s">
        <v>642</v>
      </c>
      <c r="G26" s="3" t="s">
        <v>538</v>
      </c>
      <c r="H26" s="3" t="s">
        <v>538</v>
      </c>
    </row>
    <row r="27" spans="1:8" x14ac:dyDescent="0.25">
      <c r="A27" s="3" t="s">
        <v>644</v>
      </c>
      <c r="B27" s="3">
        <v>0</v>
      </c>
      <c r="C27" s="3">
        <v>72599</v>
      </c>
      <c r="D27" s="3" t="str">
        <f t="shared" si="1"/>
        <v>RT-88010-0052-1-DD-B REV. 0 @72599</v>
      </c>
      <c r="E27" s="3">
        <v>38970</v>
      </c>
      <c r="F27" s="3" t="s">
        <v>642</v>
      </c>
      <c r="G27" s="3" t="s">
        <v>538</v>
      </c>
      <c r="H27" s="3" t="s">
        <v>538</v>
      </c>
    </row>
    <row r="28" spans="1:8" x14ac:dyDescent="0.25">
      <c r="D28" s="3" t="str">
        <f t="shared" si="1"/>
        <v/>
      </c>
    </row>
    <row r="29" spans="1:8" x14ac:dyDescent="0.25">
      <c r="A29" s="3" t="s">
        <v>666</v>
      </c>
      <c r="B29" s="3">
        <v>0</v>
      </c>
      <c r="C29" s="3">
        <v>72517</v>
      </c>
      <c r="D29" s="3" t="str">
        <f t="shared" si="1"/>
        <v>RT-87840-70110-1022-1-DD-B REV. 0 @72517</v>
      </c>
      <c r="E29" s="3">
        <v>38935</v>
      </c>
      <c r="F29" s="3" t="s">
        <v>667</v>
      </c>
      <c r="G29" s="3" t="s">
        <v>538</v>
      </c>
      <c r="H29" s="3" t="s">
        <v>538</v>
      </c>
    </row>
    <row r="30" spans="1:8" x14ac:dyDescent="0.25">
      <c r="A30" s="3" t="s">
        <v>669</v>
      </c>
      <c r="B30" s="3">
        <v>0</v>
      </c>
      <c r="C30" s="3">
        <v>72517</v>
      </c>
      <c r="D30" s="3" t="str">
        <f t="shared" si="1"/>
        <v>RT-87840-70120-1005-1-DD-B REV. 0 @72517</v>
      </c>
      <c r="E30" s="3">
        <v>38935</v>
      </c>
      <c r="F30" s="3" t="s">
        <v>667</v>
      </c>
      <c r="G30" s="3" t="s">
        <v>538</v>
      </c>
      <c r="H30" s="3" t="s">
        <v>538</v>
      </c>
    </row>
    <row r="31" spans="1:8" x14ac:dyDescent="0.25">
      <c r="A31" s="3" t="s">
        <v>668</v>
      </c>
      <c r="B31" s="3">
        <v>0</v>
      </c>
      <c r="C31" s="3">
        <v>72517</v>
      </c>
      <c r="D31" s="3" t="str">
        <f t="shared" si="1"/>
        <v>RT-87840-70120-1007-1-DD-B REV. 0 @72517</v>
      </c>
      <c r="E31" s="3">
        <v>38935</v>
      </c>
      <c r="F31" s="3" t="s">
        <v>667</v>
      </c>
      <c r="G31" s="3" t="s">
        <v>538</v>
      </c>
      <c r="H31" s="3" t="s">
        <v>538</v>
      </c>
    </row>
    <row r="32" spans="1:8" x14ac:dyDescent="0.25">
      <c r="A32" s="3" t="s">
        <v>670</v>
      </c>
      <c r="B32" s="3">
        <v>0</v>
      </c>
      <c r="C32" s="3">
        <v>72517</v>
      </c>
      <c r="D32" s="3" t="str">
        <f t="shared" si="1"/>
        <v>RT-87840-70130-1010-1-DD-B REV. 0 @72517</v>
      </c>
      <c r="E32" s="3">
        <v>38935</v>
      </c>
      <c r="F32" s="3" t="s">
        <v>667</v>
      </c>
      <c r="G32" s="3" t="s">
        <v>538</v>
      </c>
      <c r="H32" s="3" t="s">
        <v>538</v>
      </c>
    </row>
    <row r="33" spans="1:8" x14ac:dyDescent="0.25">
      <c r="A33" s="3" t="s">
        <v>671</v>
      </c>
      <c r="B33" s="3">
        <v>0</v>
      </c>
      <c r="C33" s="3">
        <v>72517</v>
      </c>
      <c r="D33" s="3" t="str">
        <f t="shared" si="1"/>
        <v>RT-87840-70210-1002-1-DD-B REV. 0 @72517</v>
      </c>
      <c r="E33" s="3">
        <v>38935</v>
      </c>
      <c r="F33" s="3" t="s">
        <v>667</v>
      </c>
      <c r="G33" s="3" t="s">
        <v>538</v>
      </c>
      <c r="H33" s="3" t="s">
        <v>538</v>
      </c>
    </row>
    <row r="34" spans="1:8" x14ac:dyDescent="0.25">
      <c r="D34" s="3" t="str">
        <f t="shared" si="1"/>
        <v/>
      </c>
    </row>
    <row r="35" spans="1:8" x14ac:dyDescent="0.25">
      <c r="A35" s="3" t="s">
        <v>696</v>
      </c>
      <c r="B35" s="3">
        <v>0</v>
      </c>
      <c r="C35" s="3">
        <v>72517</v>
      </c>
      <c r="D35" s="3" t="str">
        <f t="shared" si="1"/>
        <v>RT-87840-70110-1006-1-DD-B REV. 0 @72517</v>
      </c>
      <c r="E35" s="3">
        <v>38935</v>
      </c>
      <c r="F35" s="3" t="s">
        <v>667</v>
      </c>
      <c r="G35" s="3" t="s">
        <v>538</v>
      </c>
      <c r="H35" s="3" t="s">
        <v>538</v>
      </c>
    </row>
    <row r="36" spans="1:8" x14ac:dyDescent="0.25">
      <c r="A36" s="3" t="s">
        <v>695</v>
      </c>
      <c r="B36" s="3">
        <v>0</v>
      </c>
      <c r="C36" s="3">
        <v>72517</v>
      </c>
      <c r="D36" s="3" t="str">
        <f t="shared" si="1"/>
        <v>RT-87840-70110-1007-1-DD-B REV. 0 @72517</v>
      </c>
      <c r="E36" s="3">
        <v>38935</v>
      </c>
      <c r="F36" s="3" t="s">
        <v>667</v>
      </c>
      <c r="G36" s="3" t="s">
        <v>538</v>
      </c>
      <c r="H36" s="3" t="s">
        <v>538</v>
      </c>
    </row>
    <row r="37" spans="1:8" x14ac:dyDescent="0.25">
      <c r="A37" s="3" t="s">
        <v>694</v>
      </c>
      <c r="B37" s="3">
        <v>0</v>
      </c>
      <c r="C37" s="3">
        <v>72517</v>
      </c>
      <c r="D37" s="3" t="str">
        <f t="shared" si="1"/>
        <v>RT-87840-70110-1015-1-DD-B REV. 0 @72517</v>
      </c>
      <c r="E37" s="3">
        <v>38935</v>
      </c>
      <c r="F37" s="3" t="s">
        <v>667</v>
      </c>
      <c r="G37" s="3" t="s">
        <v>538</v>
      </c>
      <c r="H37" s="3" t="s">
        <v>538</v>
      </c>
    </row>
    <row r="38" spans="1:8" x14ac:dyDescent="0.25">
      <c r="A38" s="3" t="s">
        <v>693</v>
      </c>
      <c r="B38" s="3">
        <v>0</v>
      </c>
      <c r="C38" s="3">
        <v>72517</v>
      </c>
      <c r="D38" s="3" t="str">
        <f t="shared" si="1"/>
        <v>RT-87840-70110-1016-1-DD-B REV. 0 @72517</v>
      </c>
      <c r="E38" s="3">
        <v>38935</v>
      </c>
      <c r="F38" s="3" t="s">
        <v>667</v>
      </c>
      <c r="G38" s="3" t="s">
        <v>538</v>
      </c>
      <c r="H38" s="3" t="s">
        <v>538</v>
      </c>
    </row>
    <row r="39" spans="1:8" x14ac:dyDescent="0.25">
      <c r="A39" s="3" t="s">
        <v>692</v>
      </c>
      <c r="B39" s="3">
        <v>0</v>
      </c>
      <c r="C39" s="3">
        <v>72517</v>
      </c>
      <c r="D39" s="3" t="str">
        <f t="shared" si="1"/>
        <v>RT-87840-70110-1019-1-DD-B REV. 0 @72517</v>
      </c>
      <c r="E39" s="3">
        <v>38935</v>
      </c>
      <c r="F39" s="3" t="s">
        <v>667</v>
      </c>
      <c r="G39" s="3" t="s">
        <v>538</v>
      </c>
      <c r="H39" s="3" t="s">
        <v>538</v>
      </c>
    </row>
    <row r="40" spans="1:8" x14ac:dyDescent="0.25">
      <c r="A40" s="3" t="s">
        <v>691</v>
      </c>
      <c r="B40" s="3">
        <v>0</v>
      </c>
      <c r="C40" s="3">
        <v>72517</v>
      </c>
      <c r="D40" s="3" t="str">
        <f t="shared" si="1"/>
        <v>RT-87840-70110-1020-1-DD-B REV. 0 @72517</v>
      </c>
      <c r="E40" s="3">
        <v>38935</v>
      </c>
      <c r="F40" s="3" t="s">
        <v>667</v>
      </c>
      <c r="G40" s="3" t="s">
        <v>538</v>
      </c>
      <c r="H40" s="3" t="s">
        <v>538</v>
      </c>
    </row>
    <row r="41" spans="1:8" x14ac:dyDescent="0.25">
      <c r="A41" s="3" t="s">
        <v>690</v>
      </c>
      <c r="B41" s="3">
        <v>0</v>
      </c>
      <c r="C41" s="3">
        <v>72517</v>
      </c>
      <c r="D41" s="3" t="str">
        <f t="shared" si="1"/>
        <v>RT-87840-70120-1004-1-DD-B REV. 0 @72517</v>
      </c>
      <c r="E41" s="3">
        <v>38935</v>
      </c>
      <c r="F41" s="3" t="s">
        <v>667</v>
      </c>
      <c r="G41" s="3" t="s">
        <v>538</v>
      </c>
      <c r="H41" s="3" t="s">
        <v>538</v>
      </c>
    </row>
    <row r="42" spans="1:8" x14ac:dyDescent="0.25">
      <c r="A42" s="3" t="s">
        <v>674</v>
      </c>
      <c r="B42" s="3">
        <v>0</v>
      </c>
      <c r="C42" s="3">
        <v>72517</v>
      </c>
      <c r="D42" s="3" t="str">
        <f t="shared" si="1"/>
        <v>RT-87840-70130-1001-1-DD-B REV. 0 @72517</v>
      </c>
      <c r="E42" s="3">
        <v>38935</v>
      </c>
      <c r="F42" s="3" t="s">
        <v>667</v>
      </c>
      <c r="G42" s="3" t="s">
        <v>538</v>
      </c>
      <c r="H42" s="3" t="s">
        <v>538</v>
      </c>
    </row>
    <row r="43" spans="1:8" x14ac:dyDescent="0.25">
      <c r="A43" s="3" t="s">
        <v>687</v>
      </c>
      <c r="B43" s="3">
        <v>0</v>
      </c>
      <c r="C43" s="3">
        <v>72517</v>
      </c>
      <c r="D43" s="3" t="str">
        <f t="shared" si="1"/>
        <v>RT-87840-70130-1002-1-DD-B REV. 0 @72517</v>
      </c>
      <c r="E43" s="3">
        <v>38935</v>
      </c>
      <c r="F43" s="3" t="s">
        <v>667</v>
      </c>
      <c r="G43" s="3" t="s">
        <v>538</v>
      </c>
      <c r="H43" s="3" t="s">
        <v>538</v>
      </c>
    </row>
    <row r="44" spans="1:8" x14ac:dyDescent="0.25">
      <c r="A44" s="3" t="s">
        <v>688</v>
      </c>
      <c r="B44" s="3">
        <v>0</v>
      </c>
      <c r="C44" s="3">
        <v>72517</v>
      </c>
      <c r="D44" s="3" t="str">
        <f t="shared" si="1"/>
        <v>RT-87840-70130-1003-1-DD-B REV. 0 @72517</v>
      </c>
      <c r="E44" s="3">
        <v>38935</v>
      </c>
      <c r="F44" s="3" t="s">
        <v>667</v>
      </c>
      <c r="G44" s="3" t="s">
        <v>538</v>
      </c>
      <c r="H44" s="3" t="s">
        <v>538</v>
      </c>
    </row>
    <row r="45" spans="1:8" x14ac:dyDescent="0.25">
      <c r="A45" s="3" t="s">
        <v>689</v>
      </c>
      <c r="B45" s="3">
        <v>0</v>
      </c>
      <c r="C45" s="3">
        <v>72517</v>
      </c>
      <c r="D45" s="3" t="str">
        <f t="shared" si="1"/>
        <v>RT-87840-70130-1004-1-DD-B REV. 0 @72517</v>
      </c>
      <c r="E45" s="3">
        <v>38935</v>
      </c>
      <c r="F45" s="3" t="s">
        <v>667</v>
      </c>
      <c r="G45" s="3" t="s">
        <v>538</v>
      </c>
      <c r="H45" s="3" t="s">
        <v>538</v>
      </c>
    </row>
    <row r="46" spans="1:8" x14ac:dyDescent="0.25">
      <c r="D46" s="3" t="str">
        <f t="shared" si="1"/>
        <v/>
      </c>
    </row>
    <row r="47" spans="1:8" x14ac:dyDescent="0.25">
      <c r="A47" s="3" t="s">
        <v>673</v>
      </c>
      <c r="B47" s="3">
        <v>0</v>
      </c>
      <c r="C47" s="3">
        <v>72517</v>
      </c>
      <c r="D47" s="3" t="str">
        <f t="shared" si="1"/>
        <v>RT-87840-70130-1005-1-DD-B REV. 0 @72517</v>
      </c>
      <c r="E47" s="3">
        <v>38935</v>
      </c>
      <c r="F47" s="3" t="s">
        <v>667</v>
      </c>
      <c r="G47" s="3" t="s">
        <v>538</v>
      </c>
      <c r="H47" s="3" t="s">
        <v>538</v>
      </c>
    </row>
    <row r="48" spans="1:8" x14ac:dyDescent="0.25">
      <c r="A48" s="3" t="s">
        <v>672</v>
      </c>
      <c r="B48" s="3">
        <v>0</v>
      </c>
      <c r="C48" s="3">
        <v>72517</v>
      </c>
      <c r="D48" s="3" t="str">
        <f t="shared" si="1"/>
        <v>RT-87840-70130-1009-1-DD-B REV. 0 @72517</v>
      </c>
      <c r="E48" s="3">
        <v>38935</v>
      </c>
      <c r="F48" s="3" t="s">
        <v>667</v>
      </c>
      <c r="G48" s="3" t="s">
        <v>538</v>
      </c>
      <c r="H48" s="3" t="s">
        <v>538</v>
      </c>
    </row>
    <row r="49" spans="1:12" x14ac:dyDescent="0.25">
      <c r="D49" s="3" t="str">
        <f t="shared" si="1"/>
        <v/>
      </c>
    </row>
    <row r="50" spans="1:12" x14ac:dyDescent="0.25">
      <c r="A50" s="3" t="s">
        <v>700</v>
      </c>
      <c r="B50" s="3">
        <v>0</v>
      </c>
      <c r="C50" s="3">
        <v>72479</v>
      </c>
      <c r="D50" s="3" t="str">
        <f t="shared" ref="D50:D90" si="2">IF(AND(A50="", B50="", C50=""), "", A50 &amp; " REV. " &amp; B50 &amp; " @" &amp; C50)</f>
        <v>NK38-DRAW-31935-10462-0003 REV. 0 @72479</v>
      </c>
      <c r="E50" s="3">
        <v>38923</v>
      </c>
      <c r="F50" s="3" t="s">
        <v>702</v>
      </c>
      <c r="G50" s="3" t="s">
        <v>538</v>
      </c>
      <c r="H50" s="3" t="s">
        <v>538</v>
      </c>
    </row>
    <row r="51" spans="1:12" s="56" customFormat="1" ht="15.75" x14ac:dyDescent="0.25">
      <c r="A51" s="3" t="s">
        <v>701</v>
      </c>
      <c r="B51" s="3">
        <v>0</v>
      </c>
      <c r="C51" s="3">
        <v>72479</v>
      </c>
      <c r="D51" s="3" t="str">
        <f t="shared" si="2"/>
        <v>NK38-DRAW-31935-10462-0004 REV. 0 @72479</v>
      </c>
      <c r="E51" s="3">
        <v>38923</v>
      </c>
      <c r="F51" s="3" t="s">
        <v>702</v>
      </c>
      <c r="G51" s="3" t="s">
        <v>538</v>
      </c>
      <c r="H51" s="3" t="s">
        <v>538</v>
      </c>
      <c r="I51" s="3"/>
    </row>
    <row r="52" spans="1:12" ht="16.5" x14ac:dyDescent="0.3">
      <c r="D52" s="3" t="str">
        <f t="shared" si="2"/>
        <v/>
      </c>
      <c r="L52" s="57"/>
    </row>
    <row r="53" spans="1:12" ht="16.5" x14ac:dyDescent="0.3">
      <c r="A53" s="3" t="s">
        <v>704</v>
      </c>
      <c r="B53" s="3">
        <v>0</v>
      </c>
      <c r="C53" s="3">
        <v>72485</v>
      </c>
      <c r="D53" s="3" t="str">
        <f t="shared" si="2"/>
        <v>NK38-DRAW-31935-10490-0002 REV. 0 @72485</v>
      </c>
      <c r="E53" s="3">
        <v>38923</v>
      </c>
      <c r="F53" s="3" t="s">
        <v>702</v>
      </c>
      <c r="G53" s="3" t="s">
        <v>538</v>
      </c>
      <c r="L53" s="57"/>
    </row>
    <row r="54" spans="1:12" x14ac:dyDescent="0.25">
      <c r="A54" s="3" t="s">
        <v>705</v>
      </c>
      <c r="B54" s="3">
        <v>0</v>
      </c>
      <c r="C54" s="3">
        <v>72485</v>
      </c>
      <c r="D54" s="3" t="str">
        <f t="shared" si="2"/>
        <v>NK38-DRAW-31935-10490-0003 REV. 0 @72485</v>
      </c>
      <c r="E54" s="3">
        <v>38923</v>
      </c>
      <c r="F54" s="3" t="s">
        <v>702</v>
      </c>
      <c r="G54" s="3" t="s">
        <v>538</v>
      </c>
    </row>
    <row r="55" spans="1:12" x14ac:dyDescent="0.25">
      <c r="A55" s="3" t="s">
        <v>703</v>
      </c>
      <c r="B55" s="3">
        <v>0</v>
      </c>
      <c r="C55" s="3">
        <v>72485</v>
      </c>
      <c r="D55" s="3" t="str">
        <f t="shared" si="2"/>
        <v>NK38-DRAW-31935-10490-0006 REV. 0 @72485</v>
      </c>
      <c r="E55" s="3">
        <v>38923</v>
      </c>
      <c r="F55" s="3" t="s">
        <v>702</v>
      </c>
      <c r="G55" s="3" t="s">
        <v>538</v>
      </c>
    </row>
    <row r="56" spans="1:12" x14ac:dyDescent="0.25">
      <c r="D56" s="3" t="str">
        <f t="shared" si="2"/>
        <v/>
      </c>
    </row>
    <row r="57" spans="1:12" x14ac:dyDescent="0.25">
      <c r="A57" s="3" t="s">
        <v>706</v>
      </c>
      <c r="B57" s="3">
        <v>0</v>
      </c>
      <c r="C57" s="3">
        <v>71851</v>
      </c>
      <c r="D57" s="3" t="str">
        <f t="shared" si="2"/>
        <v>RT-87550-0156-01-GA-C REV. 0 @71851</v>
      </c>
      <c r="E57" s="3">
        <v>38672</v>
      </c>
      <c r="F57" s="3" t="s">
        <v>708</v>
      </c>
      <c r="G57" s="3" t="s">
        <v>538</v>
      </c>
    </row>
    <row r="58" spans="1:12" x14ac:dyDescent="0.25">
      <c r="A58" s="3" t="s">
        <v>706</v>
      </c>
      <c r="B58" s="3">
        <v>0</v>
      </c>
      <c r="C58" s="3">
        <v>72023</v>
      </c>
      <c r="D58" s="3" t="str">
        <f t="shared" si="2"/>
        <v>RT-87550-0156-01-GA-C REV. 0 @72023</v>
      </c>
      <c r="E58" s="3">
        <v>38740</v>
      </c>
      <c r="F58" s="3" t="s">
        <v>710</v>
      </c>
      <c r="G58" s="3" t="s">
        <v>538</v>
      </c>
    </row>
    <row r="59" spans="1:12" x14ac:dyDescent="0.25">
      <c r="A59" s="3" t="s">
        <v>707</v>
      </c>
      <c r="B59" s="3">
        <v>0</v>
      </c>
      <c r="C59" s="3">
        <v>71851</v>
      </c>
      <c r="D59" s="3" t="str">
        <f t="shared" si="2"/>
        <v>RT-87550-0161-01-GA-C REV. 0 @71851</v>
      </c>
      <c r="E59" s="3">
        <v>38672</v>
      </c>
      <c r="F59" s="3" t="s">
        <v>708</v>
      </c>
      <c r="G59" s="3" t="s">
        <v>538</v>
      </c>
    </row>
    <row r="60" spans="1:12" x14ac:dyDescent="0.25">
      <c r="A60" s="3" t="s">
        <v>707</v>
      </c>
      <c r="B60" s="3">
        <v>0</v>
      </c>
      <c r="C60" s="3">
        <v>72023</v>
      </c>
      <c r="D60" s="3" t="str">
        <f t="shared" si="2"/>
        <v>RT-87550-0161-01-GA-C REV. 0 @72023</v>
      </c>
      <c r="E60" s="3">
        <v>38740</v>
      </c>
      <c r="F60" s="3" t="s">
        <v>710</v>
      </c>
      <c r="G60" s="3" t="s">
        <v>538</v>
      </c>
    </row>
    <row r="61" spans="1:12" x14ac:dyDescent="0.25">
      <c r="D61" s="3" t="str">
        <f t="shared" si="2"/>
        <v/>
      </c>
    </row>
    <row r="62" spans="1:12" x14ac:dyDescent="0.25">
      <c r="A62" s="3" t="s">
        <v>709</v>
      </c>
      <c r="B62" s="3">
        <v>0</v>
      </c>
      <c r="C62" s="3">
        <v>71851</v>
      </c>
      <c r="D62" s="3" t="str">
        <f t="shared" si="2"/>
        <v>RT-87550-0313-01-GA-C REV. 0 @71851</v>
      </c>
      <c r="E62" s="3">
        <v>38672</v>
      </c>
      <c r="F62" s="3" t="s">
        <v>708</v>
      </c>
      <c r="G62" s="3" t="s">
        <v>538</v>
      </c>
    </row>
    <row r="63" spans="1:12" x14ac:dyDescent="0.25">
      <c r="A63" s="3" t="s">
        <v>709</v>
      </c>
      <c r="B63" s="3">
        <v>0</v>
      </c>
      <c r="C63" s="3">
        <v>72023</v>
      </c>
      <c r="D63" s="3" t="str">
        <f t="shared" si="2"/>
        <v>RT-87550-0313-01-GA-C REV. 0 @72023</v>
      </c>
      <c r="E63" s="3">
        <v>38740</v>
      </c>
      <c r="F63" s="3" t="s">
        <v>710</v>
      </c>
      <c r="G63" s="3" t="s">
        <v>538</v>
      </c>
    </row>
    <row r="64" spans="1:12" x14ac:dyDescent="0.25">
      <c r="D64" s="3" t="str">
        <f t="shared" si="2"/>
        <v/>
      </c>
    </row>
    <row r="65" spans="1:7" x14ac:dyDescent="0.25">
      <c r="A65" s="3" t="s">
        <v>711</v>
      </c>
      <c r="B65" s="3">
        <v>2</v>
      </c>
      <c r="C65" s="3">
        <v>72602</v>
      </c>
      <c r="D65" s="3" t="str">
        <f t="shared" si="2"/>
        <v>RT-87530-70010-1-DD-C REV. 2 @72602</v>
      </c>
      <c r="E65" s="3">
        <v>38972</v>
      </c>
      <c r="F65" s="3" t="s">
        <v>712</v>
      </c>
      <c r="G65" s="3" t="s">
        <v>538</v>
      </c>
    </row>
    <row r="66" spans="1:7" x14ac:dyDescent="0.25">
      <c r="A66" s="3" t="s">
        <v>713</v>
      </c>
      <c r="B66" s="3">
        <v>1</v>
      </c>
      <c r="C66" s="3">
        <v>72602</v>
      </c>
      <c r="D66" s="3" t="str">
        <f t="shared" si="2"/>
        <v>RT-87530-70011-1-DD-C REV. 1 @72602</v>
      </c>
      <c r="E66" s="3">
        <v>38972</v>
      </c>
      <c r="F66" s="3" t="s">
        <v>712</v>
      </c>
      <c r="G66" s="3" t="s">
        <v>538</v>
      </c>
    </row>
    <row r="67" spans="1:7" x14ac:dyDescent="0.25">
      <c r="A67" s="3" t="s">
        <v>714</v>
      </c>
      <c r="B67" s="3">
        <v>0</v>
      </c>
      <c r="C67" s="3">
        <v>72603</v>
      </c>
      <c r="D67" s="3" t="str">
        <f t="shared" si="2"/>
        <v>98-31952-80-1-GA-B REV. 0 @72603</v>
      </c>
      <c r="E67" s="3">
        <v>38972</v>
      </c>
      <c r="F67" s="3" t="s">
        <v>712</v>
      </c>
      <c r="G67" s="3" t="s">
        <v>538</v>
      </c>
    </row>
    <row r="68" spans="1:7" x14ac:dyDescent="0.25">
      <c r="A68" s="3" t="s">
        <v>715</v>
      </c>
      <c r="B68" s="3">
        <v>0</v>
      </c>
      <c r="C68" s="3">
        <v>72603</v>
      </c>
      <c r="D68" s="3" t="str">
        <f t="shared" si="2"/>
        <v>98-31952-81-1-DD-B REV. 0 @72603</v>
      </c>
      <c r="E68" s="3">
        <v>38972</v>
      </c>
      <c r="F68" s="3" t="s">
        <v>712</v>
      </c>
      <c r="G68" s="3" t="s">
        <v>538</v>
      </c>
    </row>
    <row r="69" spans="1:7" x14ac:dyDescent="0.25">
      <c r="A69" s="3" t="s">
        <v>716</v>
      </c>
      <c r="B69" s="3">
        <v>0</v>
      </c>
      <c r="C69" s="3">
        <v>72603</v>
      </c>
      <c r="D69" s="3" t="str">
        <f t="shared" si="2"/>
        <v>98-31952-82-1-DD-B REV. 0 @72603</v>
      </c>
      <c r="E69" s="3">
        <v>38972</v>
      </c>
      <c r="F69" s="3" t="s">
        <v>712</v>
      </c>
      <c r="G69" s="3" t="s">
        <v>538</v>
      </c>
    </row>
    <row r="70" spans="1:7" x14ac:dyDescent="0.25">
      <c r="A70" s="3" t="s">
        <v>717</v>
      </c>
      <c r="B70" s="3">
        <v>0</v>
      </c>
      <c r="C70" s="3">
        <v>72603</v>
      </c>
      <c r="D70" s="3" t="str">
        <f t="shared" si="2"/>
        <v>98-31952-90-1-DD-B REV. 0 @72603</v>
      </c>
      <c r="E70" s="3">
        <v>38972</v>
      </c>
      <c r="F70" s="3" t="s">
        <v>712</v>
      </c>
      <c r="G70" s="3" t="s">
        <v>538</v>
      </c>
    </row>
    <row r="71" spans="1:7" x14ac:dyDescent="0.25">
      <c r="A71" s="3" t="s">
        <v>718</v>
      </c>
      <c r="B71" s="3">
        <v>0</v>
      </c>
      <c r="C71" s="3">
        <v>72603</v>
      </c>
      <c r="D71" s="3" t="str">
        <f t="shared" si="2"/>
        <v>98-31952-92-1-DD-C REV. 0 @72603</v>
      </c>
      <c r="E71" s="3">
        <v>38972</v>
      </c>
      <c r="F71" s="3" t="s">
        <v>712</v>
      </c>
      <c r="G71" s="3" t="s">
        <v>538</v>
      </c>
    </row>
    <row r="72" spans="1:7" x14ac:dyDescent="0.25">
      <c r="D72" s="3" t="str">
        <f t="shared" si="2"/>
        <v/>
      </c>
    </row>
    <row r="73" spans="1:7" x14ac:dyDescent="0.25">
      <c r="A73" s="3" t="s">
        <v>578</v>
      </c>
      <c r="B73" s="3">
        <v>0</v>
      </c>
      <c r="C73" s="3">
        <v>71851</v>
      </c>
      <c r="D73" s="3" t="str">
        <f t="shared" si="2"/>
        <v>RT-87550-0329-01-DD-C REV. 0 @71851</v>
      </c>
      <c r="E73" s="3">
        <v>38672</v>
      </c>
      <c r="F73" s="3" t="s">
        <v>708</v>
      </c>
      <c r="G73" s="3" t="s">
        <v>538</v>
      </c>
    </row>
    <row r="74" spans="1:7" x14ac:dyDescent="0.25">
      <c r="A74" s="3" t="s">
        <v>578</v>
      </c>
      <c r="B74" s="3">
        <v>0</v>
      </c>
      <c r="C74" s="3">
        <v>71873</v>
      </c>
      <c r="D74" s="3" t="str">
        <f t="shared" si="2"/>
        <v>RT-87550-0329-01-DD-C REV. 0 @71873</v>
      </c>
      <c r="E74" s="3">
        <v>38672</v>
      </c>
      <c r="F74" s="3" t="s">
        <v>708</v>
      </c>
      <c r="G74" s="3" t="s">
        <v>538</v>
      </c>
    </row>
    <row r="75" spans="1:7" x14ac:dyDescent="0.25">
      <c r="A75" s="3" t="s">
        <v>578</v>
      </c>
      <c r="B75" s="3">
        <v>0</v>
      </c>
      <c r="C75" s="3">
        <v>72023</v>
      </c>
      <c r="D75" s="3" t="str">
        <f t="shared" si="2"/>
        <v>RT-87550-0329-01-DD-C REV. 0 @72023</v>
      </c>
      <c r="E75" s="3">
        <v>38740</v>
      </c>
      <c r="F75" s="3" t="s">
        <v>710</v>
      </c>
      <c r="G75" s="3" t="s">
        <v>538</v>
      </c>
    </row>
    <row r="76" spans="1:7" x14ac:dyDescent="0.25">
      <c r="A76" s="3" t="s">
        <v>578</v>
      </c>
      <c r="B76" s="3">
        <v>0</v>
      </c>
      <c r="C76" s="3">
        <v>72024</v>
      </c>
      <c r="D76" s="3" t="str">
        <f t="shared" si="2"/>
        <v>RT-87550-0329-01-DD-C REV. 0 @72024</v>
      </c>
      <c r="E76" s="3">
        <v>38740</v>
      </c>
      <c r="F76" s="3" t="s">
        <v>710</v>
      </c>
      <c r="G76" s="3" t="s">
        <v>538</v>
      </c>
    </row>
    <row r="77" spans="1:7" x14ac:dyDescent="0.25">
      <c r="A77" s="3" t="s">
        <v>690</v>
      </c>
      <c r="B77" s="3">
        <v>0</v>
      </c>
      <c r="C77" s="3">
        <v>72517</v>
      </c>
      <c r="D77" s="3" t="str">
        <f t="shared" si="2"/>
        <v>RT-87840-70120-1004-1-DD-B REV. 0 @72517</v>
      </c>
      <c r="E77" s="3">
        <v>38935</v>
      </c>
      <c r="F77" s="3" t="s">
        <v>667</v>
      </c>
      <c r="G77" s="3" t="s">
        <v>538</v>
      </c>
    </row>
    <row r="78" spans="1:7" x14ac:dyDescent="0.25">
      <c r="A78" s="3" t="s">
        <v>689</v>
      </c>
      <c r="B78" s="3">
        <v>0</v>
      </c>
      <c r="C78" s="3">
        <v>72517</v>
      </c>
      <c r="D78" s="3" t="str">
        <f t="shared" si="2"/>
        <v>RT-87840-70130-1004-1-DD-B REV. 0 @72517</v>
      </c>
      <c r="E78" s="3">
        <v>38935</v>
      </c>
      <c r="F78" s="3" t="s">
        <v>667</v>
      </c>
      <c r="G78" s="3" t="s">
        <v>538</v>
      </c>
    </row>
    <row r="79" spans="1:7" x14ac:dyDescent="0.25">
      <c r="A79" s="3" t="s">
        <v>719</v>
      </c>
      <c r="B79" s="3">
        <v>0</v>
      </c>
      <c r="C79" s="3">
        <v>72581</v>
      </c>
      <c r="D79" s="3" t="str">
        <f t="shared" si="2"/>
        <v>RT-87000-70600-6003-1-DD-B REV. 0 @72581</v>
      </c>
      <c r="E79" s="3">
        <v>38966</v>
      </c>
      <c r="F79" s="3" t="s">
        <v>720</v>
      </c>
      <c r="G79" s="3" t="s">
        <v>538</v>
      </c>
    </row>
    <row r="80" spans="1:7" x14ac:dyDescent="0.25">
      <c r="A80" s="3" t="s">
        <v>721</v>
      </c>
      <c r="B80" s="3">
        <v>1</v>
      </c>
      <c r="C80" s="3">
        <v>72622</v>
      </c>
      <c r="D80" s="3" t="str">
        <f t="shared" si="2"/>
        <v>RT-87900-0429-1-DD-C REV. 1 @72622</v>
      </c>
      <c r="E80" s="3">
        <v>38988</v>
      </c>
      <c r="F80" s="3" t="s">
        <v>722</v>
      </c>
      <c r="G80" s="3" t="s">
        <v>538</v>
      </c>
    </row>
    <row r="81" spans="1:7" x14ac:dyDescent="0.25">
      <c r="A81" s="3" t="s">
        <v>721</v>
      </c>
      <c r="B81" s="3">
        <v>1</v>
      </c>
      <c r="C81" s="3">
        <v>72623</v>
      </c>
      <c r="D81" s="3" t="str">
        <f t="shared" si="2"/>
        <v>RT-87900-0429-1-DD-C REV. 1 @72623</v>
      </c>
      <c r="E81" s="3">
        <v>38988</v>
      </c>
      <c r="F81" s="3" t="s">
        <v>722</v>
      </c>
      <c r="G81" s="3" t="s">
        <v>538</v>
      </c>
    </row>
    <row r="82" spans="1:7" x14ac:dyDescent="0.25">
      <c r="D82" s="3" t="str">
        <f t="shared" si="2"/>
        <v/>
      </c>
    </row>
    <row r="83" spans="1:7" x14ac:dyDescent="0.25">
      <c r="A83" s="3" t="s">
        <v>723</v>
      </c>
      <c r="B83" s="3">
        <v>0</v>
      </c>
      <c r="C83" s="3">
        <v>72459</v>
      </c>
      <c r="D83" s="3" t="str">
        <f t="shared" si="2"/>
        <v>RT-88030-0312-1-DD-D REV. 0 @72459</v>
      </c>
      <c r="E83" s="3">
        <v>38759</v>
      </c>
      <c r="F83" s="3" t="s">
        <v>639</v>
      </c>
    </row>
    <row r="84" spans="1:7" x14ac:dyDescent="0.25">
      <c r="D84" s="3" t="str">
        <f t="shared" si="2"/>
        <v/>
      </c>
    </row>
    <row r="85" spans="1:7" x14ac:dyDescent="0.25">
      <c r="A85" s="3" t="s">
        <v>724</v>
      </c>
      <c r="B85" s="3">
        <v>1</v>
      </c>
      <c r="C85" s="3">
        <v>72597</v>
      </c>
      <c r="D85" s="3" t="str">
        <f t="shared" si="2"/>
        <v>RT-88010-0121-1-DD-B REV. 1 @72597</v>
      </c>
      <c r="E85" s="3">
        <v>38970</v>
      </c>
      <c r="F85" s="3" t="s">
        <v>642</v>
      </c>
    </row>
    <row r="86" spans="1:7" x14ac:dyDescent="0.25">
      <c r="D86" s="3" t="str">
        <f t="shared" si="2"/>
        <v/>
      </c>
    </row>
    <row r="87" spans="1:7" x14ac:dyDescent="0.25">
      <c r="A87" s="3" t="s">
        <v>725</v>
      </c>
      <c r="B87" s="3">
        <v>3</v>
      </c>
      <c r="C87" s="3">
        <v>72710</v>
      </c>
      <c r="D87" s="3" t="str">
        <f t="shared" si="2"/>
        <v>4038996-101 REV. 3 @72710</v>
      </c>
      <c r="E87" s="3">
        <v>39018</v>
      </c>
      <c r="F87" s="3" t="s">
        <v>726</v>
      </c>
    </row>
    <row r="88" spans="1:7" x14ac:dyDescent="0.25">
      <c r="A88" s="59" t="s">
        <v>727</v>
      </c>
      <c r="B88" s="3">
        <v>0</v>
      </c>
      <c r="C88" s="3">
        <v>72688</v>
      </c>
      <c r="D88" s="3" t="str">
        <f t="shared" si="2"/>
        <v>912E1601 REV. 0 @72688</v>
      </c>
      <c r="E88" s="3">
        <v>39014</v>
      </c>
      <c r="F88" s="3" t="s">
        <v>728</v>
      </c>
    </row>
    <row r="89" spans="1:7" x14ac:dyDescent="0.25">
      <c r="A89" s="3" t="s">
        <v>729</v>
      </c>
      <c r="B89" s="3">
        <v>0</v>
      </c>
      <c r="C89" s="3" t="s">
        <v>730</v>
      </c>
      <c r="D89" s="3" t="str">
        <f t="shared" si="2"/>
        <v>RT-87600-76100-4003-1-DD-B REV. 0 @71626-80</v>
      </c>
      <c r="E89" s="3">
        <v>38613</v>
      </c>
      <c r="F89" s="3" t="s">
        <v>731</v>
      </c>
    </row>
    <row r="90" spans="1:7" x14ac:dyDescent="0.25">
      <c r="D90" s="3" t="str">
        <f t="shared" si="2"/>
        <v/>
      </c>
    </row>
    <row r="91" spans="1:7" x14ac:dyDescent="0.25">
      <c r="A91" s="3" t="s">
        <v>734</v>
      </c>
      <c r="B91" s="3">
        <v>1</v>
      </c>
      <c r="C91" s="3">
        <v>72709</v>
      </c>
      <c r="D91" s="3" t="str">
        <f t="shared" ref="D91:D92" si="3">IF(AND(A91="", B91="", C91=""), "", A91 &amp; " REV. " &amp; B91 &amp; " @" &amp; C91)</f>
        <v>RT-88010-0001-1-GA-E REV. 1 @72709</v>
      </c>
      <c r="E91" s="3">
        <v>39017</v>
      </c>
      <c r="F91" s="3" t="s">
        <v>733</v>
      </c>
      <c r="G91" s="3" t="s">
        <v>538</v>
      </c>
    </row>
    <row r="92" spans="1:7" x14ac:dyDescent="0.25">
      <c r="A92" s="3" t="s">
        <v>735</v>
      </c>
      <c r="B92" s="3">
        <v>0</v>
      </c>
      <c r="C92" s="3">
        <v>72709</v>
      </c>
      <c r="D92" s="3" t="str">
        <f t="shared" si="3"/>
        <v>RT-88010-0002-1-DD-D REV. 0 @72709</v>
      </c>
      <c r="E92" s="3">
        <v>39017</v>
      </c>
      <c r="F92" s="3" t="s">
        <v>733</v>
      </c>
      <c r="G92" s="3" t="s">
        <v>538</v>
      </c>
    </row>
    <row r="93" spans="1:7" x14ac:dyDescent="0.25">
      <c r="A93" s="3" t="s">
        <v>732</v>
      </c>
      <c r="B93" s="3">
        <v>0</v>
      </c>
      <c r="C93" s="3">
        <v>72709</v>
      </c>
      <c r="D93" s="3" t="str">
        <f t="shared" ref="D93:D95" si="4">IF(AND(A93="", B93="", C93=""), "", A93 &amp; " REV. " &amp; B93 &amp; " @" &amp; C93)</f>
        <v>RT-88010-0003-1-DD-D REV. 0 @72709</v>
      </c>
      <c r="E93" s="3">
        <v>39017</v>
      </c>
      <c r="F93" s="3" t="s">
        <v>733</v>
      </c>
      <c r="G93" s="3" t="s">
        <v>538</v>
      </c>
    </row>
    <row r="94" spans="1:7" x14ac:dyDescent="0.25">
      <c r="A94" s="3" t="s">
        <v>562</v>
      </c>
      <c r="B94" s="3">
        <v>0</v>
      </c>
      <c r="C94" s="3">
        <v>72330</v>
      </c>
      <c r="D94" s="3" t="str">
        <f t="shared" si="4"/>
        <v>RT-87550-0148-01-DD-C REV. 0 @72330</v>
      </c>
      <c r="E94" s="3">
        <v>38758</v>
      </c>
      <c r="F94" s="3" t="s">
        <v>742</v>
      </c>
      <c r="G94" s="3" t="s">
        <v>538</v>
      </c>
    </row>
    <row r="95" spans="1:7" x14ac:dyDescent="0.25">
      <c r="A95" s="3" t="s">
        <v>562</v>
      </c>
      <c r="B95" s="3">
        <v>0</v>
      </c>
      <c r="C95" s="3">
        <v>72331</v>
      </c>
      <c r="D95" s="3" t="str">
        <f t="shared" si="4"/>
        <v>RT-87550-0148-01-DD-C REV. 0 @72331</v>
      </c>
      <c r="E95" s="3">
        <v>38759</v>
      </c>
      <c r="F95" s="3" t="s">
        <v>736</v>
      </c>
      <c r="G95" s="3" t="s">
        <v>538</v>
      </c>
    </row>
    <row r="96" spans="1:7" x14ac:dyDescent="0.25">
      <c r="A96" s="3" t="s">
        <v>563</v>
      </c>
      <c r="B96" s="3">
        <v>0</v>
      </c>
      <c r="C96" s="3">
        <v>72330</v>
      </c>
      <c r="D96" s="3" t="str">
        <f t="shared" ref="D96:D99" si="5">IF(AND(A96="", B96="", C96=""), "", A96 &amp; " REV. " &amp; B96 &amp; " @" &amp; C96)</f>
        <v>RT-87550-0149-01-DD-C REV. 0 @72330</v>
      </c>
      <c r="E96" s="3">
        <v>38758</v>
      </c>
      <c r="F96" s="3" t="s">
        <v>742</v>
      </c>
      <c r="G96" s="3" t="s">
        <v>538</v>
      </c>
    </row>
    <row r="97" spans="1:7" x14ac:dyDescent="0.25">
      <c r="A97" s="3" t="s">
        <v>563</v>
      </c>
      <c r="B97" s="3">
        <v>0</v>
      </c>
      <c r="C97" s="3">
        <v>72331</v>
      </c>
      <c r="D97" s="3" t="str">
        <f t="shared" si="5"/>
        <v>RT-87550-0149-01-DD-C REV. 0 @72331</v>
      </c>
      <c r="E97" s="3">
        <v>38759</v>
      </c>
      <c r="F97" s="3" t="s">
        <v>736</v>
      </c>
      <c r="G97" s="3" t="s">
        <v>538</v>
      </c>
    </row>
    <row r="98" spans="1:7" x14ac:dyDescent="0.25">
      <c r="A98" s="3" t="s">
        <v>737</v>
      </c>
      <c r="B98" s="3">
        <v>2</v>
      </c>
      <c r="C98" s="3">
        <v>72602</v>
      </c>
      <c r="D98" s="3" t="str">
        <f t="shared" si="5"/>
        <v>RT-87530-70006-1-DD-C REV. 2 @72602</v>
      </c>
      <c r="E98" s="3">
        <v>38972</v>
      </c>
      <c r="F98" s="3" t="s">
        <v>712</v>
      </c>
      <c r="G98" s="3" t="s">
        <v>538</v>
      </c>
    </row>
    <row r="99" spans="1:7" x14ac:dyDescent="0.25">
      <c r="A99" s="3" t="s">
        <v>738</v>
      </c>
      <c r="B99" s="3">
        <v>1</v>
      </c>
      <c r="C99" s="3">
        <v>72373</v>
      </c>
      <c r="D99" s="3" t="str">
        <f t="shared" si="5"/>
        <v>RT-87590-71300-020-1-DD-D REV. 1 @72373</v>
      </c>
      <c r="E99" s="3">
        <v>38867</v>
      </c>
      <c r="F99" s="3" t="s">
        <v>739</v>
      </c>
      <c r="G99" s="3" t="s">
        <v>538</v>
      </c>
    </row>
    <row r="100" spans="1:7" x14ac:dyDescent="0.25">
      <c r="A100" s="3" t="s">
        <v>741</v>
      </c>
      <c r="B100" s="3">
        <v>1</v>
      </c>
      <c r="C100" s="3">
        <v>72373</v>
      </c>
      <c r="D100" s="3" t="str">
        <f t="shared" ref="D100" si="6">IF(AND(A100="", B100="", C100=""), "", A100 &amp; " REV. " &amp; B100 &amp; " @" &amp; C100)</f>
        <v>RT-87590-71300-020-2-DD-D REV. 1 @72373</v>
      </c>
      <c r="E100" s="3">
        <v>38867</v>
      </c>
      <c r="F100" s="3" t="s">
        <v>739</v>
      </c>
      <c r="G100" s="3" t="s">
        <v>538</v>
      </c>
    </row>
    <row r="101" spans="1:7" x14ac:dyDescent="0.25">
      <c r="A101" s="3" t="s">
        <v>740</v>
      </c>
      <c r="B101" s="3">
        <v>0</v>
      </c>
      <c r="C101" s="3">
        <v>72676</v>
      </c>
      <c r="D101" s="3" t="str">
        <f t="shared" ref="D101:D155" si="7">IF(AND(A101="", B101="", C101=""), "", A101 &amp; " REV. " &amp; B101 &amp; " @" &amp; C101)</f>
        <v>NPD0059-DET-5215 REV. 0 @72676</v>
      </c>
      <c r="E101" s="3">
        <v>39007</v>
      </c>
      <c r="F101" s="3">
        <v>280103799</v>
      </c>
      <c r="G101" s="3" t="s">
        <v>538</v>
      </c>
    </row>
    <row r="102" spans="1:7" x14ac:dyDescent="0.25">
      <c r="D102" s="3" t="str">
        <f t="shared" si="7"/>
        <v/>
      </c>
    </row>
    <row r="103" spans="1:7" x14ac:dyDescent="0.25">
      <c r="A103" s="3" t="s">
        <v>743</v>
      </c>
      <c r="B103" s="3">
        <v>0</v>
      </c>
      <c r="C103" s="3">
        <v>72773</v>
      </c>
      <c r="D103" s="3" t="str">
        <f t="shared" si="7"/>
        <v>NPD0059-DET-8921 REV. 0 @72773</v>
      </c>
      <c r="E103" s="3">
        <v>39057</v>
      </c>
      <c r="F103" s="3">
        <v>280104534</v>
      </c>
      <c r="G103" s="3" t="s">
        <v>538</v>
      </c>
    </row>
    <row r="104" spans="1:7" x14ac:dyDescent="0.25">
      <c r="A104" s="3" t="s">
        <v>744</v>
      </c>
      <c r="B104" s="3">
        <v>0</v>
      </c>
      <c r="C104" s="3">
        <v>72836</v>
      </c>
      <c r="D104" s="3" t="str">
        <f t="shared" si="7"/>
        <v>67967-DT REV. 0 @72836</v>
      </c>
      <c r="E104" s="3">
        <v>39079</v>
      </c>
      <c r="F104" s="3" t="s">
        <v>745</v>
      </c>
    </row>
    <row r="105" spans="1:7" x14ac:dyDescent="0.25">
      <c r="A105" s="3" t="s">
        <v>747</v>
      </c>
      <c r="B105" s="3">
        <v>0</v>
      </c>
      <c r="C105" s="3">
        <v>72517</v>
      </c>
      <c r="D105" s="3" t="str">
        <f t="shared" si="7"/>
        <v>RT-87840-70110-1005-1-DD-B REV. 0 @72517</v>
      </c>
      <c r="E105" s="3">
        <v>38935</v>
      </c>
      <c r="F105" s="3" t="s">
        <v>667</v>
      </c>
      <c r="G105" s="3" t="s">
        <v>538</v>
      </c>
    </row>
    <row r="106" spans="1:7" x14ac:dyDescent="0.25">
      <c r="A106" s="3" t="s">
        <v>749</v>
      </c>
      <c r="B106" s="3">
        <v>0</v>
      </c>
      <c r="C106" s="3">
        <v>72517</v>
      </c>
      <c r="D106" s="3" t="str">
        <f t="shared" si="7"/>
        <v>RT-87840-70110-1009-1-DD-B REV. 0 @72517</v>
      </c>
      <c r="E106" s="3">
        <v>38935</v>
      </c>
      <c r="F106" s="3" t="s">
        <v>667</v>
      </c>
      <c r="G106" s="3" t="s">
        <v>538</v>
      </c>
    </row>
    <row r="107" spans="1:7" x14ac:dyDescent="0.25">
      <c r="A107" s="3" t="s">
        <v>748</v>
      </c>
      <c r="B107" s="3">
        <v>0</v>
      </c>
      <c r="C107" s="3">
        <v>72517</v>
      </c>
      <c r="D107" s="3" t="str">
        <f t="shared" si="7"/>
        <v>RT-87840-70110-1017-1-DD-B REV. 0 @72517</v>
      </c>
      <c r="E107" s="3">
        <v>38935</v>
      </c>
      <c r="F107" s="3" t="s">
        <v>667</v>
      </c>
      <c r="G107" s="3" t="s">
        <v>538</v>
      </c>
    </row>
    <row r="108" spans="1:7" x14ac:dyDescent="0.25">
      <c r="A108" s="3" t="s">
        <v>746</v>
      </c>
      <c r="B108" s="3">
        <v>0</v>
      </c>
      <c r="C108" s="3">
        <v>72517</v>
      </c>
      <c r="D108" s="3" t="str">
        <f t="shared" si="7"/>
        <v>RT-87840-70110-1018-1-DD-B REV. 0 @72517</v>
      </c>
      <c r="E108" s="3">
        <v>38935</v>
      </c>
      <c r="F108" s="3" t="s">
        <v>667</v>
      </c>
      <c r="G108" s="3" t="s">
        <v>538</v>
      </c>
    </row>
    <row r="109" spans="1:7" x14ac:dyDescent="0.25">
      <c r="A109" s="3" t="s">
        <v>752</v>
      </c>
      <c r="B109" s="3">
        <v>0</v>
      </c>
      <c r="C109" s="3">
        <v>72580</v>
      </c>
      <c r="D109" s="3" t="str">
        <f t="shared" si="7"/>
        <v>RT-87000-70201-6101-1-DD-B REV. 0 @72580</v>
      </c>
      <c r="E109" s="3">
        <v>38966</v>
      </c>
      <c r="F109" s="3" t="s">
        <v>720</v>
      </c>
      <c r="G109" s="3" t="s">
        <v>538</v>
      </c>
    </row>
    <row r="110" spans="1:7" x14ac:dyDescent="0.25">
      <c r="A110" s="3" t="s">
        <v>751</v>
      </c>
      <c r="B110" s="3">
        <v>0</v>
      </c>
      <c r="C110" s="3">
        <v>72580</v>
      </c>
      <c r="D110" s="3" t="str">
        <f t="shared" si="7"/>
        <v>RT-87000-70201-6102-1-DD-B REV. 0 @72580</v>
      </c>
      <c r="E110" s="3">
        <v>38966</v>
      </c>
      <c r="F110" s="3" t="s">
        <v>720</v>
      </c>
      <c r="G110" s="3" t="s">
        <v>538</v>
      </c>
    </row>
    <row r="111" spans="1:7" x14ac:dyDescent="0.25">
      <c r="A111" s="3" t="s">
        <v>753</v>
      </c>
      <c r="B111" s="3">
        <v>0</v>
      </c>
      <c r="C111" s="3">
        <v>72581</v>
      </c>
      <c r="D111" s="3" t="str">
        <f t="shared" si="7"/>
        <v>RT-87000-70600-6000-1-GA-B REV. 0 @72581</v>
      </c>
      <c r="E111" s="3">
        <v>38966</v>
      </c>
      <c r="F111" s="3" t="s">
        <v>720</v>
      </c>
      <c r="G111" s="3" t="s">
        <v>538</v>
      </c>
    </row>
    <row r="112" spans="1:7" x14ac:dyDescent="0.25">
      <c r="A112" s="3" t="s">
        <v>750</v>
      </c>
      <c r="B112" s="3">
        <v>0</v>
      </c>
      <c r="C112" s="3">
        <v>72581</v>
      </c>
      <c r="D112" s="3" t="str">
        <f t="shared" si="7"/>
        <v>RT-87000-70600-6100-1-GA-B REV. 0 @72581</v>
      </c>
      <c r="E112" s="3">
        <v>38966</v>
      </c>
      <c r="F112" s="3" t="s">
        <v>720</v>
      </c>
      <c r="G112" s="3" t="s">
        <v>538</v>
      </c>
    </row>
    <row r="113" spans="1:7" x14ac:dyDescent="0.25">
      <c r="A113" s="3" t="s">
        <v>755</v>
      </c>
      <c r="B113" s="3">
        <v>0</v>
      </c>
      <c r="C113" s="3">
        <v>72581</v>
      </c>
      <c r="D113" s="3" t="str">
        <f t="shared" si="7"/>
        <v>RT-87000-70600-6101-1-DD-B REV. 0 @72581</v>
      </c>
      <c r="E113" s="3">
        <v>38966</v>
      </c>
      <c r="F113" s="3" t="s">
        <v>720</v>
      </c>
    </row>
    <row r="114" spans="1:7" x14ac:dyDescent="0.25">
      <c r="A114" s="3" t="s">
        <v>754</v>
      </c>
      <c r="B114" s="3">
        <v>0</v>
      </c>
      <c r="C114" s="3">
        <v>72581</v>
      </c>
      <c r="D114" s="3" t="str">
        <f t="shared" si="7"/>
        <v>RT-87000-70600-6101-2-DD-B REV. 0 @72581</v>
      </c>
      <c r="E114" s="3">
        <v>38966</v>
      </c>
      <c r="F114" s="3" t="s">
        <v>720</v>
      </c>
    </row>
    <row r="115" spans="1:7" x14ac:dyDescent="0.25">
      <c r="A115" s="3" t="s">
        <v>756</v>
      </c>
      <c r="B115" s="3">
        <v>0</v>
      </c>
      <c r="C115" s="3">
        <v>72581</v>
      </c>
      <c r="D115" s="3" t="str">
        <f t="shared" si="7"/>
        <v>RT-87000-70600-6102-1-DD-B REV. 0 @72581</v>
      </c>
      <c r="E115" s="3">
        <v>38966</v>
      </c>
      <c r="F115" s="3" t="s">
        <v>720</v>
      </c>
    </row>
    <row r="116" spans="1:7" x14ac:dyDescent="0.25">
      <c r="D116" s="3" t="str">
        <f t="shared" si="7"/>
        <v/>
      </c>
    </row>
    <row r="117" spans="1:7" x14ac:dyDescent="0.25">
      <c r="A117" s="3" t="s">
        <v>723</v>
      </c>
      <c r="B117" s="3">
        <v>0</v>
      </c>
      <c r="C117" s="3">
        <v>72459</v>
      </c>
      <c r="D117" s="3" t="str">
        <f t="shared" si="7"/>
        <v>RT-88030-0312-1-DD-D REV. 0 @72459</v>
      </c>
      <c r="E117" s="3">
        <v>38759</v>
      </c>
      <c r="F117" s="3" t="s">
        <v>757</v>
      </c>
    </row>
    <row r="118" spans="1:7" x14ac:dyDescent="0.25">
      <c r="A118" s="3" t="s">
        <v>546</v>
      </c>
      <c r="B118" s="3">
        <v>0</v>
      </c>
      <c r="C118" s="3">
        <v>71851</v>
      </c>
      <c r="D118" s="3" t="str">
        <f t="shared" si="7"/>
        <v>RT-87550-0115-01-DD-C REV. 0 @71851</v>
      </c>
      <c r="E118" s="3">
        <v>38672</v>
      </c>
      <c r="F118" s="3" t="s">
        <v>708</v>
      </c>
      <c r="G118" s="3" t="s">
        <v>538</v>
      </c>
    </row>
    <row r="119" spans="1:7" x14ac:dyDescent="0.25">
      <c r="A119" s="3" t="s">
        <v>546</v>
      </c>
      <c r="B119" s="3">
        <v>0</v>
      </c>
      <c r="C119" s="3">
        <v>71873</v>
      </c>
      <c r="D119" s="3" t="str">
        <f t="shared" si="7"/>
        <v>RT-87550-0115-01-DD-C REV. 0 @71873</v>
      </c>
      <c r="E119" s="3">
        <v>38672</v>
      </c>
      <c r="F119" s="3" t="s">
        <v>708</v>
      </c>
      <c r="G119" s="3" t="s">
        <v>538</v>
      </c>
    </row>
    <row r="120" spans="1:7" x14ac:dyDescent="0.25">
      <c r="A120" s="3" t="s">
        <v>546</v>
      </c>
      <c r="B120" s="3">
        <v>0</v>
      </c>
      <c r="C120" s="3">
        <v>72023</v>
      </c>
      <c r="D120" s="3" t="str">
        <f t="shared" si="7"/>
        <v>RT-87550-0115-01-DD-C REV. 0 @72023</v>
      </c>
      <c r="E120" s="3">
        <v>38740</v>
      </c>
      <c r="F120" s="3" t="s">
        <v>710</v>
      </c>
      <c r="G120" s="3" t="s">
        <v>538</v>
      </c>
    </row>
    <row r="121" spans="1:7" x14ac:dyDescent="0.25">
      <c r="A121" s="3" t="s">
        <v>546</v>
      </c>
      <c r="B121" s="3">
        <v>0</v>
      </c>
      <c r="C121" s="3">
        <v>72024</v>
      </c>
      <c r="D121" s="3" t="str">
        <f t="shared" si="7"/>
        <v>RT-87550-0115-01-DD-C REV. 0 @72024</v>
      </c>
      <c r="E121" s="3">
        <v>38740</v>
      </c>
      <c r="F121" s="3" t="s">
        <v>710</v>
      </c>
      <c r="G121" s="3" t="s">
        <v>538</v>
      </c>
    </row>
    <row r="122" spans="1:7" x14ac:dyDescent="0.25">
      <c r="A122" s="3" t="s">
        <v>758</v>
      </c>
      <c r="B122" s="3">
        <v>0</v>
      </c>
      <c r="C122" s="3">
        <v>72808</v>
      </c>
      <c r="D122" s="3" t="str">
        <f t="shared" si="7"/>
        <v>NDP0059-7-DET-2558 REV. 0 @72808</v>
      </c>
      <c r="E122" s="3">
        <v>39072</v>
      </c>
      <c r="F122" s="3">
        <v>280104654</v>
      </c>
      <c r="G122" s="3" t="s">
        <v>538</v>
      </c>
    </row>
    <row r="123" spans="1:7" x14ac:dyDescent="0.25">
      <c r="A123" s="3" t="s">
        <v>759</v>
      </c>
      <c r="B123" s="3">
        <v>0</v>
      </c>
      <c r="C123" s="3">
        <v>72809</v>
      </c>
      <c r="D123" s="3" t="str">
        <f t="shared" si="7"/>
        <v>NPD0059-7-DET-2536 REV. 0 @72809</v>
      </c>
      <c r="E123" s="3">
        <v>39072</v>
      </c>
      <c r="F123" s="3">
        <v>280104654</v>
      </c>
      <c r="G123" s="3" t="s">
        <v>538</v>
      </c>
    </row>
    <row r="124" spans="1:7" x14ac:dyDescent="0.25">
      <c r="A124" s="3" t="s">
        <v>760</v>
      </c>
      <c r="B124" s="3">
        <v>0</v>
      </c>
      <c r="C124" s="3">
        <v>72810</v>
      </c>
      <c r="D124" s="3" t="str">
        <f t="shared" si="7"/>
        <v>NPD0059-7-DET-2545 REV. 0 @72810</v>
      </c>
      <c r="E124" s="3">
        <v>39072</v>
      </c>
      <c r="F124" s="3">
        <v>280104654</v>
      </c>
      <c r="G124" s="3" t="s">
        <v>538</v>
      </c>
    </row>
    <row r="125" spans="1:7" x14ac:dyDescent="0.25">
      <c r="A125" s="3" t="s">
        <v>761</v>
      </c>
      <c r="B125" s="3">
        <v>0</v>
      </c>
      <c r="C125" s="3">
        <v>72580</v>
      </c>
      <c r="D125" s="3" t="str">
        <f t="shared" si="7"/>
        <v>RT-87000-70201-6100-1-GA REV. 0 @72580</v>
      </c>
      <c r="E125" s="3">
        <v>38966</v>
      </c>
      <c r="F125" s="3" t="s">
        <v>720</v>
      </c>
      <c r="G125" s="3" t="s">
        <v>538</v>
      </c>
    </row>
    <row r="126" spans="1:7" x14ac:dyDescent="0.25">
      <c r="A126" s="3" t="s">
        <v>762</v>
      </c>
      <c r="B126" s="3">
        <v>0</v>
      </c>
      <c r="C126" s="3">
        <v>72431</v>
      </c>
      <c r="D126" s="3" t="str">
        <f t="shared" si="7"/>
        <v>NK38-DRAW-31935-10536-0002 REV. 0 @72431</v>
      </c>
      <c r="E126" s="3">
        <v>38902</v>
      </c>
      <c r="F126" s="3" t="s">
        <v>764</v>
      </c>
      <c r="G126" s="3" t="s">
        <v>538</v>
      </c>
    </row>
    <row r="127" spans="1:7" x14ac:dyDescent="0.25">
      <c r="A127" s="3" t="s">
        <v>763</v>
      </c>
      <c r="B127" s="3">
        <v>0</v>
      </c>
      <c r="C127" s="3">
        <v>72431</v>
      </c>
      <c r="D127" s="3" t="str">
        <f t="shared" si="7"/>
        <v>NK38-DRAW-31935-10538-0002 REV. 0 @72431</v>
      </c>
      <c r="E127" s="3">
        <v>38902</v>
      </c>
      <c r="F127" s="3" t="s">
        <v>764</v>
      </c>
      <c r="G127" s="3" t="s">
        <v>538</v>
      </c>
    </row>
    <row r="128" spans="1:7" x14ac:dyDescent="0.25">
      <c r="D128" s="3" t="str">
        <f t="shared" si="7"/>
        <v/>
      </c>
    </row>
    <row r="129" spans="1:6" x14ac:dyDescent="0.25">
      <c r="A129" s="3" t="s">
        <v>765</v>
      </c>
      <c r="B129" s="3">
        <v>2</v>
      </c>
      <c r="C129" s="3">
        <v>72572</v>
      </c>
      <c r="D129" s="3" t="str">
        <f t="shared" si="7"/>
        <v>RT-87850-1017-01-DD-E REV. 2 @72572</v>
      </c>
      <c r="E129" s="3">
        <v>38963</v>
      </c>
      <c r="F129" s="3">
        <v>169536</v>
      </c>
    </row>
    <row r="130" spans="1:6" x14ac:dyDescent="0.25">
      <c r="A130" s="3" t="s">
        <v>766</v>
      </c>
      <c r="B130" s="3">
        <v>0</v>
      </c>
      <c r="C130" s="3">
        <v>72580</v>
      </c>
      <c r="D130" s="3" t="str">
        <f t="shared" si="7"/>
        <v>RT-87000-70201-6000-1-GA-B REV. 0 @72580</v>
      </c>
      <c r="E130" s="3">
        <v>38966</v>
      </c>
      <c r="F130" s="3" t="s">
        <v>720</v>
      </c>
    </row>
    <row r="131" spans="1:6" x14ac:dyDescent="0.25">
      <c r="A131" s="3" t="s">
        <v>767</v>
      </c>
      <c r="B131" s="3">
        <v>0</v>
      </c>
      <c r="C131" s="3">
        <v>72460</v>
      </c>
      <c r="D131" s="3" t="str">
        <f t="shared" si="7"/>
        <v>RT-88030-0021-01-GA-1 REV. 0 @72460</v>
      </c>
      <c r="E131" s="3">
        <v>38759</v>
      </c>
      <c r="F131" s="3" t="s">
        <v>639</v>
      </c>
    </row>
    <row r="132" spans="1:6" x14ac:dyDescent="0.25">
      <c r="A132" s="3" t="s">
        <v>768</v>
      </c>
      <c r="B132" s="3">
        <v>0</v>
      </c>
      <c r="C132" s="3">
        <v>72460</v>
      </c>
      <c r="D132" s="3" t="str">
        <f t="shared" si="7"/>
        <v>RT-88030-0016-01-DD-1 REV. 0 @72460</v>
      </c>
      <c r="E132" s="3">
        <v>38759</v>
      </c>
      <c r="F132" s="3" t="s">
        <v>639</v>
      </c>
    </row>
    <row r="133" spans="1:6" x14ac:dyDescent="0.25">
      <c r="A133" s="3" t="s">
        <v>795</v>
      </c>
      <c r="B133" s="3">
        <v>2</v>
      </c>
      <c r="C133" s="3">
        <v>72083</v>
      </c>
      <c r="D133" s="3" t="str">
        <f t="shared" si="7"/>
        <v>RT-88030-0300-01-GA-0 REV. 2 @72083</v>
      </c>
      <c r="E133" s="3">
        <v>38758</v>
      </c>
      <c r="F133" s="3" t="s">
        <v>638</v>
      </c>
    </row>
    <row r="134" spans="1:6" x14ac:dyDescent="0.25">
      <c r="A134" s="3" t="s">
        <v>795</v>
      </c>
      <c r="B134" s="3">
        <v>2</v>
      </c>
      <c r="C134" s="3">
        <v>72085</v>
      </c>
      <c r="D134" s="3" t="str">
        <f t="shared" si="7"/>
        <v>RT-88030-0300-01-GA-0 REV. 2 @72085</v>
      </c>
      <c r="E134" s="3">
        <v>38759</v>
      </c>
      <c r="F134" s="3" t="s">
        <v>639</v>
      </c>
    </row>
    <row r="135" spans="1:6" x14ac:dyDescent="0.25">
      <c r="A135" s="3" t="s">
        <v>796</v>
      </c>
      <c r="B135" s="3">
        <v>0</v>
      </c>
      <c r="C135" s="3">
        <v>72083</v>
      </c>
      <c r="D135" s="3" t="str">
        <f t="shared" si="7"/>
        <v>21RT-88030-0408-001-DD-2 REV. 0 @72083</v>
      </c>
      <c r="E135" s="3">
        <v>38758</v>
      </c>
      <c r="F135" s="3" t="s">
        <v>638</v>
      </c>
    </row>
    <row r="136" spans="1:6" x14ac:dyDescent="0.25">
      <c r="A136" s="3" t="s">
        <v>796</v>
      </c>
      <c r="B136" s="3">
        <v>0</v>
      </c>
      <c r="C136" s="3">
        <v>72085</v>
      </c>
      <c r="D136" s="3" t="str">
        <f t="shared" si="7"/>
        <v>21RT-88030-0408-001-DD-2 REV. 0 @72085</v>
      </c>
      <c r="E136" s="3">
        <v>38759</v>
      </c>
      <c r="F136" s="3" t="s">
        <v>639</v>
      </c>
    </row>
    <row r="137" spans="1:6" x14ac:dyDescent="0.25">
      <c r="A137" s="3" t="s">
        <v>797</v>
      </c>
      <c r="B137" s="3">
        <v>0</v>
      </c>
      <c r="C137" s="3">
        <v>72083</v>
      </c>
      <c r="D137" s="3" t="str">
        <f t="shared" si="7"/>
        <v>RT38-17300-008_000-0000-009-01-DD-C REV. 0 @72083</v>
      </c>
      <c r="E137" s="3">
        <v>38758</v>
      </c>
      <c r="F137" s="3" t="s">
        <v>638</v>
      </c>
    </row>
    <row r="138" spans="1:6" x14ac:dyDescent="0.25">
      <c r="A138" s="3" t="s">
        <v>797</v>
      </c>
      <c r="B138" s="3">
        <v>0</v>
      </c>
      <c r="C138" s="3">
        <v>72085</v>
      </c>
      <c r="D138" s="3" t="str">
        <f t="shared" si="7"/>
        <v>RT38-17300-008_000-0000-009-01-DD-C REV. 0 @72085</v>
      </c>
      <c r="E138" s="3">
        <v>38759</v>
      </c>
      <c r="F138" s="3" t="s">
        <v>639</v>
      </c>
    </row>
    <row r="139" spans="1:6" x14ac:dyDescent="0.25">
      <c r="A139" s="3" t="s">
        <v>798</v>
      </c>
      <c r="B139" s="3">
        <v>0</v>
      </c>
      <c r="C139" s="3">
        <v>72083</v>
      </c>
      <c r="D139" s="3" t="str">
        <f t="shared" si="7"/>
        <v>RT-88030-0306-01-DD-C REV. 0 @72083</v>
      </c>
      <c r="E139" s="3">
        <v>38758</v>
      </c>
      <c r="F139" s="3" t="s">
        <v>638</v>
      </c>
    </row>
    <row r="140" spans="1:6" x14ac:dyDescent="0.25">
      <c r="A140" s="3" t="s">
        <v>798</v>
      </c>
      <c r="B140" s="3">
        <v>0</v>
      </c>
      <c r="C140" s="3">
        <v>72085</v>
      </c>
      <c r="D140" s="3" t="str">
        <f t="shared" si="7"/>
        <v>RT-88030-0306-01-DD-C REV. 0 @72085</v>
      </c>
      <c r="E140" s="3">
        <v>38759</v>
      </c>
      <c r="F140" s="3" t="s">
        <v>639</v>
      </c>
    </row>
    <row r="141" spans="1:6" x14ac:dyDescent="0.25">
      <c r="A141" s="3" t="s">
        <v>799</v>
      </c>
      <c r="B141" s="3">
        <v>0</v>
      </c>
      <c r="C141" s="3">
        <v>72083</v>
      </c>
      <c r="D141" s="3" t="str">
        <f t="shared" si="7"/>
        <v>RT-88030-0314-01-DD-C REV. 0 @72083</v>
      </c>
      <c r="E141" s="3">
        <v>38758</v>
      </c>
      <c r="F141" s="3" t="s">
        <v>638</v>
      </c>
    </row>
    <row r="142" spans="1:6" x14ac:dyDescent="0.25">
      <c r="A142" s="3" t="s">
        <v>799</v>
      </c>
      <c r="B142" s="3">
        <v>0</v>
      </c>
      <c r="C142" s="3">
        <v>72085</v>
      </c>
      <c r="D142" s="3" t="str">
        <f t="shared" si="7"/>
        <v>RT-88030-0314-01-DD-C REV. 0 @72085</v>
      </c>
      <c r="E142" s="3">
        <v>38759</v>
      </c>
      <c r="F142" s="3" t="s">
        <v>639</v>
      </c>
    </row>
    <row r="143" spans="1:6" x14ac:dyDescent="0.25">
      <c r="D143" s="3" t="str">
        <f t="shared" si="7"/>
        <v/>
      </c>
    </row>
    <row r="146" spans="1:6" x14ac:dyDescent="0.25">
      <c r="A146" s="3" t="s">
        <v>800</v>
      </c>
      <c r="B146" s="3">
        <v>0</v>
      </c>
      <c r="C146" s="3">
        <v>72084</v>
      </c>
      <c r="D146" s="3" t="str">
        <f t="shared" si="7"/>
        <v>RT-88030-0060-01-DD-E REV. 0 @72084</v>
      </c>
      <c r="E146" s="3">
        <v>38758</v>
      </c>
      <c r="F146" s="3" t="s">
        <v>638</v>
      </c>
    </row>
    <row r="147" spans="1:6" x14ac:dyDescent="0.25">
      <c r="A147" s="3" t="s">
        <v>800</v>
      </c>
      <c r="B147" s="3">
        <v>0</v>
      </c>
      <c r="C147" s="3">
        <v>72086</v>
      </c>
      <c r="D147" s="3" t="str">
        <f t="shared" si="7"/>
        <v>RT-88030-0060-01-DD-E REV. 0 @72086</v>
      </c>
      <c r="E147" s="3">
        <v>38759</v>
      </c>
      <c r="F147" s="3" t="s">
        <v>639</v>
      </c>
    </row>
    <row r="150" spans="1:6" x14ac:dyDescent="0.25">
      <c r="A150" s="3" t="s">
        <v>801</v>
      </c>
      <c r="B150" s="3">
        <v>0</v>
      </c>
      <c r="C150" s="3">
        <v>72084</v>
      </c>
      <c r="D150" s="3" t="str">
        <f t="shared" si="7"/>
        <v>RT-88030-0064-02-GA-E REV. 0 @72084</v>
      </c>
      <c r="E150" s="3">
        <v>38758</v>
      </c>
      <c r="F150" s="3" t="s">
        <v>638</v>
      </c>
    </row>
    <row r="151" spans="1:6" x14ac:dyDescent="0.25">
      <c r="A151" s="3" t="s">
        <v>801</v>
      </c>
      <c r="B151" s="3">
        <v>0</v>
      </c>
      <c r="C151" s="3">
        <v>72086</v>
      </c>
      <c r="D151" s="3" t="str">
        <f t="shared" si="7"/>
        <v>RT-88030-0064-02-GA-E REV. 0 @72086</v>
      </c>
      <c r="E151" s="3">
        <v>38759</v>
      </c>
      <c r="F151" s="3" t="s">
        <v>639</v>
      </c>
    </row>
    <row r="152" spans="1:6" x14ac:dyDescent="0.25">
      <c r="A152" s="3" t="s">
        <v>802</v>
      </c>
      <c r="B152" s="3">
        <v>0</v>
      </c>
      <c r="C152" s="3">
        <v>72084</v>
      </c>
      <c r="D152" s="3" t="str">
        <f t="shared" si="7"/>
        <v>RT-88030-0066-01-DD-E REV. 0 @72084</v>
      </c>
      <c r="E152" s="3">
        <v>38758</v>
      </c>
      <c r="F152" s="3" t="s">
        <v>803</v>
      </c>
    </row>
    <row r="153" spans="1:6" x14ac:dyDescent="0.25">
      <c r="A153" s="3" t="s">
        <v>802</v>
      </c>
      <c r="B153" s="3">
        <v>0</v>
      </c>
      <c r="C153" s="3">
        <v>72086</v>
      </c>
      <c r="D153" s="3" t="str">
        <f t="shared" si="7"/>
        <v>RT-88030-0066-01-DD-E REV. 0 @72086</v>
      </c>
      <c r="E153" s="3">
        <v>38759</v>
      </c>
      <c r="F153" s="3" t="s">
        <v>803</v>
      </c>
    </row>
    <row r="154" spans="1:6" x14ac:dyDescent="0.25">
      <c r="A154" s="3" t="s">
        <v>630</v>
      </c>
      <c r="B154" s="3">
        <v>0</v>
      </c>
      <c r="C154" s="3">
        <v>72084</v>
      </c>
      <c r="D154" s="3" t="str">
        <f t="shared" si="7"/>
        <v>RT-88030-0068-01-DD-C REV. 0 @72084</v>
      </c>
      <c r="E154" s="3">
        <v>38758</v>
      </c>
      <c r="F154" s="3" t="s">
        <v>638</v>
      </c>
    </row>
    <row r="155" spans="1:6" x14ac:dyDescent="0.25">
      <c r="A155" s="3" t="s">
        <v>630</v>
      </c>
      <c r="B155" s="3">
        <v>0</v>
      </c>
      <c r="C155" s="3">
        <v>72086</v>
      </c>
      <c r="D155" s="3" t="str">
        <f t="shared" si="7"/>
        <v>RT-88030-0068-01-DD-C REV. 0 @72086</v>
      </c>
      <c r="E155" s="3">
        <v>38759</v>
      </c>
      <c r="F155" s="3" t="s">
        <v>639</v>
      </c>
    </row>
  </sheetData>
  <phoneticPr fontId="16" type="noConversion"/>
  <dataValidations count="2">
    <dataValidation type="list" allowBlank="1" showInputMessage="1" showErrorMessage="1" sqref="J52:J96 G46:H46 G144:H175 G28:H28 G34:H34 H54:H142 E162:E175 E50:F56 G64 G52 G56 G61 G70:G142" xr:uid="{989E0E9E-658C-4363-9886-878329002317}">
      <formula1>$L$52:$L$53</formula1>
    </dataValidation>
    <dataValidation type="list" allowBlank="1" showInputMessage="1" showErrorMessage="1" sqref="G2:H27 G29:H33 G35:H45 G47:H48 H50:H53 G50:G51 G53:G55 G57:G60 G62:G63 G65:G69" xr:uid="{70018211-3C9C-4A10-9BFB-825BFA09D406}">
      <formula1>$L$2:$L$3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7B941-310D-4FEA-B03F-D9A67418DC4C}">
  <sheetPr codeName="Sheet6"/>
  <dimension ref="A1:L118"/>
  <sheetViews>
    <sheetView tabSelected="1" zoomScaleNormal="100" workbookViewId="0">
      <pane ySplit="1" topLeftCell="A99" activePane="bottomLeft" state="frozen"/>
      <selection pane="bottomLeft" activeCell="D120" sqref="D120"/>
    </sheetView>
  </sheetViews>
  <sheetFormatPr defaultRowHeight="15" x14ac:dyDescent="0.25"/>
  <cols>
    <col min="1" max="1" width="35.7109375" style="3" bestFit="1" customWidth="1"/>
    <col min="2" max="2" width="4.5703125" style="60" bestFit="1" customWidth="1"/>
    <col min="3" max="3" width="8.7109375" style="3" bestFit="1" customWidth="1"/>
    <col min="4" max="4" width="49.28515625" style="3" bestFit="1" customWidth="1"/>
    <col min="5" max="5" width="6" style="3" bestFit="1" customWidth="1"/>
    <col min="6" max="6" width="22.85546875" style="3" bestFit="1" customWidth="1"/>
    <col min="7" max="7" width="19.28515625" style="3" bestFit="1" customWidth="1"/>
    <col min="8" max="8" width="7.28515625" style="3" customWidth="1"/>
    <col min="10" max="10" width="10.7109375" style="3" customWidth="1"/>
    <col min="11" max="11" width="9.140625" style="3"/>
    <col min="12" max="12" width="12" style="3" bestFit="1" customWidth="1"/>
    <col min="13" max="16384" width="9.140625" style="3"/>
  </cols>
  <sheetData>
    <row r="1" spans="1:12" s="87" customFormat="1" ht="29.25" customHeight="1" x14ac:dyDescent="0.25">
      <c r="A1" s="87" t="s">
        <v>531</v>
      </c>
      <c r="B1" s="88" t="s">
        <v>614</v>
      </c>
      <c r="C1" s="87" t="s">
        <v>615</v>
      </c>
      <c r="D1" s="87" t="s">
        <v>532</v>
      </c>
      <c r="E1" s="87" t="s">
        <v>636</v>
      </c>
      <c r="F1" s="87" t="s">
        <v>637</v>
      </c>
      <c r="G1" s="87" t="s">
        <v>65</v>
      </c>
      <c r="H1" s="87" t="s">
        <v>533</v>
      </c>
      <c r="J1" s="87" t="s">
        <v>534</v>
      </c>
      <c r="L1" s="87" t="s">
        <v>535</v>
      </c>
    </row>
    <row r="2" spans="1:12" ht="16.5" x14ac:dyDescent="0.3">
      <c r="A2" s="3" t="s">
        <v>804</v>
      </c>
      <c r="B2" s="60">
        <v>0</v>
      </c>
      <c r="C2" s="3">
        <v>72649</v>
      </c>
      <c r="D2" s="3" t="str">
        <f t="shared" ref="D2:D21" si="0">IF(AND(A2="", B2="", C2=""), "", A2 &amp; " REV. " &amp; B2 &amp; " @" &amp; C2)</f>
        <v>RT-87630-71697-1000-1-GA-D REV. 0 @72649</v>
      </c>
      <c r="E2" s="3">
        <v>39002</v>
      </c>
      <c r="F2" s="3" t="s">
        <v>805</v>
      </c>
      <c r="H2" s="3" t="s">
        <v>538</v>
      </c>
      <c r="L2" s="57" t="s">
        <v>538</v>
      </c>
    </row>
    <row r="3" spans="1:12" ht="16.5" x14ac:dyDescent="0.3">
      <c r="A3" s="3" t="s">
        <v>630</v>
      </c>
      <c r="B3" s="60">
        <v>0</v>
      </c>
      <c r="C3" s="3">
        <v>72084</v>
      </c>
      <c r="D3" s="3" t="str">
        <f t="shared" si="0"/>
        <v>RT-88030-0068-01-DD-C REV. 0 @72084</v>
      </c>
      <c r="E3" s="3">
        <v>38758</v>
      </c>
      <c r="F3" s="3" t="s">
        <v>638</v>
      </c>
      <c r="H3" s="3" t="s">
        <v>538</v>
      </c>
      <c r="L3" s="57" t="s">
        <v>539</v>
      </c>
    </row>
    <row r="4" spans="1:12" x14ac:dyDescent="0.25">
      <c r="A4" s="3" t="s">
        <v>630</v>
      </c>
      <c r="B4" s="60">
        <v>0</v>
      </c>
      <c r="C4" s="3">
        <v>72086</v>
      </c>
      <c r="D4" s="3" t="str">
        <f t="shared" si="0"/>
        <v>RT-88030-0068-01-DD-C REV. 0 @72086</v>
      </c>
      <c r="E4" s="3">
        <v>38759</v>
      </c>
      <c r="F4" s="3" t="s">
        <v>639</v>
      </c>
      <c r="H4" s="3" t="s">
        <v>538</v>
      </c>
    </row>
    <row r="5" spans="1:12" x14ac:dyDescent="0.25">
      <c r="A5" s="3" t="s">
        <v>768</v>
      </c>
      <c r="B5" s="60">
        <v>0</v>
      </c>
      <c r="C5" s="3">
        <v>72460</v>
      </c>
      <c r="D5" s="3" t="str">
        <f t="shared" si="0"/>
        <v>RT-88030-0016-01-DD-1 REV. 0 @72460</v>
      </c>
      <c r="E5" s="3">
        <v>38759</v>
      </c>
      <c r="F5" s="3" t="s">
        <v>639</v>
      </c>
      <c r="H5" s="3" t="s">
        <v>538</v>
      </c>
    </row>
    <row r="6" spans="1:12" x14ac:dyDescent="0.25">
      <c r="A6" s="3" t="s">
        <v>806</v>
      </c>
      <c r="B6" s="60">
        <v>0</v>
      </c>
      <c r="C6" s="3">
        <v>72084</v>
      </c>
      <c r="D6" s="3" t="str">
        <f t="shared" si="0"/>
        <v>RT-88030-0064-01-DD-C REV. 0 @72084</v>
      </c>
      <c r="E6" s="3">
        <v>38758</v>
      </c>
      <c r="F6" s="3" t="s">
        <v>638</v>
      </c>
      <c r="H6" s="3" t="s">
        <v>538</v>
      </c>
    </row>
    <row r="7" spans="1:12" x14ac:dyDescent="0.25">
      <c r="A7" s="3" t="s">
        <v>806</v>
      </c>
      <c r="B7" s="60">
        <v>0</v>
      </c>
      <c r="C7" s="3">
        <v>72086</v>
      </c>
      <c r="D7" s="3" t="str">
        <f t="shared" si="0"/>
        <v>RT-88030-0064-01-DD-C REV. 0 @72086</v>
      </c>
      <c r="E7" s="3">
        <v>38759</v>
      </c>
      <c r="F7" s="3" t="s">
        <v>639</v>
      </c>
      <c r="H7" s="3" t="s">
        <v>538</v>
      </c>
    </row>
    <row r="8" spans="1:12" x14ac:dyDescent="0.25">
      <c r="A8" s="3" t="s">
        <v>807</v>
      </c>
      <c r="B8" s="60">
        <v>0</v>
      </c>
      <c r="C8" s="3">
        <v>72084</v>
      </c>
      <c r="D8" s="3" t="str">
        <f t="shared" si="0"/>
        <v>RT-88030-0066-01-DD-C REV. 0 @72084</v>
      </c>
      <c r="E8" s="3">
        <v>38758</v>
      </c>
      <c r="F8" s="3" t="s">
        <v>638</v>
      </c>
      <c r="H8" s="3" t="s">
        <v>538</v>
      </c>
    </row>
    <row r="9" spans="1:12" x14ac:dyDescent="0.25">
      <c r="A9" s="3" t="s">
        <v>807</v>
      </c>
      <c r="B9" s="60">
        <v>0</v>
      </c>
      <c r="C9" s="3">
        <v>72086</v>
      </c>
      <c r="D9" s="3" t="str">
        <f t="shared" si="0"/>
        <v>RT-88030-0066-01-DD-C REV. 0 @72086</v>
      </c>
      <c r="E9" s="3">
        <v>38759</v>
      </c>
      <c r="F9" s="3" t="s">
        <v>639</v>
      </c>
      <c r="H9" s="3" t="s">
        <v>538</v>
      </c>
    </row>
    <row r="10" spans="1:12" x14ac:dyDescent="0.25">
      <c r="A10" s="3" t="s">
        <v>799</v>
      </c>
      <c r="B10" s="60">
        <v>0</v>
      </c>
      <c r="C10" s="3">
        <v>72083</v>
      </c>
      <c r="D10" s="3" t="str">
        <f t="shared" si="0"/>
        <v>RT-88030-0314-01-DD-C REV. 0 @72083</v>
      </c>
      <c r="E10" s="3">
        <v>38758</v>
      </c>
      <c r="F10" s="3" t="s">
        <v>638</v>
      </c>
      <c r="H10" s="3" t="s">
        <v>538</v>
      </c>
    </row>
    <row r="11" spans="1:12" x14ac:dyDescent="0.25">
      <c r="A11" s="3" t="s">
        <v>799</v>
      </c>
      <c r="B11" s="60">
        <v>0</v>
      </c>
      <c r="C11" s="3">
        <v>72085</v>
      </c>
      <c r="D11" s="3" t="str">
        <f t="shared" si="0"/>
        <v>RT-88030-0314-01-DD-C REV. 0 @72085</v>
      </c>
      <c r="E11" s="3">
        <v>38759</v>
      </c>
      <c r="F11" s="3" t="s">
        <v>639</v>
      </c>
      <c r="H11" s="3" t="s">
        <v>538</v>
      </c>
    </row>
    <row r="12" spans="1:12" x14ac:dyDescent="0.25">
      <c r="A12" s="3" t="s">
        <v>798</v>
      </c>
      <c r="B12" s="60">
        <v>0</v>
      </c>
      <c r="C12" s="3">
        <v>72083</v>
      </c>
      <c r="D12" s="3" t="str">
        <f t="shared" si="0"/>
        <v>RT-88030-0306-01-DD-C REV. 0 @72083</v>
      </c>
      <c r="E12" s="3">
        <v>38758</v>
      </c>
      <c r="F12" s="3" t="s">
        <v>638</v>
      </c>
      <c r="H12" s="3" t="s">
        <v>538</v>
      </c>
    </row>
    <row r="13" spans="1:12" x14ac:dyDescent="0.25">
      <c r="A13" s="3" t="s">
        <v>798</v>
      </c>
      <c r="B13" s="60">
        <v>0</v>
      </c>
      <c r="C13" s="3">
        <v>72085</v>
      </c>
      <c r="D13" s="3" t="str">
        <f t="shared" si="0"/>
        <v>RT-88030-0306-01-DD-C REV. 0 @72085</v>
      </c>
      <c r="E13" s="3">
        <v>38759</v>
      </c>
      <c r="F13" s="3" t="s">
        <v>639</v>
      </c>
      <c r="H13" s="3" t="s">
        <v>538</v>
      </c>
    </row>
    <row r="14" spans="1:12" x14ac:dyDescent="0.25">
      <c r="A14" s="3" t="s">
        <v>797</v>
      </c>
      <c r="B14" s="60">
        <v>0</v>
      </c>
      <c r="C14" s="3">
        <v>72083</v>
      </c>
      <c r="D14" s="3" t="str">
        <f t="shared" si="0"/>
        <v>RT38-17300-008_000-0000-009-01-DD-C REV. 0 @72083</v>
      </c>
      <c r="E14" s="3">
        <v>38758</v>
      </c>
      <c r="F14" s="3" t="s">
        <v>638</v>
      </c>
      <c r="H14" s="3" t="s">
        <v>538</v>
      </c>
    </row>
    <row r="15" spans="1:12" x14ac:dyDescent="0.25">
      <c r="A15" s="3" t="s">
        <v>797</v>
      </c>
      <c r="B15" s="60">
        <v>0</v>
      </c>
      <c r="C15" s="3">
        <v>72085</v>
      </c>
      <c r="D15" s="3" t="str">
        <f t="shared" si="0"/>
        <v>RT38-17300-008_000-0000-009-01-DD-C REV. 0 @72085</v>
      </c>
      <c r="E15" s="3">
        <v>38759</v>
      </c>
      <c r="F15" s="3" t="s">
        <v>639</v>
      </c>
      <c r="H15" s="3" t="s">
        <v>538</v>
      </c>
    </row>
    <row r="16" spans="1:12" x14ac:dyDescent="0.25">
      <c r="A16" s="3" t="s">
        <v>767</v>
      </c>
      <c r="B16" s="60">
        <v>0</v>
      </c>
      <c r="C16" s="3">
        <v>72460</v>
      </c>
      <c r="D16" s="3" t="str">
        <f t="shared" si="0"/>
        <v>RT-88030-0021-01-GA-1 REV. 0 @72460</v>
      </c>
      <c r="E16" s="3">
        <v>38759</v>
      </c>
      <c r="F16" s="3" t="s">
        <v>639</v>
      </c>
      <c r="H16" s="3" t="s">
        <v>538</v>
      </c>
    </row>
    <row r="17" spans="1:8" x14ac:dyDescent="0.25">
      <c r="A17" s="3" t="s">
        <v>800</v>
      </c>
      <c r="B17" s="60">
        <v>0</v>
      </c>
      <c r="C17" s="3">
        <v>72084</v>
      </c>
      <c r="D17" s="3" t="str">
        <f t="shared" si="0"/>
        <v>RT-88030-0060-01-DD-E REV. 0 @72084</v>
      </c>
      <c r="E17" s="3">
        <v>38758</v>
      </c>
      <c r="F17" s="3" t="s">
        <v>638</v>
      </c>
      <c r="H17" s="3" t="s">
        <v>538</v>
      </c>
    </row>
    <row r="18" spans="1:8" x14ac:dyDescent="0.25">
      <c r="A18" s="3" t="s">
        <v>800</v>
      </c>
      <c r="B18" s="60">
        <v>0</v>
      </c>
      <c r="C18" s="3">
        <v>72086</v>
      </c>
      <c r="D18" s="3" t="str">
        <f t="shared" si="0"/>
        <v>RT-88030-0060-01-DD-E REV. 0 @72086</v>
      </c>
      <c r="E18" s="3">
        <v>38759</v>
      </c>
      <c r="F18" s="3" t="s">
        <v>639</v>
      </c>
      <c r="H18" s="3" t="s">
        <v>538</v>
      </c>
    </row>
    <row r="19" spans="1:8" x14ac:dyDescent="0.25">
      <c r="A19" s="3" t="s">
        <v>723</v>
      </c>
      <c r="B19" s="60">
        <v>0</v>
      </c>
      <c r="C19" s="3">
        <v>72459</v>
      </c>
      <c r="D19" s="3" t="str">
        <f t="shared" si="0"/>
        <v>RT-88030-0312-1-DD-D REV. 0 @72459</v>
      </c>
      <c r="E19" s="3">
        <v>38759</v>
      </c>
      <c r="F19" s="3" t="s">
        <v>639</v>
      </c>
      <c r="H19" s="3" t="s">
        <v>538</v>
      </c>
    </row>
    <row r="20" spans="1:8" x14ac:dyDescent="0.25">
      <c r="A20" s="3" t="s">
        <v>810</v>
      </c>
      <c r="B20" s="60" t="s">
        <v>809</v>
      </c>
      <c r="C20" s="3">
        <v>72671</v>
      </c>
      <c r="D20" s="3" t="str">
        <f t="shared" si="0"/>
        <v>NPD0059-DET-9126 REV. 00 @72671</v>
      </c>
      <c r="E20" s="3">
        <v>39007</v>
      </c>
      <c r="F20" s="3">
        <v>280103799</v>
      </c>
      <c r="H20" s="3" t="s">
        <v>538</v>
      </c>
    </row>
    <row r="21" spans="1:8" x14ac:dyDescent="0.25">
      <c r="A21" s="3" t="s">
        <v>811</v>
      </c>
      <c r="B21" s="60" t="s">
        <v>809</v>
      </c>
      <c r="C21" s="3">
        <v>72673</v>
      </c>
      <c r="D21" s="3" t="str">
        <f t="shared" si="0"/>
        <v>NPD0059-DET-9128 REV. 00 @72673</v>
      </c>
      <c r="E21" s="3">
        <v>39007</v>
      </c>
      <c r="F21" s="3">
        <v>280103799</v>
      </c>
      <c r="H21" s="3" t="s">
        <v>538</v>
      </c>
    </row>
    <row r="22" spans="1:8" x14ac:dyDescent="0.25">
      <c r="A22" s="3" t="s">
        <v>808</v>
      </c>
      <c r="B22" s="60" t="s">
        <v>809</v>
      </c>
      <c r="C22" s="3">
        <v>72677</v>
      </c>
      <c r="D22" s="3" t="str">
        <f t="shared" ref="D22:D27" si="1">IF(AND(A22="", B22="", C22=""), "", A22 &amp; " REV. " &amp; B22 &amp; " @" &amp; C22)</f>
        <v>NPD0059-DET-5216 REV. 00 @72677</v>
      </c>
      <c r="E22" s="3">
        <v>39007</v>
      </c>
      <c r="F22" s="3">
        <v>280103799</v>
      </c>
      <c r="H22" s="3" t="s">
        <v>538</v>
      </c>
    </row>
    <row r="23" spans="1:8" x14ac:dyDescent="0.25">
      <c r="A23" s="3" t="s">
        <v>812</v>
      </c>
      <c r="B23" s="60" t="s">
        <v>813</v>
      </c>
      <c r="C23" s="3">
        <v>72876</v>
      </c>
      <c r="D23" s="3" t="str">
        <f t="shared" si="1"/>
        <v>21-33110-0171-01-DD-2 REV. 0 @72876</v>
      </c>
      <c r="E23" s="3">
        <v>39104</v>
      </c>
      <c r="F23" s="3" t="s">
        <v>814</v>
      </c>
      <c r="H23" s="3" t="s">
        <v>538</v>
      </c>
    </row>
    <row r="24" spans="1:8" x14ac:dyDescent="0.25">
      <c r="A24" s="3" t="s">
        <v>815</v>
      </c>
      <c r="B24" s="60" t="s">
        <v>809</v>
      </c>
      <c r="C24" s="3">
        <v>72787</v>
      </c>
      <c r="D24" s="3" t="str">
        <f t="shared" si="1"/>
        <v>K-640640-DET-3102 REV. 00 @72787</v>
      </c>
      <c r="E24" s="3">
        <v>39064</v>
      </c>
      <c r="F24" s="3">
        <v>280104662</v>
      </c>
      <c r="H24" s="3" t="s">
        <v>538</v>
      </c>
    </row>
    <row r="25" spans="1:8" x14ac:dyDescent="0.25">
      <c r="A25" s="3" t="s">
        <v>816</v>
      </c>
      <c r="B25" s="60" t="s">
        <v>809</v>
      </c>
      <c r="C25" s="3">
        <v>72790</v>
      </c>
      <c r="D25" s="3" t="str">
        <f t="shared" si="1"/>
        <v>K-640640-DET-4104 REV. 00 @72790</v>
      </c>
      <c r="E25" s="3">
        <v>39064</v>
      </c>
      <c r="F25" s="3">
        <v>280104662</v>
      </c>
      <c r="H25" s="3" t="s">
        <v>538</v>
      </c>
    </row>
    <row r="26" spans="1:8" x14ac:dyDescent="0.25">
      <c r="A26" s="3" t="s">
        <v>817</v>
      </c>
      <c r="B26" s="60" t="s">
        <v>809</v>
      </c>
      <c r="C26" s="3">
        <v>72793</v>
      </c>
      <c r="D26" s="3" t="str">
        <f t="shared" si="1"/>
        <v>K-640640-DET-5104 REV. 00 @72793</v>
      </c>
      <c r="E26" s="3">
        <v>39064</v>
      </c>
      <c r="F26" s="3">
        <v>280104662</v>
      </c>
      <c r="H26" s="3" t="s">
        <v>538</v>
      </c>
    </row>
    <row r="27" spans="1:8" x14ac:dyDescent="0.25">
      <c r="A27" s="3" t="s">
        <v>818</v>
      </c>
      <c r="B27" s="60" t="s">
        <v>809</v>
      </c>
      <c r="C27" s="3">
        <v>72794</v>
      </c>
      <c r="D27" s="3" t="str">
        <f t="shared" si="1"/>
        <v>K-640640-DET-5105 REV. 00 @72794</v>
      </c>
      <c r="E27" s="3">
        <v>39064</v>
      </c>
      <c r="F27" s="3">
        <v>280104662</v>
      </c>
      <c r="H27" s="3" t="s">
        <v>538</v>
      </c>
    </row>
    <row r="28" spans="1:8" x14ac:dyDescent="0.25">
      <c r="H28" s="3" t="s">
        <v>538</v>
      </c>
    </row>
    <row r="29" spans="1:8" x14ac:dyDescent="0.25">
      <c r="A29" s="3" t="s">
        <v>819</v>
      </c>
      <c r="B29" s="60" t="s">
        <v>809</v>
      </c>
      <c r="C29" s="3">
        <v>72658</v>
      </c>
      <c r="D29" s="3" t="str">
        <f t="shared" ref="D29:D92" si="2">IF(AND(A29="", B29="", C29=""), "", A29 &amp; " REV. " &amp; B29 &amp; " @" &amp; C29)</f>
        <v>NPD0059-DET-9120 REV. 00 @72658</v>
      </c>
      <c r="E29" s="3">
        <v>39006</v>
      </c>
      <c r="F29" s="3">
        <v>280103799</v>
      </c>
      <c r="H29" s="3" t="s">
        <v>538</v>
      </c>
    </row>
    <row r="30" spans="1:8" x14ac:dyDescent="0.25">
      <c r="A30" s="3" t="s">
        <v>820</v>
      </c>
      <c r="B30" s="60" t="s">
        <v>809</v>
      </c>
      <c r="C30" s="3">
        <v>72659</v>
      </c>
      <c r="D30" s="3" t="str">
        <f t="shared" si="2"/>
        <v>NPD0059-DET-9122 REV. 00 @72659</v>
      </c>
      <c r="E30" s="3">
        <v>39006</v>
      </c>
      <c r="F30" s="3">
        <v>280103799</v>
      </c>
      <c r="H30" s="3" t="s">
        <v>538</v>
      </c>
    </row>
    <row r="31" spans="1:8" x14ac:dyDescent="0.25">
      <c r="A31" s="3" t="s">
        <v>822</v>
      </c>
      <c r="B31" s="60" t="s">
        <v>809</v>
      </c>
      <c r="C31" s="3">
        <v>72660</v>
      </c>
      <c r="D31" s="3" t="str">
        <f t="shared" si="2"/>
        <v>NPD0059-DET-9124 REV. 00 @72660</v>
      </c>
      <c r="E31" s="3">
        <v>39006</v>
      </c>
      <c r="F31" s="3">
        <v>280103799</v>
      </c>
      <c r="H31" s="3" t="s">
        <v>538</v>
      </c>
    </row>
    <row r="32" spans="1:8" x14ac:dyDescent="0.25">
      <c r="A32" s="3" t="s">
        <v>821</v>
      </c>
      <c r="B32" s="60" t="s">
        <v>809</v>
      </c>
      <c r="C32" s="3">
        <v>72661</v>
      </c>
      <c r="D32" s="3" t="str">
        <f t="shared" si="2"/>
        <v>NPD0059-DET-9119 REV. 00 @72661</v>
      </c>
      <c r="E32" s="3">
        <v>39006</v>
      </c>
      <c r="F32" s="3">
        <v>280103799</v>
      </c>
      <c r="H32" s="3" t="s">
        <v>538</v>
      </c>
    </row>
    <row r="33" spans="1:8" x14ac:dyDescent="0.25">
      <c r="A33" s="3" t="s">
        <v>823</v>
      </c>
      <c r="B33" s="60" t="s">
        <v>809</v>
      </c>
      <c r="C33" s="3">
        <v>72662</v>
      </c>
      <c r="D33" s="3" t="str">
        <f t="shared" si="2"/>
        <v>NPD0059-DET-9121 REV. 00 @72662</v>
      </c>
      <c r="E33" s="3">
        <v>39006</v>
      </c>
      <c r="F33" s="3">
        <v>280103799</v>
      </c>
      <c r="H33" s="3" t="s">
        <v>538</v>
      </c>
    </row>
    <row r="34" spans="1:8" x14ac:dyDescent="0.25">
      <c r="A34" s="3" t="s">
        <v>824</v>
      </c>
      <c r="B34" s="60" t="s">
        <v>809</v>
      </c>
      <c r="C34" s="3">
        <v>72663</v>
      </c>
      <c r="D34" s="3" t="str">
        <f t="shared" si="2"/>
        <v>NPD0059-DET-9123 REV. 00 @72663</v>
      </c>
      <c r="E34" s="3">
        <v>39006</v>
      </c>
      <c r="F34" s="3">
        <v>280103799</v>
      </c>
      <c r="H34" s="3" t="s">
        <v>538</v>
      </c>
    </row>
    <row r="35" spans="1:8" x14ac:dyDescent="0.25">
      <c r="D35" s="3" t="str">
        <f t="shared" si="2"/>
        <v/>
      </c>
      <c r="H35" s="3" t="s">
        <v>538</v>
      </c>
    </row>
    <row r="36" spans="1:8" x14ac:dyDescent="0.25">
      <c r="A36" s="3" t="s">
        <v>825</v>
      </c>
      <c r="B36" s="60" t="s">
        <v>809</v>
      </c>
      <c r="C36" s="3">
        <v>72788</v>
      </c>
      <c r="D36" s="3" t="str">
        <f t="shared" si="2"/>
        <v>K-640640-DET-3103 REV. 00 @72788</v>
      </c>
      <c r="E36" s="3">
        <v>39064</v>
      </c>
      <c r="F36" s="3">
        <v>280104662</v>
      </c>
      <c r="H36" s="3" t="s">
        <v>538</v>
      </c>
    </row>
    <row r="37" spans="1:8" x14ac:dyDescent="0.25">
      <c r="A37" s="3" t="s">
        <v>826</v>
      </c>
      <c r="B37" s="60" t="s">
        <v>809</v>
      </c>
      <c r="C37" s="3">
        <v>72789</v>
      </c>
      <c r="D37" s="3" t="str">
        <f t="shared" si="2"/>
        <v>K-640640-DET-3107 REV. 00 @72789</v>
      </c>
      <c r="E37" s="3">
        <v>39064</v>
      </c>
      <c r="F37" s="3">
        <v>280104662</v>
      </c>
      <c r="H37" s="3" t="s">
        <v>538</v>
      </c>
    </row>
    <row r="38" spans="1:8" x14ac:dyDescent="0.25">
      <c r="A38" s="3" t="s">
        <v>827</v>
      </c>
      <c r="B38" s="60" t="s">
        <v>809</v>
      </c>
      <c r="C38" s="3">
        <v>72873</v>
      </c>
      <c r="D38" s="3" t="str">
        <f t="shared" si="2"/>
        <v>K-016411-02-DET-0000-005 REV. 00 @72873</v>
      </c>
      <c r="E38" s="3">
        <v>39103</v>
      </c>
      <c r="F38" s="3">
        <v>280105177</v>
      </c>
      <c r="H38" s="3" t="s">
        <v>538</v>
      </c>
    </row>
    <row r="39" spans="1:8" x14ac:dyDescent="0.25">
      <c r="A39" s="3" t="s">
        <v>828</v>
      </c>
      <c r="B39" s="60" t="s">
        <v>809</v>
      </c>
      <c r="C39" s="3">
        <v>72874</v>
      </c>
      <c r="D39" s="3" t="str">
        <f t="shared" si="2"/>
        <v>K-016411-02-DET-0000-007 REV. 00 @72874</v>
      </c>
      <c r="E39" s="3">
        <v>39103</v>
      </c>
      <c r="F39" s="3">
        <v>280105177</v>
      </c>
      <c r="H39" s="3" t="s">
        <v>538</v>
      </c>
    </row>
    <row r="40" spans="1:8" x14ac:dyDescent="0.25">
      <c r="D40" s="3" t="str">
        <f t="shared" si="2"/>
        <v/>
      </c>
      <c r="H40" s="3" t="s">
        <v>538</v>
      </c>
    </row>
    <row r="41" spans="1:8" x14ac:dyDescent="0.25">
      <c r="A41" s="3" t="s">
        <v>829</v>
      </c>
      <c r="B41" s="60" t="s">
        <v>830</v>
      </c>
      <c r="C41" s="3">
        <v>72602</v>
      </c>
      <c r="D41" s="3" t="str">
        <f t="shared" si="2"/>
        <v>RT-87530-70004-1-DD-C REV. 3 @72602</v>
      </c>
      <c r="E41" s="3">
        <v>38972</v>
      </c>
      <c r="F41" s="3" t="s">
        <v>712</v>
      </c>
      <c r="H41" s="3" t="s">
        <v>538</v>
      </c>
    </row>
    <row r="42" spans="1:8" x14ac:dyDescent="0.25">
      <c r="A42" s="3" t="s">
        <v>831</v>
      </c>
      <c r="B42" s="60" t="s">
        <v>813</v>
      </c>
      <c r="C42" s="3">
        <v>72603</v>
      </c>
      <c r="D42" s="3" t="str">
        <f t="shared" si="2"/>
        <v>98-31952-85-1-DD-B REV. 0 @72603</v>
      </c>
      <c r="E42" s="3">
        <v>38972</v>
      </c>
      <c r="F42" s="3" t="s">
        <v>712</v>
      </c>
      <c r="H42" s="3" t="s">
        <v>538</v>
      </c>
    </row>
    <row r="43" spans="1:8" x14ac:dyDescent="0.25">
      <c r="A43" s="3" t="s">
        <v>837</v>
      </c>
      <c r="B43" s="60" t="s">
        <v>813</v>
      </c>
      <c r="C43" s="3">
        <v>72604</v>
      </c>
      <c r="D43" s="3" t="str">
        <f t="shared" si="2"/>
        <v>98-31952-70-1-DD-C REV. 0 @72604</v>
      </c>
      <c r="E43" s="3">
        <v>38972</v>
      </c>
      <c r="F43" s="3" t="s">
        <v>712</v>
      </c>
      <c r="H43" s="3" t="s">
        <v>538</v>
      </c>
    </row>
    <row r="44" spans="1:8" x14ac:dyDescent="0.25">
      <c r="A44" s="3" t="s">
        <v>832</v>
      </c>
      <c r="B44" s="60" t="s">
        <v>833</v>
      </c>
      <c r="C44" s="3">
        <v>71669</v>
      </c>
      <c r="D44" s="3" t="str">
        <f t="shared" si="2"/>
        <v>RT38-15300-032_000-1000-004-01-DD-D REV. 1 @71669</v>
      </c>
      <c r="E44" s="3">
        <v>38619</v>
      </c>
      <c r="F44" s="3" t="s">
        <v>834</v>
      </c>
      <c r="H44" s="3" t="s">
        <v>538</v>
      </c>
    </row>
    <row r="45" spans="1:8" x14ac:dyDescent="0.25">
      <c r="A45" s="3" t="s">
        <v>832</v>
      </c>
      <c r="B45" s="60" t="s">
        <v>833</v>
      </c>
      <c r="C45" s="3">
        <v>71742</v>
      </c>
      <c r="D45" s="3" t="str">
        <f t="shared" si="2"/>
        <v>RT38-15300-032_000-1000-004-01-DD-D REV. 1 @71742</v>
      </c>
      <c r="E45" s="3">
        <v>38647</v>
      </c>
      <c r="F45" s="3" t="s">
        <v>835</v>
      </c>
      <c r="H45" s="3" t="s">
        <v>538</v>
      </c>
    </row>
    <row r="46" spans="1:8" x14ac:dyDescent="0.25">
      <c r="A46" s="3" t="s">
        <v>836</v>
      </c>
      <c r="B46" s="60" t="s">
        <v>813</v>
      </c>
      <c r="C46" s="3">
        <v>72373</v>
      </c>
      <c r="D46" s="3" t="str">
        <f t="shared" si="2"/>
        <v>RT-87590-71525-006-1-DD-B REV. 0 @72373</v>
      </c>
      <c r="E46" s="3">
        <v>38867</v>
      </c>
      <c r="F46" s="3" t="s">
        <v>739</v>
      </c>
      <c r="H46" s="3" t="s">
        <v>538</v>
      </c>
    </row>
    <row r="47" spans="1:8" x14ac:dyDescent="0.25">
      <c r="D47" s="3" t="str">
        <f t="shared" si="2"/>
        <v/>
      </c>
    </row>
    <row r="48" spans="1:8" x14ac:dyDescent="0.25">
      <c r="A48" s="3" t="s">
        <v>838</v>
      </c>
      <c r="B48" s="60" t="s">
        <v>813</v>
      </c>
      <c r="C48" s="3">
        <v>72278</v>
      </c>
      <c r="D48" s="3" t="str">
        <f t="shared" si="2"/>
        <v>RT-88030-0253-1-DD-D REV. 0 @72278</v>
      </c>
      <c r="E48" s="3">
        <v>38758</v>
      </c>
      <c r="F48" s="3" t="s">
        <v>839</v>
      </c>
      <c r="H48" s="3" t="s">
        <v>538</v>
      </c>
    </row>
    <row r="49" spans="1:12" x14ac:dyDescent="0.25">
      <c r="A49" s="3" t="s">
        <v>838</v>
      </c>
      <c r="B49" s="60" t="s">
        <v>813</v>
      </c>
      <c r="C49" s="3">
        <v>72279</v>
      </c>
      <c r="D49" s="3" t="str">
        <f t="shared" si="2"/>
        <v>RT-88030-0253-1-DD-D REV. 0 @72279</v>
      </c>
      <c r="E49" s="3">
        <v>38759</v>
      </c>
      <c r="F49" s="3" t="s">
        <v>803</v>
      </c>
      <c r="H49" s="3" t="s">
        <v>538</v>
      </c>
    </row>
    <row r="50" spans="1:12" x14ac:dyDescent="0.25">
      <c r="A50" s="3" t="s">
        <v>840</v>
      </c>
      <c r="B50" s="60" t="s">
        <v>813</v>
      </c>
      <c r="C50" s="3">
        <v>71851</v>
      </c>
      <c r="D50" s="3" t="str">
        <f t="shared" si="2"/>
        <v>RT-87550-0110-01-DD-C REV. 0 @71851</v>
      </c>
      <c r="E50" s="3">
        <v>38672</v>
      </c>
      <c r="F50" s="3" t="s">
        <v>708</v>
      </c>
      <c r="H50" s="3" t="s">
        <v>538</v>
      </c>
    </row>
    <row r="51" spans="1:12" s="56" customFormat="1" ht="15.75" x14ac:dyDescent="0.25">
      <c r="A51" s="3" t="s">
        <v>840</v>
      </c>
      <c r="B51" s="60" t="s">
        <v>813</v>
      </c>
      <c r="C51" s="3">
        <v>72023</v>
      </c>
      <c r="D51" s="3" t="str">
        <f t="shared" si="2"/>
        <v>RT-87550-0110-01-DD-C REV. 0 @72023</v>
      </c>
      <c r="E51" s="3">
        <v>38740</v>
      </c>
      <c r="F51" s="3" t="s">
        <v>710</v>
      </c>
      <c r="H51" s="3" t="s">
        <v>538</v>
      </c>
    </row>
    <row r="52" spans="1:12" ht="16.5" x14ac:dyDescent="0.3">
      <c r="D52" s="3" t="str">
        <f t="shared" si="2"/>
        <v/>
      </c>
      <c r="L52" s="57"/>
    </row>
    <row r="53" spans="1:12" ht="16.5" x14ac:dyDescent="0.3">
      <c r="A53" s="3" t="s">
        <v>841</v>
      </c>
      <c r="B53" s="60" t="s">
        <v>813</v>
      </c>
      <c r="C53" s="3">
        <v>72517</v>
      </c>
      <c r="D53" s="3" t="str">
        <f t="shared" si="2"/>
        <v>RT-87840-70114-1000-1-GA-B REV. 0 @72517</v>
      </c>
      <c r="E53" s="3">
        <v>38935</v>
      </c>
      <c r="F53" s="3" t="s">
        <v>667</v>
      </c>
      <c r="H53" s="3" t="s">
        <v>538</v>
      </c>
      <c r="L53" s="57"/>
    </row>
    <row r="54" spans="1:12" x14ac:dyDescent="0.25">
      <c r="A54" s="3" t="s">
        <v>842</v>
      </c>
      <c r="B54" s="60" t="s">
        <v>813</v>
      </c>
      <c r="C54" s="3">
        <v>72517</v>
      </c>
      <c r="D54" s="3" t="str">
        <f t="shared" si="2"/>
        <v>RT-87840-70120-1002-1-DD-B REV. 0 @72517</v>
      </c>
      <c r="E54" s="3">
        <v>38935</v>
      </c>
      <c r="F54" s="3" t="s">
        <v>667</v>
      </c>
      <c r="H54" s="3" t="s">
        <v>538</v>
      </c>
    </row>
    <row r="55" spans="1:12" x14ac:dyDescent="0.25">
      <c r="A55" s="3" t="s">
        <v>843</v>
      </c>
      <c r="B55" s="60" t="s">
        <v>813</v>
      </c>
      <c r="C55" s="3">
        <v>72517</v>
      </c>
      <c r="D55" s="3" t="str">
        <f t="shared" si="2"/>
        <v>RT-87840-70120-1003-1-DD-B REV. 0 @72517</v>
      </c>
      <c r="E55" s="3">
        <v>38935</v>
      </c>
      <c r="F55" s="3" t="s">
        <v>667</v>
      </c>
      <c r="H55" s="3" t="s">
        <v>538</v>
      </c>
    </row>
    <row r="56" spans="1:12" x14ac:dyDescent="0.25">
      <c r="A56" s="3" t="s">
        <v>844</v>
      </c>
      <c r="B56" s="60" t="s">
        <v>813</v>
      </c>
      <c r="C56" s="3">
        <v>72517</v>
      </c>
      <c r="D56" s="3" t="str">
        <f t="shared" si="2"/>
        <v>RT-87840-70110-1024-1-DD-B REV. 0 @72517</v>
      </c>
      <c r="E56" s="3">
        <v>38935</v>
      </c>
      <c r="F56" s="3" t="s">
        <v>667</v>
      </c>
      <c r="H56" s="3" t="s">
        <v>538</v>
      </c>
    </row>
    <row r="57" spans="1:12" x14ac:dyDescent="0.25">
      <c r="A57" s="3" t="s">
        <v>845</v>
      </c>
      <c r="B57" s="60" t="s">
        <v>813</v>
      </c>
      <c r="C57" s="3">
        <v>72517</v>
      </c>
      <c r="D57" s="3" t="str">
        <f t="shared" si="2"/>
        <v>RT-87840-70130-1006-1-DD-B REV. 0 @72517</v>
      </c>
      <c r="E57" s="3">
        <v>38935</v>
      </c>
      <c r="F57" s="3" t="s">
        <v>667</v>
      </c>
      <c r="H57" s="3" t="s">
        <v>538</v>
      </c>
    </row>
    <row r="58" spans="1:12" x14ac:dyDescent="0.25">
      <c r="D58" s="3" t="str">
        <f t="shared" si="2"/>
        <v/>
      </c>
    </row>
    <row r="59" spans="1:12" x14ac:dyDescent="0.25">
      <c r="A59" s="3" t="s">
        <v>846</v>
      </c>
      <c r="B59" s="60" t="s">
        <v>813</v>
      </c>
      <c r="C59" s="3">
        <v>72373</v>
      </c>
      <c r="D59" s="3" t="str">
        <f t="shared" si="2"/>
        <v>RT-87590-71505-006-1-DD-B REV. 0 @72373</v>
      </c>
      <c r="E59" s="3">
        <v>38867</v>
      </c>
      <c r="F59" s="3" t="s">
        <v>739</v>
      </c>
      <c r="H59" s="3" t="s">
        <v>538</v>
      </c>
    </row>
    <row r="60" spans="1:12" x14ac:dyDescent="0.25">
      <c r="A60" s="3" t="s">
        <v>847</v>
      </c>
      <c r="B60" s="60" t="s">
        <v>833</v>
      </c>
      <c r="C60" s="3">
        <v>72373</v>
      </c>
      <c r="D60" s="3" t="str">
        <f t="shared" si="2"/>
        <v>RT-87590-71100-071-1-DD-B REV. 1 @72373</v>
      </c>
      <c r="E60" s="3">
        <v>38867</v>
      </c>
      <c r="F60" s="3" t="s">
        <v>739</v>
      </c>
      <c r="H60" s="3" t="s">
        <v>538</v>
      </c>
    </row>
    <row r="61" spans="1:12" x14ac:dyDescent="0.25">
      <c r="A61" s="3" t="s">
        <v>848</v>
      </c>
      <c r="B61" s="60" t="s">
        <v>833</v>
      </c>
      <c r="C61" s="3">
        <v>72373</v>
      </c>
      <c r="D61" s="3" t="str">
        <f t="shared" si="2"/>
        <v>RT-87590-71000-040-1-DD-B REV. 1 @72373</v>
      </c>
      <c r="E61" s="3">
        <v>38867</v>
      </c>
      <c r="F61" s="3" t="s">
        <v>739</v>
      </c>
      <c r="H61" s="3" t="s">
        <v>538</v>
      </c>
    </row>
    <row r="62" spans="1:12" x14ac:dyDescent="0.25">
      <c r="A62" s="3" t="s">
        <v>849</v>
      </c>
      <c r="B62" s="60" t="s">
        <v>833</v>
      </c>
      <c r="C62" s="3">
        <v>72373</v>
      </c>
      <c r="D62" s="3" t="str">
        <f t="shared" si="2"/>
        <v>RT-87590-71000-041-1-DD-B REV. 1 @72373</v>
      </c>
      <c r="E62" s="3">
        <v>38867</v>
      </c>
      <c r="F62" s="3" t="s">
        <v>739</v>
      </c>
      <c r="H62" s="3" t="s">
        <v>538</v>
      </c>
    </row>
    <row r="63" spans="1:12" x14ac:dyDescent="0.25">
      <c r="A63" s="3" t="s">
        <v>850</v>
      </c>
      <c r="B63" s="60" t="s">
        <v>813</v>
      </c>
      <c r="C63" s="3">
        <v>72373</v>
      </c>
      <c r="D63" s="3" t="str">
        <f t="shared" si="2"/>
        <v>RT-87590-71525-021-1-DD-B REV. 0 @72373</v>
      </c>
      <c r="E63" s="3">
        <v>38867</v>
      </c>
      <c r="F63" s="3" t="s">
        <v>739</v>
      </c>
      <c r="H63" s="3" t="s">
        <v>538</v>
      </c>
    </row>
    <row r="64" spans="1:12" x14ac:dyDescent="0.25">
      <c r="A64" s="3" t="s">
        <v>851</v>
      </c>
      <c r="B64" s="60" t="s">
        <v>813</v>
      </c>
      <c r="C64" s="3">
        <v>72373</v>
      </c>
      <c r="D64" s="3" t="str">
        <f t="shared" si="2"/>
        <v>RT-87590-71300-034-1-DD-B REV. 0 @72373</v>
      </c>
      <c r="E64" s="3">
        <v>38867</v>
      </c>
      <c r="F64" s="3" t="s">
        <v>739</v>
      </c>
      <c r="H64" s="3" t="s">
        <v>538</v>
      </c>
    </row>
    <row r="65" spans="1:8" x14ac:dyDescent="0.25">
      <c r="D65" s="3" t="str">
        <f t="shared" si="2"/>
        <v/>
      </c>
    </row>
    <row r="66" spans="1:8" x14ac:dyDescent="0.25">
      <c r="A66" s="3" t="s">
        <v>852</v>
      </c>
      <c r="B66" s="60" t="s">
        <v>833</v>
      </c>
      <c r="C66" s="3">
        <v>72621</v>
      </c>
      <c r="D66" s="3" t="str">
        <f t="shared" si="2"/>
        <v>RT-87713-70003-1-DD-B REV. 1 @72621</v>
      </c>
      <c r="E66" s="3">
        <v>38987</v>
      </c>
      <c r="F66" s="3" t="s">
        <v>853</v>
      </c>
      <c r="H66" s="3" t="s">
        <v>538</v>
      </c>
    </row>
    <row r="67" spans="1:8" x14ac:dyDescent="0.25">
      <c r="A67" s="3" t="s">
        <v>854</v>
      </c>
      <c r="B67" s="60" t="s">
        <v>833</v>
      </c>
      <c r="C67" s="3">
        <v>72621</v>
      </c>
      <c r="D67" s="3" t="str">
        <f t="shared" ref="D67" si="3">IF(AND(A67="", B67="", C67=""), "", A67 &amp; " REV. " &amp; B67 &amp; " @" &amp; C67)</f>
        <v>RT-87713-70009-1-DD-B REV. 1 @72621</v>
      </c>
      <c r="E67" s="3">
        <v>38987</v>
      </c>
      <c r="F67" s="3" t="s">
        <v>853</v>
      </c>
      <c r="H67" s="3" t="s">
        <v>538</v>
      </c>
    </row>
    <row r="69" spans="1:8" x14ac:dyDescent="0.25">
      <c r="A69" s="3" t="s">
        <v>855</v>
      </c>
      <c r="B69" s="60" t="s">
        <v>809</v>
      </c>
      <c r="C69" s="3">
        <v>72792</v>
      </c>
      <c r="D69" s="3" t="str">
        <f t="shared" si="2"/>
        <v>K-640640-DET-5103 REV. 00 @72792</v>
      </c>
      <c r="E69" s="3">
        <v>39064</v>
      </c>
      <c r="F69" s="3">
        <v>280104662</v>
      </c>
      <c r="H69" s="3" t="s">
        <v>538</v>
      </c>
    </row>
    <row r="70" spans="1:8" x14ac:dyDescent="0.25">
      <c r="A70" s="3" t="s">
        <v>856</v>
      </c>
      <c r="B70" s="60" t="s">
        <v>813</v>
      </c>
      <c r="C70" s="3">
        <v>72517</v>
      </c>
      <c r="D70" s="3" t="str">
        <f t="shared" si="2"/>
        <v>RT-87840-70110-1014-1-DD-B REV. 0 @72517</v>
      </c>
      <c r="E70" s="3">
        <v>38935</v>
      </c>
      <c r="F70" s="3" t="s">
        <v>667</v>
      </c>
      <c r="H70" s="3" t="s">
        <v>538</v>
      </c>
    </row>
    <row r="71" spans="1:8" x14ac:dyDescent="0.25">
      <c r="A71" s="3" t="s">
        <v>857</v>
      </c>
      <c r="B71" s="60" t="s">
        <v>813</v>
      </c>
      <c r="C71" s="3">
        <v>72517</v>
      </c>
      <c r="D71" s="3" t="str">
        <f t="shared" si="2"/>
        <v>RT-87840-70110-1010-1-DD-B REV. 0 @72517</v>
      </c>
      <c r="E71" s="3">
        <v>38935</v>
      </c>
      <c r="F71" s="3" t="s">
        <v>667</v>
      </c>
      <c r="H71" s="3" t="s">
        <v>538</v>
      </c>
    </row>
    <row r="72" spans="1:8" x14ac:dyDescent="0.25">
      <c r="A72" s="3" t="s">
        <v>858</v>
      </c>
      <c r="B72" s="60" t="s">
        <v>809</v>
      </c>
      <c r="C72" s="3">
        <v>72791</v>
      </c>
      <c r="D72" s="3" t="str">
        <f t="shared" si="2"/>
        <v>K-640640-DET-4106 REV. 00 @72791</v>
      </c>
      <c r="E72" s="3">
        <v>39064</v>
      </c>
      <c r="F72" s="3">
        <v>280104662</v>
      </c>
      <c r="H72" s="3" t="s">
        <v>538</v>
      </c>
    </row>
    <row r="73" spans="1:8" x14ac:dyDescent="0.25">
      <c r="A73" s="3" t="s">
        <v>859</v>
      </c>
      <c r="B73" s="60" t="s">
        <v>833</v>
      </c>
      <c r="C73" s="3">
        <v>72602</v>
      </c>
      <c r="D73" s="3" t="str">
        <f t="shared" si="2"/>
        <v>RT-87530-70009-1-DD-C REV. 1 @72602</v>
      </c>
      <c r="E73" s="3">
        <v>38972</v>
      </c>
      <c r="F73" s="3" t="s">
        <v>712</v>
      </c>
      <c r="H73" s="3" t="s">
        <v>538</v>
      </c>
    </row>
    <row r="74" spans="1:8" x14ac:dyDescent="0.25">
      <c r="A74" s="3" t="s">
        <v>860</v>
      </c>
      <c r="B74" s="60" t="s">
        <v>813</v>
      </c>
      <c r="C74" s="3">
        <v>72603</v>
      </c>
      <c r="D74" s="3" t="str">
        <f t="shared" si="2"/>
        <v>98-31952-93-1-DD-C REV. 0 @72603</v>
      </c>
      <c r="E74" s="3">
        <v>38972</v>
      </c>
      <c r="F74" s="3" t="s">
        <v>712</v>
      </c>
      <c r="H74" s="3" t="s">
        <v>538</v>
      </c>
    </row>
    <row r="75" spans="1:8" x14ac:dyDescent="0.25">
      <c r="A75" s="3" t="s">
        <v>861</v>
      </c>
      <c r="B75" s="60" t="s">
        <v>813</v>
      </c>
      <c r="C75" s="3">
        <v>72652</v>
      </c>
      <c r="D75" s="3" t="str">
        <f t="shared" si="2"/>
        <v>RT-87920-74245-047-1-DD-B REV. 0 @72652</v>
      </c>
      <c r="E75" s="3">
        <v>39004</v>
      </c>
      <c r="F75" s="3" t="s">
        <v>862</v>
      </c>
      <c r="H75" s="3" t="s">
        <v>538</v>
      </c>
    </row>
    <row r="76" spans="1:8" x14ac:dyDescent="0.25">
      <c r="A76" s="3" t="s">
        <v>863</v>
      </c>
      <c r="B76" s="60" t="s">
        <v>813</v>
      </c>
      <c r="C76" s="3">
        <v>72652</v>
      </c>
      <c r="D76" s="3" t="str">
        <f t="shared" si="2"/>
        <v>RT-87920-74245-028-1-DD-B REV. 0 @72652</v>
      </c>
      <c r="E76" s="3">
        <v>39004</v>
      </c>
      <c r="F76" s="3" t="s">
        <v>862</v>
      </c>
      <c r="H76" s="3" t="s">
        <v>538</v>
      </c>
    </row>
    <row r="77" spans="1:8" x14ac:dyDescent="0.25">
      <c r="A77" s="3" t="s">
        <v>864</v>
      </c>
      <c r="B77" s="60" t="s">
        <v>833</v>
      </c>
      <c r="C77" s="3">
        <v>72653</v>
      </c>
      <c r="D77" s="3" t="str">
        <f t="shared" si="2"/>
        <v>RT-88000-70097-032-1-DD-B REV. 1 @72653</v>
      </c>
      <c r="E77" s="3">
        <v>39004</v>
      </c>
      <c r="F77" s="3" t="s">
        <v>862</v>
      </c>
      <c r="H77" s="3" t="s">
        <v>538</v>
      </c>
    </row>
    <row r="78" spans="1:8" x14ac:dyDescent="0.25">
      <c r="A78" s="3" t="s">
        <v>865</v>
      </c>
      <c r="B78" s="60" t="s">
        <v>833</v>
      </c>
      <c r="C78" s="3">
        <v>72653</v>
      </c>
      <c r="D78" s="3" t="str">
        <f t="shared" si="2"/>
        <v>RT-88000-70097-033-1-DD-B REV. 1 @72653</v>
      </c>
      <c r="E78" s="3">
        <v>39004</v>
      </c>
      <c r="F78" s="3" t="s">
        <v>862</v>
      </c>
      <c r="H78" s="3" t="s">
        <v>538</v>
      </c>
    </row>
    <row r="79" spans="1:8" x14ac:dyDescent="0.25">
      <c r="A79" s="3" t="s">
        <v>866</v>
      </c>
      <c r="B79" s="60" t="s">
        <v>813</v>
      </c>
      <c r="C79" s="3">
        <v>72652</v>
      </c>
      <c r="D79" s="3" t="str">
        <f t="shared" si="2"/>
        <v>RT-87920-74245-029-1-DD-B REV. 0 @72652</v>
      </c>
      <c r="E79" s="3">
        <v>39004</v>
      </c>
      <c r="F79" s="3" t="s">
        <v>862</v>
      </c>
      <c r="H79" s="3" t="s">
        <v>538</v>
      </c>
    </row>
    <row r="80" spans="1:8" x14ac:dyDescent="0.25">
      <c r="A80" s="3">
        <v>700623210</v>
      </c>
      <c r="B80" s="60" t="s">
        <v>867</v>
      </c>
      <c r="C80" s="3">
        <v>72769</v>
      </c>
      <c r="D80" s="3" t="str">
        <f t="shared" si="2"/>
        <v>700623210 REV. AC @72769</v>
      </c>
      <c r="E80" s="3">
        <v>39055</v>
      </c>
      <c r="F80" s="3" t="s">
        <v>868</v>
      </c>
    </row>
    <row r="81" spans="1:8" x14ac:dyDescent="0.25">
      <c r="D81" s="3" t="str">
        <f t="shared" si="2"/>
        <v/>
      </c>
    </row>
    <row r="82" spans="1:8" x14ac:dyDescent="0.25">
      <c r="A82" s="3" t="s">
        <v>869</v>
      </c>
      <c r="B82" s="60" t="s">
        <v>870</v>
      </c>
      <c r="C82" s="3">
        <v>72602</v>
      </c>
      <c r="D82" s="3" t="str">
        <f t="shared" si="2"/>
        <v>RT-87530-70015-1-DD-C REV. 2 @72602</v>
      </c>
      <c r="E82" s="3">
        <v>38972</v>
      </c>
      <c r="F82" s="3" t="s">
        <v>712</v>
      </c>
      <c r="H82" s="3" t="s">
        <v>538</v>
      </c>
    </row>
    <row r="83" spans="1:8" x14ac:dyDescent="0.25">
      <c r="A83" s="3" t="s">
        <v>871</v>
      </c>
      <c r="B83" s="60" t="s">
        <v>813</v>
      </c>
      <c r="C83" s="3">
        <v>72603</v>
      </c>
      <c r="D83" s="3" t="str">
        <f t="shared" si="2"/>
        <v>98-31952-84-1-DD-C REV. 0 @72603</v>
      </c>
      <c r="E83" s="3">
        <v>38972</v>
      </c>
      <c r="F83" s="3" t="s">
        <v>712</v>
      </c>
      <c r="H83" s="3" t="s">
        <v>538</v>
      </c>
    </row>
    <row r="84" spans="1:8" x14ac:dyDescent="0.25">
      <c r="A84" s="3" t="s">
        <v>872</v>
      </c>
      <c r="B84" s="60" t="s">
        <v>813</v>
      </c>
      <c r="C84" s="3">
        <v>75517</v>
      </c>
      <c r="D84" s="3" t="str">
        <f t="shared" si="2"/>
        <v>RT-87840-70120-1008-1-DD-B REV. 0 @75517</v>
      </c>
      <c r="E84" s="3">
        <v>38935</v>
      </c>
      <c r="F84" s="3" t="s">
        <v>667</v>
      </c>
      <c r="H84" s="3" t="s">
        <v>538</v>
      </c>
    </row>
    <row r="85" spans="1:8" x14ac:dyDescent="0.25">
      <c r="D85" s="3" t="str">
        <f t="shared" si="2"/>
        <v/>
      </c>
    </row>
    <row r="86" spans="1:8" x14ac:dyDescent="0.25">
      <c r="A86" s="3" t="s">
        <v>873</v>
      </c>
      <c r="B86" s="60" t="s">
        <v>874</v>
      </c>
      <c r="C86" s="3">
        <v>72872</v>
      </c>
      <c r="D86" s="3" t="str">
        <f t="shared" si="2"/>
        <v>K016411-02-DET-0000-004 REV. 01 @72872</v>
      </c>
      <c r="E86" s="3">
        <v>39103</v>
      </c>
      <c r="F86" s="3">
        <v>280105177</v>
      </c>
      <c r="H86" s="3" t="s">
        <v>538</v>
      </c>
    </row>
    <row r="87" spans="1:8" x14ac:dyDescent="0.25">
      <c r="A87" s="3">
        <v>700465157</v>
      </c>
      <c r="B87" s="60" t="s">
        <v>875</v>
      </c>
      <c r="C87" s="3">
        <v>72829</v>
      </c>
      <c r="D87" s="3" t="str">
        <f t="shared" si="2"/>
        <v>700465157 REV. AA @72829</v>
      </c>
      <c r="E87" s="3">
        <v>39077</v>
      </c>
      <c r="F87" s="3" t="s">
        <v>876</v>
      </c>
      <c r="H87" s="3" t="s">
        <v>538</v>
      </c>
    </row>
    <row r="88" spans="1:8" x14ac:dyDescent="0.25">
      <c r="A88" s="59" t="s">
        <v>877</v>
      </c>
      <c r="B88" s="60" t="s">
        <v>870</v>
      </c>
      <c r="C88" s="3">
        <v>72602</v>
      </c>
      <c r="D88" s="3" t="str">
        <f t="shared" si="2"/>
        <v>RT-87530-70008-1-GA-C REV. 2 @72602</v>
      </c>
      <c r="E88" s="3">
        <v>38972</v>
      </c>
      <c r="F88" s="3" t="s">
        <v>712</v>
      </c>
      <c r="H88" s="3" t="s">
        <v>538</v>
      </c>
    </row>
    <row r="89" spans="1:8" x14ac:dyDescent="0.25">
      <c r="A89" s="3" t="s">
        <v>878</v>
      </c>
      <c r="B89" s="60" t="s">
        <v>830</v>
      </c>
      <c r="C89" s="3">
        <v>72602</v>
      </c>
      <c r="D89" s="3" t="str">
        <f t="shared" si="2"/>
        <v>RT-87530-70005-1-DD-C REV. 3 @72602</v>
      </c>
      <c r="E89" s="3">
        <v>38972</v>
      </c>
      <c r="F89" s="3" t="s">
        <v>712</v>
      </c>
      <c r="H89" s="3" t="s">
        <v>538</v>
      </c>
    </row>
    <row r="90" spans="1:8" x14ac:dyDescent="0.25">
      <c r="A90" s="3" t="s">
        <v>879</v>
      </c>
      <c r="B90" s="60" t="s">
        <v>813</v>
      </c>
      <c r="C90" s="3">
        <v>72517</v>
      </c>
      <c r="D90" s="3" t="str">
        <f t="shared" si="2"/>
        <v>RT-87840-70110-1012-1-DD-B REV. 0 @72517</v>
      </c>
      <c r="E90" s="3">
        <v>38935</v>
      </c>
      <c r="F90" s="3" t="s">
        <v>667</v>
      </c>
      <c r="H90" s="3" t="s">
        <v>538</v>
      </c>
    </row>
    <row r="91" spans="1:8" ht="16.5" x14ac:dyDescent="0.3">
      <c r="A91" s="3" t="s">
        <v>880</v>
      </c>
      <c r="B91" s="60" t="s">
        <v>813</v>
      </c>
      <c r="C91" s="3">
        <v>72517</v>
      </c>
      <c r="D91" s="3" t="str">
        <f t="shared" si="2"/>
        <v>RT-87840-70110-1002-1-DD-B REV. 0 @72517</v>
      </c>
      <c r="E91" s="3">
        <v>38935</v>
      </c>
      <c r="F91" s="3" t="s">
        <v>667</v>
      </c>
      <c r="H91" s="57" t="s">
        <v>539</v>
      </c>
    </row>
    <row r="92" spans="1:8" x14ac:dyDescent="0.25">
      <c r="A92" s="3" t="s">
        <v>881</v>
      </c>
      <c r="B92" s="60" t="s">
        <v>833</v>
      </c>
      <c r="C92" s="3">
        <v>72622</v>
      </c>
      <c r="D92" s="3" t="str">
        <f t="shared" si="2"/>
        <v>RT-87900-0406-1-DD-C REV. 1 @72622</v>
      </c>
      <c r="E92" s="3">
        <v>38988</v>
      </c>
      <c r="F92" s="3" t="s">
        <v>882</v>
      </c>
      <c r="H92" s="3" t="s">
        <v>538</v>
      </c>
    </row>
    <row r="93" spans="1:8" x14ac:dyDescent="0.25">
      <c r="A93" s="3" t="s">
        <v>883</v>
      </c>
      <c r="B93" s="60" t="s">
        <v>813</v>
      </c>
      <c r="C93" s="3">
        <v>72622</v>
      </c>
      <c r="D93" s="3" t="str">
        <f t="shared" ref="D93" si="4">IF(AND(A93="", B93="", C93=""), "", A93 &amp; " REV. " &amp; B93 &amp; " @" &amp; C93)</f>
        <v>RT-87900-0420-1-DD-C REV. 0 @72622</v>
      </c>
      <c r="E93" s="3">
        <v>38988</v>
      </c>
      <c r="F93" s="3" t="s">
        <v>882</v>
      </c>
      <c r="H93" s="3" t="s">
        <v>538</v>
      </c>
    </row>
    <row r="94" spans="1:8" x14ac:dyDescent="0.25">
      <c r="A94" s="3" t="s">
        <v>883</v>
      </c>
      <c r="B94" s="60" t="s">
        <v>813</v>
      </c>
      <c r="C94" s="3">
        <v>72623</v>
      </c>
      <c r="D94" s="3" t="str">
        <f t="shared" ref="D94" si="5">IF(AND(A94="", B94="", C94=""), "", A94 &amp; " REV. " &amp; B94 &amp; " @" &amp; C94)</f>
        <v>RT-87900-0420-1-DD-C REV. 0 @72623</v>
      </c>
      <c r="E94" s="3">
        <v>38988</v>
      </c>
      <c r="F94" s="3" t="s">
        <v>882</v>
      </c>
      <c r="H94" s="3" t="s">
        <v>538</v>
      </c>
    </row>
    <row r="95" spans="1:8" x14ac:dyDescent="0.25">
      <c r="A95" s="3" t="s">
        <v>884</v>
      </c>
      <c r="B95" s="60" t="s">
        <v>833</v>
      </c>
      <c r="C95" s="3">
        <v>72622</v>
      </c>
      <c r="D95" s="3" t="str">
        <f t="shared" ref="D95" si="6">IF(AND(A95="", B95="", C95=""), "", A95 &amp; " REV. " &amp; B95 &amp; " @" &amp; C95)</f>
        <v>RT-87900-0425-1-DD-C REV. 1 @72622</v>
      </c>
      <c r="E95" s="3">
        <v>38988</v>
      </c>
      <c r="F95" s="3" t="s">
        <v>882</v>
      </c>
      <c r="H95" s="3" t="s">
        <v>538</v>
      </c>
    </row>
    <row r="96" spans="1:8" x14ac:dyDescent="0.25">
      <c r="A96" s="3" t="s">
        <v>884</v>
      </c>
      <c r="B96" s="60" t="s">
        <v>833</v>
      </c>
      <c r="C96" s="3">
        <v>72623</v>
      </c>
      <c r="D96" s="3" t="str">
        <f t="shared" ref="D96:D116" si="7">IF(AND(A96="", B96="", C96=""), "", A96 &amp; " REV. " &amp; B96 &amp; " @" &amp; C96)</f>
        <v>RT-87900-0425-1-DD-C REV. 1 @72623</v>
      </c>
      <c r="E96" s="3">
        <v>38988</v>
      </c>
      <c r="F96" s="3" t="s">
        <v>882</v>
      </c>
      <c r="H96" s="3" t="s">
        <v>538</v>
      </c>
    </row>
    <row r="97" spans="1:8" x14ac:dyDescent="0.25">
      <c r="D97" s="3" t="str">
        <f t="shared" si="7"/>
        <v/>
      </c>
    </row>
    <row r="98" spans="1:8" x14ac:dyDescent="0.25">
      <c r="A98" s="3" t="s">
        <v>885</v>
      </c>
      <c r="B98" s="60" t="s">
        <v>809</v>
      </c>
      <c r="C98" s="3">
        <v>72666</v>
      </c>
      <c r="D98" s="3" t="str">
        <f t="shared" si="7"/>
        <v>NPD0059-DET-9114 REV. 00 @72666</v>
      </c>
      <c r="E98" s="3">
        <v>39006</v>
      </c>
      <c r="F98" s="3">
        <v>280103799</v>
      </c>
      <c r="H98" s="3" t="s">
        <v>538</v>
      </c>
    </row>
    <row r="99" spans="1:8" x14ac:dyDescent="0.25">
      <c r="A99" s="3">
        <v>700623210</v>
      </c>
      <c r="B99" s="60" t="s">
        <v>867</v>
      </c>
      <c r="C99" s="3">
        <v>72827</v>
      </c>
      <c r="D99" s="3" t="str">
        <f t="shared" si="7"/>
        <v>700623210 REV. AC @72827</v>
      </c>
      <c r="E99" s="3">
        <v>39076</v>
      </c>
      <c r="F99" s="3" t="s">
        <v>899</v>
      </c>
      <c r="H99" s="3" t="s">
        <v>538</v>
      </c>
    </row>
    <row r="100" spans="1:8" x14ac:dyDescent="0.25">
      <c r="A100" s="3" t="s">
        <v>900</v>
      </c>
      <c r="B100" s="60" t="s">
        <v>813</v>
      </c>
      <c r="C100" s="3">
        <v>72622</v>
      </c>
      <c r="D100" s="3" t="str">
        <f t="shared" si="7"/>
        <v>RT-87900-0453-1-DD-B REV. 0 @72622</v>
      </c>
      <c r="E100" s="3">
        <v>38988</v>
      </c>
      <c r="F100" s="3" t="s">
        <v>882</v>
      </c>
      <c r="H100" s="3" t="s">
        <v>538</v>
      </c>
    </row>
    <row r="101" spans="1:8" x14ac:dyDescent="0.25">
      <c r="A101" s="3" t="s">
        <v>900</v>
      </c>
      <c r="B101" s="60" t="s">
        <v>813</v>
      </c>
      <c r="C101" s="3">
        <v>72623</v>
      </c>
      <c r="D101" s="3" t="str">
        <f t="shared" ref="D101" si="8">IF(AND(A101="", B101="", C101=""), "", A101 &amp; " REV. " &amp; B101 &amp; " @" &amp; C101)</f>
        <v>RT-87900-0453-1-DD-B REV. 0 @72623</v>
      </c>
      <c r="E101" s="3">
        <v>38988</v>
      </c>
      <c r="F101" s="3" t="s">
        <v>882</v>
      </c>
      <c r="H101" s="3" t="s">
        <v>538</v>
      </c>
    </row>
    <row r="102" spans="1:8" x14ac:dyDescent="0.25">
      <c r="A102" s="3" t="s">
        <v>901</v>
      </c>
      <c r="B102" s="60" t="s">
        <v>870</v>
      </c>
      <c r="C102" s="3">
        <v>72645</v>
      </c>
      <c r="D102" s="3" t="str">
        <f t="shared" si="7"/>
        <v>RT-87630-71521-1026-1-DD-B REV. 2 @72645</v>
      </c>
      <c r="E102" s="3">
        <v>39000</v>
      </c>
      <c r="F102" s="3" t="s">
        <v>902</v>
      </c>
      <c r="H102" s="3" t="s">
        <v>538</v>
      </c>
    </row>
    <row r="103" spans="1:8" x14ac:dyDescent="0.25">
      <c r="A103" s="3" t="s">
        <v>903</v>
      </c>
      <c r="B103" s="60" t="s">
        <v>813</v>
      </c>
      <c r="C103" s="3">
        <v>72330</v>
      </c>
      <c r="D103" s="3" t="str">
        <f t="shared" si="7"/>
        <v>RT-87550-0146-01-GA-C REV. 0 @72330</v>
      </c>
      <c r="E103" s="3">
        <v>38758</v>
      </c>
      <c r="F103" s="3" t="s">
        <v>708</v>
      </c>
      <c r="H103" s="3" t="s">
        <v>538</v>
      </c>
    </row>
    <row r="104" spans="1:8" x14ac:dyDescent="0.25">
      <c r="A104" s="3" t="s">
        <v>903</v>
      </c>
      <c r="B104" s="60" t="s">
        <v>813</v>
      </c>
      <c r="C104" s="3">
        <v>72331</v>
      </c>
      <c r="D104" s="3" t="str">
        <f t="shared" si="7"/>
        <v>RT-87550-0146-01-GA-C REV. 0 @72331</v>
      </c>
      <c r="E104" s="3">
        <v>38759</v>
      </c>
      <c r="F104" s="3" t="s">
        <v>904</v>
      </c>
      <c r="H104" s="3" t="s">
        <v>538</v>
      </c>
    </row>
    <row r="105" spans="1:8" x14ac:dyDescent="0.25">
      <c r="A105" s="3" t="s">
        <v>903</v>
      </c>
      <c r="B105" s="60" t="s">
        <v>813</v>
      </c>
      <c r="C105" s="3">
        <v>71851</v>
      </c>
      <c r="D105" s="3" t="str">
        <f t="shared" si="7"/>
        <v>RT-87550-0146-01-GA-C REV. 0 @71851</v>
      </c>
      <c r="E105" s="3">
        <v>38672</v>
      </c>
      <c r="F105" s="3" t="s">
        <v>708</v>
      </c>
      <c r="H105" s="3" t="s">
        <v>538</v>
      </c>
    </row>
    <row r="106" spans="1:8" x14ac:dyDescent="0.25">
      <c r="A106" s="3" t="s">
        <v>903</v>
      </c>
      <c r="B106" s="60" t="s">
        <v>813</v>
      </c>
      <c r="C106" s="3">
        <v>72023</v>
      </c>
      <c r="D106" s="3" t="str">
        <f t="shared" si="7"/>
        <v>RT-87550-0146-01-GA-C REV. 0 @72023</v>
      </c>
      <c r="E106" s="3">
        <v>38740</v>
      </c>
      <c r="F106" s="3" t="s">
        <v>710</v>
      </c>
      <c r="H106" s="3" t="s">
        <v>538</v>
      </c>
    </row>
    <row r="107" spans="1:8" ht="16.5" x14ac:dyDescent="0.3">
      <c r="A107" s="3" t="s">
        <v>905</v>
      </c>
      <c r="B107" s="60" t="s">
        <v>813</v>
      </c>
      <c r="C107" s="3">
        <v>71851</v>
      </c>
      <c r="D107" s="3" t="str">
        <f t="shared" si="7"/>
        <v>RT-87550-0147-01-GA-D REV. 0 @71851</v>
      </c>
      <c r="E107" s="3">
        <v>38672</v>
      </c>
      <c r="F107" s="3" t="s">
        <v>708</v>
      </c>
      <c r="H107" s="57" t="s">
        <v>539</v>
      </c>
    </row>
    <row r="108" spans="1:8" ht="16.5" x14ac:dyDescent="0.3">
      <c r="A108" s="3" t="s">
        <v>905</v>
      </c>
      <c r="B108" s="60" t="s">
        <v>813</v>
      </c>
      <c r="C108" s="3">
        <v>72023</v>
      </c>
      <c r="D108" s="3" t="str">
        <f t="shared" si="7"/>
        <v>RT-87550-0147-01-GA-D REV. 0 @72023</v>
      </c>
      <c r="E108" s="3">
        <v>38740</v>
      </c>
      <c r="F108" s="3" t="s">
        <v>710</v>
      </c>
      <c r="H108" s="57" t="s">
        <v>539</v>
      </c>
    </row>
    <row r="109" spans="1:8" x14ac:dyDescent="0.25">
      <c r="A109" s="3" t="s">
        <v>906</v>
      </c>
      <c r="B109" s="60" t="s">
        <v>833</v>
      </c>
      <c r="C109" s="3">
        <v>72622</v>
      </c>
      <c r="D109" s="3" t="str">
        <f t="shared" si="7"/>
        <v>RT-87900-0433-1-DD-C REV. 1 @72622</v>
      </c>
      <c r="E109" s="3">
        <v>38988</v>
      </c>
      <c r="F109" s="3" t="s">
        <v>882</v>
      </c>
      <c r="H109" s="3" t="s">
        <v>538</v>
      </c>
    </row>
    <row r="110" spans="1:8" x14ac:dyDescent="0.25">
      <c r="A110" s="3" t="s">
        <v>906</v>
      </c>
      <c r="B110" s="60" t="s">
        <v>833</v>
      </c>
      <c r="C110" s="3">
        <v>72623</v>
      </c>
      <c r="D110" s="3" t="str">
        <f t="shared" si="7"/>
        <v>RT-87900-0433-1-DD-C REV. 1 @72623</v>
      </c>
      <c r="E110" s="3">
        <v>38988</v>
      </c>
      <c r="F110" s="3" t="s">
        <v>882</v>
      </c>
      <c r="H110" s="3" t="s">
        <v>538</v>
      </c>
    </row>
    <row r="111" spans="1:8" x14ac:dyDescent="0.25">
      <c r="D111" s="3" t="str">
        <f t="shared" si="7"/>
        <v/>
      </c>
    </row>
    <row r="112" spans="1:8" x14ac:dyDescent="0.25">
      <c r="A112" s="3" t="s">
        <v>907</v>
      </c>
      <c r="B112" s="60" t="s">
        <v>813</v>
      </c>
      <c r="C112" s="3">
        <v>72422</v>
      </c>
      <c r="D112" s="3" t="str">
        <f t="shared" si="7"/>
        <v>59RT-79112-0034-01-DD-B REV. 0 @72422</v>
      </c>
      <c r="E112" s="3">
        <v>38898</v>
      </c>
      <c r="F112" s="3" t="s">
        <v>908</v>
      </c>
    </row>
    <row r="113" spans="1:7" x14ac:dyDescent="0.25">
      <c r="A113" s="3" t="s">
        <v>909</v>
      </c>
      <c r="B113" s="60" t="s">
        <v>870</v>
      </c>
      <c r="C113" s="3">
        <v>72645</v>
      </c>
      <c r="D113" s="3" t="str">
        <f t="shared" si="7"/>
        <v>RT-87630-71521-1036-1-DD-B REV. 2 @72645</v>
      </c>
      <c r="E113" s="3">
        <v>39000</v>
      </c>
      <c r="F113" s="3" t="s">
        <v>902</v>
      </c>
    </row>
    <row r="114" spans="1:7" x14ac:dyDescent="0.25">
      <c r="A114" s="3" t="s">
        <v>910</v>
      </c>
      <c r="B114" s="60" t="s">
        <v>833</v>
      </c>
      <c r="C114" s="3">
        <v>72646</v>
      </c>
      <c r="D114" s="3" t="str">
        <f t="shared" si="7"/>
        <v>RT-87630-71622-1012-1-DD-B REV. 1 @72646</v>
      </c>
      <c r="E114" s="3">
        <v>39000</v>
      </c>
      <c r="F114" s="3" t="s">
        <v>902</v>
      </c>
    </row>
    <row r="115" spans="1:7" x14ac:dyDescent="0.25">
      <c r="A115" s="3" t="s">
        <v>915</v>
      </c>
      <c r="B115" s="60" t="s">
        <v>870</v>
      </c>
      <c r="C115" s="3">
        <v>72645</v>
      </c>
      <c r="D115" s="3" t="str">
        <f t="shared" si="7"/>
        <v>RT-87630-71521-1038-1-DD-B REV. 2 @72645</v>
      </c>
      <c r="E115" s="3">
        <v>39000</v>
      </c>
      <c r="F115" s="3" t="s">
        <v>902</v>
      </c>
    </row>
    <row r="116" spans="1:7" x14ac:dyDescent="0.25">
      <c r="D116" s="3" t="str">
        <f t="shared" si="7"/>
        <v/>
      </c>
    </row>
    <row r="117" spans="1:7" x14ac:dyDescent="0.25">
      <c r="A117" s="3" t="s">
        <v>924</v>
      </c>
      <c r="C117" s="3">
        <v>72645</v>
      </c>
      <c r="D117" s="3" t="str">
        <f>IF(AND(A117="", B117="", C117=""), "", A117 &amp; " REV. " &amp; B117 &amp; " @" &amp; C117)</f>
        <v>RT-87630-71521-1000-1-GA-E REV.  @72645</v>
      </c>
      <c r="E117" s="3">
        <v>39000</v>
      </c>
      <c r="F117" s="3" t="s">
        <v>902</v>
      </c>
      <c r="G117" s="3" t="s">
        <v>925</v>
      </c>
    </row>
    <row r="118" spans="1:7" x14ac:dyDescent="0.25">
      <c r="A118" s="3" t="s">
        <v>923</v>
      </c>
      <c r="C118" s="3">
        <v>72645</v>
      </c>
      <c r="D118" s="3" t="str">
        <f>IF(AND(A118="", B118="", C118=""), "", A118 &amp; " REV. " &amp; B118 &amp; " @" &amp; C118)</f>
        <v>RT-87630-71521-1001-2-DD-D REV.  @72645</v>
      </c>
      <c r="E118" s="3">
        <v>39000</v>
      </c>
      <c r="F118" s="3" t="s">
        <v>902</v>
      </c>
      <c r="G118" s="3" t="s">
        <v>926</v>
      </c>
    </row>
  </sheetData>
  <phoneticPr fontId="16" type="noConversion"/>
  <dataValidations count="2">
    <dataValidation type="list" allowBlank="1" showInputMessage="1" showErrorMessage="1" sqref="H2:H51 H53:H79 H82:H84" xr:uid="{148A8014-5C6F-4E0E-8AF4-07237504AEE8}">
      <formula1>$L$2:$L$3</formula1>
    </dataValidation>
    <dataValidation type="list" allowBlank="1" showInputMessage="1" showErrorMessage="1" sqref="J52:J96 E162:E175 H52 H80:H81 H85:H86 H88:H90 H92:H106 H109:H142 H144:H175" xr:uid="{34B65340-DD5F-4964-A3BD-2B8464CA0F34}">
      <formula1>$L$52:$L$53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heckSelectedCell">
                <anchor moveWithCells="1" sizeWithCells="1">
                  <from>
                    <xdr:col>3</xdr:col>
                    <xdr:colOff>38100</xdr:colOff>
                    <xdr:row>0</xdr:row>
                    <xdr:rowOff>57150</xdr:rowOff>
                  </from>
                  <to>
                    <xdr:col>3</xdr:col>
                    <xdr:colOff>762000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3:N69"/>
  <sheetViews>
    <sheetView topLeftCell="A14" zoomScale="130" zoomScaleNormal="130" workbookViewId="0">
      <selection activeCell="M27" sqref="M27"/>
    </sheetView>
  </sheetViews>
  <sheetFormatPr defaultRowHeight="15" x14ac:dyDescent="0.25"/>
  <cols>
    <col min="5" max="5" width="22.5703125" customWidth="1"/>
    <col min="6" max="6" width="29.85546875" customWidth="1"/>
    <col min="7" max="7" width="21" customWidth="1"/>
    <col min="8" max="8" width="24" customWidth="1"/>
    <col min="12" max="12" width="6.5703125" customWidth="1"/>
    <col min="13" max="13" width="13.85546875" customWidth="1"/>
    <col min="14" max="14" width="23.140625" customWidth="1"/>
  </cols>
  <sheetData>
    <row r="3" spans="1:14" x14ac:dyDescent="0.25">
      <c r="A3" s="79" t="s">
        <v>45</v>
      </c>
      <c r="B3" s="80"/>
      <c r="C3" s="80"/>
      <c r="D3" s="80"/>
      <c r="E3" s="80"/>
      <c r="F3" s="80"/>
      <c r="G3" s="80"/>
      <c r="H3" s="80"/>
      <c r="I3" s="81"/>
      <c r="K3" s="23" t="s">
        <v>46</v>
      </c>
      <c r="L3" s="25" t="s">
        <v>47</v>
      </c>
    </row>
    <row r="6" spans="1:14" ht="15.75" x14ac:dyDescent="0.25">
      <c r="C6" s="17"/>
      <c r="D6" s="16"/>
    </row>
    <row r="7" spans="1:14" ht="15.75" x14ac:dyDescent="0.25">
      <c r="C7" s="32"/>
      <c r="D7" s="30"/>
      <c r="E7" s="4"/>
    </row>
    <row r="8" spans="1:14" ht="15.75" x14ac:dyDescent="0.25">
      <c r="C8" s="32" t="str">
        <f t="shared" ref="C8" si="0">IF((B8&lt;&gt;""),(B8-#REF!),"")</f>
        <v/>
      </c>
      <c r="D8" s="30" t="e">
        <f t="shared" ref="D8" si="1">IF(AND((#REF!+0.00001)&gt;=C8,(A8-0.00001)&lt;=C8),"A", "R")</f>
        <v>#REF!</v>
      </c>
      <c r="E8" s="55" t="s">
        <v>526</v>
      </c>
    </row>
    <row r="11" spans="1:14" x14ac:dyDescent="0.25">
      <c r="F11" s="4" t="s">
        <v>527</v>
      </c>
      <c r="G11" s="10" t="s">
        <v>24</v>
      </c>
      <c r="H11" s="12" t="s">
        <v>29</v>
      </c>
    </row>
    <row r="12" spans="1:14" x14ac:dyDescent="0.25">
      <c r="E12" s="3"/>
      <c r="F12" s="4" t="s">
        <v>37</v>
      </c>
      <c r="G12" s="10" t="s">
        <v>25</v>
      </c>
      <c r="H12" s="12" t="s">
        <v>27</v>
      </c>
      <c r="M12" s="34" t="s">
        <v>54</v>
      </c>
      <c r="N12" s="35" t="s">
        <v>55</v>
      </c>
    </row>
    <row r="13" spans="1:14" x14ac:dyDescent="0.25">
      <c r="E13" s="3"/>
      <c r="F13" s="4" t="s">
        <v>38</v>
      </c>
      <c r="G13" s="10" t="s">
        <v>26</v>
      </c>
      <c r="H13" s="12" t="s">
        <v>28</v>
      </c>
      <c r="M13" s="33" t="s">
        <v>53</v>
      </c>
      <c r="N13" s="4" t="s">
        <v>56</v>
      </c>
    </row>
    <row r="14" spans="1:14" x14ac:dyDescent="0.25">
      <c r="D14" s="14" t="s">
        <v>31</v>
      </c>
      <c r="E14" s="18"/>
      <c r="F14" s="4" t="s">
        <v>528</v>
      </c>
      <c r="G14" s="9" t="s">
        <v>18</v>
      </c>
      <c r="H14" s="11" t="s">
        <v>14</v>
      </c>
      <c r="K14" s="21" t="s">
        <v>41</v>
      </c>
      <c r="M14" s="3" t="s">
        <v>57</v>
      </c>
      <c r="N14" s="4" t="s">
        <v>58</v>
      </c>
    </row>
    <row r="15" spans="1:14" ht="15.75" customHeight="1" x14ac:dyDescent="0.25">
      <c r="D15" s="14" t="s">
        <v>31</v>
      </c>
      <c r="E15" s="19"/>
      <c r="F15" s="4" t="s">
        <v>0</v>
      </c>
      <c r="G15" s="8" t="s">
        <v>19</v>
      </c>
      <c r="H15" s="6" t="s">
        <v>15</v>
      </c>
      <c r="K15" s="21" t="s">
        <v>40</v>
      </c>
      <c r="M15" s="27" t="s">
        <v>60</v>
      </c>
      <c r="N15" s="4" t="s">
        <v>61</v>
      </c>
    </row>
    <row r="16" spans="1:14" ht="15.75" customHeight="1" x14ac:dyDescent="0.25">
      <c r="D16" s="15" t="s">
        <v>32</v>
      </c>
      <c r="E16" s="19"/>
      <c r="F16" s="4" t="s">
        <v>1</v>
      </c>
      <c r="G16" s="7" t="s">
        <v>20</v>
      </c>
      <c r="H16" s="6" t="s">
        <v>16</v>
      </c>
      <c r="K16" s="22" t="s">
        <v>39</v>
      </c>
      <c r="M16" s="28" t="s">
        <v>62</v>
      </c>
      <c r="N16" s="4" t="s">
        <v>63</v>
      </c>
    </row>
    <row r="17" spans="4:14" ht="15.75" customHeight="1" x14ac:dyDescent="0.25">
      <c r="D17" s="15" t="s">
        <v>33</v>
      </c>
      <c r="E17" s="20"/>
      <c r="F17" s="4" t="s">
        <v>2</v>
      </c>
      <c r="G17" s="7" t="s">
        <v>21</v>
      </c>
      <c r="H17" s="6" t="s">
        <v>17</v>
      </c>
      <c r="K17" s="21" t="s">
        <v>42</v>
      </c>
    </row>
    <row r="18" spans="4:14" ht="15.75" customHeight="1" x14ac:dyDescent="0.25">
      <c r="D18" s="15" t="s">
        <v>34</v>
      </c>
      <c r="E18" s="20"/>
      <c r="F18" s="4" t="s">
        <v>52</v>
      </c>
      <c r="G18" s="7" t="s">
        <v>22</v>
      </c>
      <c r="H18" s="6" t="s">
        <v>23</v>
      </c>
      <c r="K18" s="21" t="s">
        <v>43</v>
      </c>
    </row>
    <row r="19" spans="4:14" ht="15.75" customHeight="1" x14ac:dyDescent="0.25">
      <c r="D19" s="31" t="s">
        <v>665</v>
      </c>
      <c r="E19" s="5"/>
      <c r="F19" s="4" t="s">
        <v>6</v>
      </c>
      <c r="K19" s="24" t="s">
        <v>44</v>
      </c>
    </row>
    <row r="20" spans="4:14" ht="15.75" customHeight="1" x14ac:dyDescent="0.25">
      <c r="D20" s="13"/>
      <c r="E20" s="5"/>
      <c r="F20" s="4" t="s">
        <v>36</v>
      </c>
      <c r="K20" s="23" t="s">
        <v>50</v>
      </c>
    </row>
    <row r="21" spans="4:14" ht="15.75" customHeight="1" x14ac:dyDescent="0.25">
      <c r="D21" s="13"/>
      <c r="E21" s="5"/>
      <c r="F21" s="4" t="s">
        <v>529</v>
      </c>
      <c r="K21" s="26" t="s">
        <v>49</v>
      </c>
    </row>
    <row r="22" spans="4:14" ht="15.75" customHeight="1" x14ac:dyDescent="0.25">
      <c r="D22" s="13"/>
      <c r="F22" s="4" t="s">
        <v>525</v>
      </c>
    </row>
    <row r="23" spans="4:14" ht="15.75" customHeight="1" x14ac:dyDescent="0.25">
      <c r="D23" s="13"/>
      <c r="E23" s="5" t="s">
        <v>3</v>
      </c>
      <c r="F23" s="4" t="s">
        <v>4</v>
      </c>
      <c r="H23" t="s">
        <v>48</v>
      </c>
      <c r="K23" s="77"/>
    </row>
    <row r="24" spans="4:14" ht="15.75" customHeight="1" x14ac:dyDescent="0.25">
      <c r="D24" s="13"/>
      <c r="E24" s="2"/>
      <c r="F24" s="4" t="s">
        <v>5</v>
      </c>
    </row>
    <row r="25" spans="4:14" x14ac:dyDescent="0.25">
      <c r="D25" s="13"/>
      <c r="F25" s="4" t="s">
        <v>35</v>
      </c>
    </row>
    <row r="26" spans="4:14" x14ac:dyDescent="0.25">
      <c r="D26" s="13"/>
      <c r="E26" s="2" t="s">
        <v>8</v>
      </c>
      <c r="F26" s="4" t="s">
        <v>7</v>
      </c>
      <c r="I26" t="s">
        <v>524</v>
      </c>
    </row>
    <row r="27" spans="4:14" x14ac:dyDescent="0.25">
      <c r="D27" s="13"/>
      <c r="E27" s="2" t="s">
        <v>10</v>
      </c>
      <c r="F27" s="4" t="s">
        <v>9</v>
      </c>
    </row>
    <row r="28" spans="4:14" x14ac:dyDescent="0.25">
      <c r="D28" s="13"/>
      <c r="E28" s="2"/>
      <c r="F28" s="4" t="s">
        <v>11</v>
      </c>
    </row>
    <row r="29" spans="4:14" x14ac:dyDescent="0.25">
      <c r="D29" s="13"/>
      <c r="E29" s="2"/>
      <c r="F29" s="4" t="s">
        <v>12</v>
      </c>
      <c r="H29" t="s">
        <v>48</v>
      </c>
    </row>
    <row r="30" spans="4:14" x14ac:dyDescent="0.25">
      <c r="D30" s="13"/>
      <c r="E30" s="2"/>
      <c r="F30" s="4" t="s">
        <v>30</v>
      </c>
      <c r="N30" t="s">
        <v>59</v>
      </c>
    </row>
    <row r="31" spans="4:14" x14ac:dyDescent="0.25">
      <c r="E31" s="2"/>
      <c r="F31" s="4" t="s">
        <v>51</v>
      </c>
    </row>
    <row r="32" spans="4:14" x14ac:dyDescent="0.25">
      <c r="E32" s="2"/>
      <c r="F32" s="4"/>
    </row>
    <row r="33" spans="1:12" x14ac:dyDescent="0.25">
      <c r="E33" s="2"/>
      <c r="F33" s="4"/>
    </row>
    <row r="34" spans="1:12" x14ac:dyDescent="0.25">
      <c r="E34" s="2"/>
      <c r="F34" s="5"/>
    </row>
    <row r="35" spans="1:12" x14ac:dyDescent="0.25">
      <c r="E35" s="2"/>
      <c r="F35" s="5"/>
    </row>
    <row r="36" spans="1:12" x14ac:dyDescent="0.25">
      <c r="E36" s="2"/>
    </row>
    <row r="37" spans="1:12" x14ac:dyDescent="0.25">
      <c r="E37" s="2"/>
    </row>
    <row r="38" spans="1:12" x14ac:dyDescent="0.25">
      <c r="E38" s="1"/>
    </row>
    <row r="39" spans="1:12" x14ac:dyDescent="0.25">
      <c r="E39" s="1"/>
    </row>
    <row r="40" spans="1:12" x14ac:dyDescent="0.25">
      <c r="E40" s="1"/>
    </row>
    <row r="41" spans="1:12" x14ac:dyDescent="0.25">
      <c r="E41" s="1"/>
    </row>
    <row r="42" spans="1:12" x14ac:dyDescent="0.25">
      <c r="E42" s="1"/>
    </row>
    <row r="43" spans="1:12" ht="15.75" x14ac:dyDescent="0.25">
      <c r="A43" s="21"/>
      <c r="B43" s="27"/>
      <c r="C43" s="28"/>
      <c r="D43" s="28"/>
      <c r="E43" s="28"/>
      <c r="G43" s="29"/>
      <c r="H43" s="30"/>
      <c r="I43" s="4"/>
      <c r="K43" s="23"/>
      <c r="L43" s="25"/>
    </row>
    <row r="44" spans="1:12" ht="15.75" x14ac:dyDescent="0.25">
      <c r="A44" s="21"/>
      <c r="B44" s="27"/>
      <c r="C44" s="28"/>
      <c r="D44" s="28"/>
      <c r="E44" s="28"/>
      <c r="F44" s="28"/>
      <c r="G44" s="29"/>
      <c r="H44" s="30"/>
      <c r="I44" s="4"/>
      <c r="K44" s="23"/>
      <c r="L44" s="25"/>
    </row>
    <row r="45" spans="1:12" x14ac:dyDescent="0.25">
      <c r="E45" s="1"/>
      <c r="F45" s="28"/>
    </row>
    <row r="46" spans="1:12" x14ac:dyDescent="0.25">
      <c r="E46" s="1"/>
    </row>
    <row r="47" spans="1:12" x14ac:dyDescent="0.25">
      <c r="E47" s="1"/>
    </row>
    <row r="48" spans="1:12" x14ac:dyDescent="0.25">
      <c r="E48" s="1"/>
    </row>
    <row r="49" spans="5:5" x14ac:dyDescent="0.25">
      <c r="E49" s="1"/>
    </row>
    <row r="50" spans="5:5" x14ac:dyDescent="0.25">
      <c r="E50" s="1"/>
    </row>
    <row r="51" spans="5:5" x14ac:dyDescent="0.25">
      <c r="E51" s="1"/>
    </row>
    <row r="52" spans="5:5" x14ac:dyDescent="0.25">
      <c r="E52" s="1"/>
    </row>
    <row r="53" spans="5:5" x14ac:dyDescent="0.25">
      <c r="E53" s="1"/>
    </row>
    <row r="54" spans="5:5" x14ac:dyDescent="0.25">
      <c r="E54" s="1"/>
    </row>
    <row r="55" spans="5:5" x14ac:dyDescent="0.25">
      <c r="E55" s="1"/>
    </row>
    <row r="56" spans="5:5" x14ac:dyDescent="0.25">
      <c r="E56" s="1"/>
    </row>
    <row r="57" spans="5:5" x14ac:dyDescent="0.25">
      <c r="E57" s="1"/>
    </row>
    <row r="58" spans="5:5" x14ac:dyDescent="0.25">
      <c r="E58" s="1"/>
    </row>
    <row r="59" spans="5:5" x14ac:dyDescent="0.25">
      <c r="E59" s="1"/>
    </row>
    <row r="60" spans="5:5" x14ac:dyDescent="0.25">
      <c r="E60" s="1"/>
    </row>
    <row r="61" spans="5:5" x14ac:dyDescent="0.25">
      <c r="E61" s="1"/>
    </row>
    <row r="62" spans="5:5" x14ac:dyDescent="0.25">
      <c r="E62" s="1"/>
    </row>
    <row r="63" spans="5:5" x14ac:dyDescent="0.25">
      <c r="E63" s="1"/>
    </row>
    <row r="64" spans="5:5" x14ac:dyDescent="0.25">
      <c r="E64" s="1"/>
    </row>
    <row r="65" spans="5:5" x14ac:dyDescent="0.25">
      <c r="E65" s="1"/>
    </row>
    <row r="66" spans="5:5" x14ac:dyDescent="0.25">
      <c r="E66" s="1"/>
    </row>
    <row r="67" spans="5:5" x14ac:dyDescent="0.25">
      <c r="E67" s="1"/>
    </row>
    <row r="68" spans="5:5" x14ac:dyDescent="0.25">
      <c r="E68" s="1"/>
    </row>
    <row r="69" spans="5:5" x14ac:dyDescent="0.25">
      <c r="E69" s="1"/>
    </row>
  </sheetData>
  <mergeCells count="1">
    <mergeCell ref="A3:I3"/>
  </mergeCells>
  <conditionalFormatting sqref="D7">
    <cfRule type="expression" dxfId="336" priority="84">
      <formula>ISERROR(D7:D79)</formula>
    </cfRule>
    <cfRule type="beginsWith" dxfId="335" priority="85" operator="beginsWith" text="R">
      <formula>LEFT(D7,1)="R"</formula>
    </cfRule>
    <cfRule type="expression" dxfId="334" priority="86">
      <formula>ISERROR(D7:D74)</formula>
    </cfRule>
    <cfRule type="beginsWith" dxfId="333" priority="87" operator="beginsWith" text="R">
      <formula>LEFT(D7,1)="R"</formula>
    </cfRule>
    <cfRule type="expression" dxfId="332" priority="88">
      <formula>ISERROR(D7:D69)</formula>
    </cfRule>
    <cfRule type="beginsWith" dxfId="331" priority="89" operator="beginsWith" text="R">
      <formula>LEFT(D7,1)="R"</formula>
    </cfRule>
    <cfRule type="expression" dxfId="330" priority="90">
      <formula>ISERROR(D7:D65)</formula>
    </cfRule>
    <cfRule type="beginsWith" dxfId="329" priority="91" operator="beginsWith" text="R">
      <formula>LEFT(D7,1)="R"</formula>
    </cfRule>
    <cfRule type="expression" dxfId="328" priority="92">
      <formula>ISERROR(D7:D39)</formula>
    </cfRule>
    <cfRule type="beginsWith" dxfId="327" priority="93" operator="beginsWith" text="R">
      <formula>LEFT(D7,1)="R"</formula>
    </cfRule>
    <cfRule type="expression" dxfId="326" priority="94">
      <formula>ISERROR(D7:D75)</formula>
    </cfRule>
    <cfRule type="beginsWith" dxfId="325" priority="95" operator="beginsWith" text="R">
      <formula>LEFT(D7,1)="R"</formula>
    </cfRule>
    <cfRule type="expression" dxfId="324" priority="96">
      <formula>ISERROR(D7:D53)</formula>
    </cfRule>
    <cfRule type="beginsWith" dxfId="323" priority="97" operator="beginsWith" text="R">
      <formula>LEFT(D7,1)="R"</formula>
    </cfRule>
    <cfRule type="expression" dxfId="322" priority="98">
      <formula>ISERROR(D7:D48)</formula>
    </cfRule>
    <cfRule type="beginsWith" dxfId="321" priority="99" operator="beginsWith" text="R">
      <formula>LEFT(D7,1)="R"</formula>
    </cfRule>
    <cfRule type="expression" dxfId="320" priority="100">
      <formula>ISERROR(D7:D49)</formula>
    </cfRule>
    <cfRule type="beginsWith" dxfId="319" priority="101" operator="beginsWith" text="R">
      <formula>LEFT(D7,1)="R"</formula>
    </cfRule>
    <cfRule type="expression" dxfId="318" priority="102">
      <formula>ISERROR(D7:D51)</formula>
    </cfRule>
    <cfRule type="beginsWith" dxfId="317" priority="103" operator="beginsWith" text="R">
      <formula>LEFT(D7,1)="R"</formula>
    </cfRule>
    <cfRule type="expression" dxfId="316" priority="104">
      <formula>ISERROR(D7:D55)</formula>
    </cfRule>
    <cfRule type="beginsWith" dxfId="315" priority="105" operator="beginsWith" text="R">
      <formula>LEFT(D7,1)="R"</formula>
    </cfRule>
    <cfRule type="expression" dxfId="314" priority="106">
      <formula>ISERROR(D7:D59)</formula>
    </cfRule>
    <cfRule type="beginsWith" dxfId="313" priority="107" operator="beginsWith" text="R">
      <formula>LEFT(D7,1)="R"</formula>
    </cfRule>
    <cfRule type="expression" dxfId="312" priority="108">
      <formula>ISERROR(D7:D57)</formula>
    </cfRule>
    <cfRule type="beginsWith" dxfId="311" priority="109" operator="beginsWith" text="R">
      <formula>LEFT(D7,1)="R"</formula>
    </cfRule>
    <cfRule type="expression" dxfId="310" priority="110">
      <formula>ISERROR(D7:D58)</formula>
    </cfRule>
    <cfRule type="beginsWith" dxfId="309" priority="111" operator="beginsWith" text="R">
      <formula>LEFT(D7,1)="R"</formula>
    </cfRule>
    <cfRule type="expression" dxfId="308" priority="112">
      <formula>ISERROR(D7:D63)</formula>
    </cfRule>
    <cfRule type="beginsWith" dxfId="307" priority="113" operator="beginsWith" text="R">
      <formula>LEFT(D7,1)="R"</formula>
    </cfRule>
    <cfRule type="expression" dxfId="306" priority="114">
      <formula>ISERROR(D7:D47)</formula>
    </cfRule>
    <cfRule type="beginsWith" dxfId="305" priority="115" operator="beginsWith" text="R">
      <formula>LEFT(D7,1)="R"</formula>
    </cfRule>
    <cfRule type="expression" dxfId="304" priority="116">
      <formula>ISERROR(D7:D46)</formula>
    </cfRule>
    <cfRule type="beginsWith" dxfId="303" priority="117" operator="beginsWith" text="R">
      <formula>LEFT(D7,1)="R"</formula>
    </cfRule>
    <cfRule type="expression" dxfId="302" priority="118">
      <formula>ISERROR(D7:D56)</formula>
    </cfRule>
    <cfRule type="beginsWith" dxfId="301" priority="119" operator="beginsWith" text="R">
      <formula>LEFT(D7,1)="R"</formula>
    </cfRule>
    <cfRule type="expression" dxfId="300" priority="120">
      <formula>ISERROR(D7:D61)</formula>
    </cfRule>
    <cfRule type="beginsWith" dxfId="299" priority="121" operator="beginsWith" text="R">
      <formula>LEFT(D7,1)="R"</formula>
    </cfRule>
    <cfRule type="expression" dxfId="298" priority="122">
      <formula>ISERROR(D7:D64)</formula>
    </cfRule>
    <cfRule type="beginsWith" dxfId="297" priority="123" operator="beginsWith" text="R">
      <formula>LEFT(D7,1)="R"</formula>
    </cfRule>
    <cfRule type="expression" dxfId="296" priority="124">
      <formula>ISERROR(D7:D73)</formula>
    </cfRule>
    <cfRule type="beginsWith" dxfId="295" priority="125" operator="beginsWith" text="R">
      <formula>LEFT(D7,1)="R"</formula>
    </cfRule>
    <cfRule type="expression" dxfId="294" priority="126">
      <formula>ISERROR(D7:D45)</formula>
    </cfRule>
    <cfRule type="beginsWith" dxfId="293" priority="127" operator="beginsWith" text="R">
      <formula>LEFT(D7,1)="R"</formula>
    </cfRule>
    <cfRule type="expression" dxfId="292" priority="128">
      <formula>ISERROR(D7:D44)</formula>
    </cfRule>
    <cfRule type="beginsWith" dxfId="291" priority="129" operator="beginsWith" text="R">
      <formula>LEFT(D7,1)="R"</formula>
    </cfRule>
    <cfRule type="expression" dxfId="290" priority="130">
      <formula>ISERROR(D7:D54)</formula>
    </cfRule>
    <cfRule type="beginsWith" dxfId="289" priority="131" operator="beginsWith" text="R">
      <formula>LEFT(D7,1)="R"</formula>
    </cfRule>
    <cfRule type="expression" dxfId="288" priority="132">
      <formula>ISERROR(D7:D62)</formula>
    </cfRule>
    <cfRule type="beginsWith" dxfId="287" priority="133" operator="beginsWith" text="R">
      <formula>LEFT(D7,1)="R"</formula>
    </cfRule>
    <cfRule type="expression" dxfId="286" priority="134">
      <formula>ISERROR(D7:D67)</formula>
    </cfRule>
    <cfRule type="beginsWith" dxfId="285" priority="135" operator="beginsWith" text="R">
      <formula>LEFT(D7,1)="R"</formula>
    </cfRule>
    <cfRule type="expression" dxfId="284" priority="136">
      <formula>ISERROR(D7:D71)</formula>
    </cfRule>
    <cfRule type="beginsWith" dxfId="283" priority="137" operator="beginsWith" text="R">
      <formula>LEFT(D7,1)="R"</formula>
    </cfRule>
    <cfRule type="expression" dxfId="282" priority="138">
      <formula>ISERROR(D7:D72)</formula>
    </cfRule>
    <cfRule type="beginsWith" dxfId="281" priority="139" operator="beginsWith" text="R">
      <formula>LEFT(D7,1)="R"</formula>
    </cfRule>
    <cfRule type="expression" dxfId="280" priority="140">
      <formula>ISERROR(D7:D77)</formula>
    </cfRule>
    <cfRule type="beginsWith" dxfId="279" priority="141" operator="beginsWith" text="R">
      <formula>LEFT(D7,1)="R"</formula>
    </cfRule>
    <cfRule type="expression" dxfId="278" priority="142">
      <formula>ISERROR(D7:D68)</formula>
    </cfRule>
    <cfRule type="beginsWith" dxfId="277" priority="143" operator="beginsWith" text="R">
      <formula>LEFT(D7,1)="R"</formula>
    </cfRule>
    <cfRule type="expression" dxfId="276" priority="144">
      <formula>ISERROR(D7:D60)</formula>
    </cfRule>
    <cfRule type="beginsWith" dxfId="275" priority="145" operator="beginsWith" text="R">
      <formula>LEFT(D7,1)="R"</formula>
    </cfRule>
    <cfRule type="expression" dxfId="274" priority="146">
      <formula>ISERROR(D7:D52)</formula>
    </cfRule>
    <cfRule type="beginsWith" dxfId="273" priority="147" operator="beginsWith" text="R">
      <formula>LEFT(D7,1)="R"</formula>
    </cfRule>
    <cfRule type="expression" dxfId="272" priority="148">
      <formula>ISERROR(D7:D66)</formula>
    </cfRule>
    <cfRule type="beginsWith" dxfId="271" priority="149" operator="beginsWith" text="R">
      <formula>LEFT(D7,1)="R"</formula>
    </cfRule>
    <cfRule type="expression" dxfId="270" priority="150">
      <formula>ISERROR(D7:D50)</formula>
    </cfRule>
    <cfRule type="beginsWith" dxfId="269" priority="151" operator="beginsWith" text="R">
      <formula>LEFT(D7,1)="R"</formula>
    </cfRule>
    <cfRule type="expression" dxfId="268" priority="152">
      <formula>ISERROR(D7:D76)</formula>
    </cfRule>
    <cfRule type="beginsWith" dxfId="267" priority="153" operator="beginsWith" text="R">
      <formula>LEFT(D7,1)="R"</formula>
    </cfRule>
    <cfRule type="expression" dxfId="266" priority="154">
      <formula>ISERROR(D7:D42)</formula>
    </cfRule>
    <cfRule type="beginsWith" dxfId="265" priority="155" operator="beginsWith" text="R">
      <formula>LEFT(D7,1)="R"</formula>
    </cfRule>
    <cfRule type="expression" dxfId="264" priority="156">
      <formula>ISERROR(D7:D70)</formula>
    </cfRule>
    <cfRule type="beginsWith" dxfId="263" priority="157" operator="beginsWith" text="R">
      <formula>LEFT(D7,1)="R"</formula>
    </cfRule>
    <cfRule type="expression" dxfId="262" priority="158">
      <formula>ISERROR(D7:D78)</formula>
    </cfRule>
    <cfRule type="beginsWith" dxfId="261" priority="159" operator="beginsWith" text="R">
      <formula>LEFT(D7,1)="R"</formula>
    </cfRule>
    <cfRule type="expression" dxfId="260" priority="160">
      <formula>ISERROR(D7:D41)</formula>
    </cfRule>
    <cfRule type="beginsWith" dxfId="259" priority="161" operator="beginsWith" text="R">
      <formula>LEFT(D7,1)="R"</formula>
    </cfRule>
    <cfRule type="expression" dxfId="258" priority="162">
      <formula>ISERROR(D7:D40)</formula>
    </cfRule>
    <cfRule type="beginsWith" dxfId="257" priority="163" operator="beginsWith" text="R">
      <formula>LEFT(D7,1)="R"</formula>
    </cfRule>
    <cfRule type="expression" dxfId="256" priority="164">
      <formula>ISERROR(D7:D82)</formula>
    </cfRule>
  </conditionalFormatting>
  <conditionalFormatting sqref="D7:D8">
    <cfRule type="beginsWith" dxfId="255" priority="81" operator="beginsWith" text="R">
      <formula>LEFT(D7,1)="R"</formula>
    </cfRule>
  </conditionalFormatting>
  <conditionalFormatting sqref="D8">
    <cfRule type="beginsWith" dxfId="254" priority="1" operator="beginsWith" text="R">
      <formula>LEFT(D8,1)="R"</formula>
    </cfRule>
    <cfRule type="expression" dxfId="253" priority="2">
      <formula>ISERROR(D8:D80)</formula>
    </cfRule>
    <cfRule type="beginsWith" dxfId="252" priority="3" operator="beginsWith" text="R">
      <formula>LEFT(D8,1)="R"</formula>
    </cfRule>
    <cfRule type="expression" dxfId="251" priority="4">
      <formula>ISERROR(D8:D75)</formula>
    </cfRule>
    <cfRule type="beginsWith" dxfId="250" priority="5" operator="beginsWith" text="R">
      <formula>LEFT(D8,1)="R"</formula>
    </cfRule>
    <cfRule type="expression" dxfId="249" priority="6">
      <formula>ISERROR(D8:D70)</formula>
    </cfRule>
    <cfRule type="beginsWith" dxfId="248" priority="7" operator="beginsWith" text="R">
      <formula>LEFT(D8,1)="R"</formula>
    </cfRule>
    <cfRule type="expression" dxfId="247" priority="8">
      <formula>ISERROR(D8:D66)</formula>
    </cfRule>
    <cfRule type="beginsWith" dxfId="246" priority="9" operator="beginsWith" text="R">
      <formula>LEFT(D8,1)="R"</formula>
    </cfRule>
    <cfRule type="expression" dxfId="245" priority="10">
      <formula>ISERROR(D8:D40)</formula>
    </cfRule>
    <cfRule type="beginsWith" dxfId="244" priority="11" operator="beginsWith" text="R">
      <formula>LEFT(D8,1)="R"</formula>
    </cfRule>
    <cfRule type="expression" dxfId="243" priority="12">
      <formula>ISERROR(D8:D76)</formula>
    </cfRule>
    <cfRule type="beginsWith" dxfId="242" priority="13" operator="beginsWith" text="R">
      <formula>LEFT(D8,1)="R"</formula>
    </cfRule>
    <cfRule type="expression" dxfId="241" priority="14">
      <formula>ISERROR(D8:D54)</formula>
    </cfRule>
    <cfRule type="beginsWith" dxfId="240" priority="15" operator="beginsWith" text="R">
      <formula>LEFT(D8,1)="R"</formula>
    </cfRule>
    <cfRule type="expression" dxfId="239" priority="16">
      <formula>ISERROR(D8:D49)</formula>
    </cfRule>
    <cfRule type="beginsWith" dxfId="238" priority="17" operator="beginsWith" text="R">
      <formula>LEFT(D8,1)="R"</formula>
    </cfRule>
    <cfRule type="expression" dxfId="237" priority="18">
      <formula>ISERROR(D8:D50)</formula>
    </cfRule>
    <cfRule type="beginsWith" dxfId="236" priority="19" operator="beginsWith" text="R">
      <formula>LEFT(D8,1)="R"</formula>
    </cfRule>
    <cfRule type="expression" dxfId="235" priority="20">
      <formula>ISERROR(D8:D52)</formula>
    </cfRule>
    <cfRule type="beginsWith" dxfId="234" priority="21" operator="beginsWith" text="R">
      <formula>LEFT(D8,1)="R"</formula>
    </cfRule>
    <cfRule type="expression" dxfId="233" priority="22">
      <formula>ISERROR(D8:D56)</formula>
    </cfRule>
    <cfRule type="beginsWith" dxfId="232" priority="23" operator="beginsWith" text="R">
      <formula>LEFT(D8,1)="R"</formula>
    </cfRule>
    <cfRule type="expression" dxfId="231" priority="24">
      <formula>ISERROR(D8:D60)</formula>
    </cfRule>
    <cfRule type="beginsWith" dxfId="230" priority="25" operator="beginsWith" text="R">
      <formula>LEFT(D8,1)="R"</formula>
    </cfRule>
    <cfRule type="expression" dxfId="229" priority="26">
      <formula>ISERROR(D8:D58)</formula>
    </cfRule>
    <cfRule type="beginsWith" dxfId="228" priority="27" operator="beginsWith" text="R">
      <formula>LEFT(D8,1)="R"</formula>
    </cfRule>
    <cfRule type="expression" dxfId="227" priority="28">
      <formula>ISERROR(D8:D59)</formula>
    </cfRule>
    <cfRule type="beginsWith" dxfId="226" priority="29" operator="beginsWith" text="R">
      <formula>LEFT(D8,1)="R"</formula>
    </cfRule>
    <cfRule type="expression" dxfId="225" priority="30">
      <formula>ISERROR(D8:D64)</formula>
    </cfRule>
    <cfRule type="beginsWith" dxfId="224" priority="31" operator="beginsWith" text="R">
      <formula>LEFT(D8,1)="R"</formula>
    </cfRule>
    <cfRule type="expression" dxfId="223" priority="32">
      <formula>ISERROR(D8:D48)</formula>
    </cfRule>
    <cfRule type="beginsWith" dxfId="222" priority="33" operator="beginsWith" text="R">
      <formula>LEFT(D8,1)="R"</formula>
    </cfRule>
    <cfRule type="expression" dxfId="221" priority="34">
      <formula>ISERROR(D8:D47)</formula>
    </cfRule>
    <cfRule type="beginsWith" dxfId="220" priority="35" operator="beginsWith" text="R">
      <formula>LEFT(D8,1)="R"</formula>
    </cfRule>
    <cfRule type="expression" dxfId="219" priority="36">
      <formula>ISERROR(D8:D57)</formula>
    </cfRule>
    <cfRule type="beginsWith" dxfId="218" priority="37" operator="beginsWith" text="R">
      <formula>LEFT(D8,1)="R"</formula>
    </cfRule>
    <cfRule type="expression" dxfId="217" priority="38">
      <formula>ISERROR(D8:D62)</formula>
    </cfRule>
    <cfRule type="beginsWith" dxfId="216" priority="39" operator="beginsWith" text="R">
      <formula>LEFT(D8,1)="R"</formula>
    </cfRule>
    <cfRule type="expression" dxfId="215" priority="40">
      <formula>ISERROR(D8:D65)</formula>
    </cfRule>
    <cfRule type="beginsWith" dxfId="214" priority="41" operator="beginsWith" text="R">
      <formula>LEFT(D8,1)="R"</formula>
    </cfRule>
    <cfRule type="expression" dxfId="213" priority="42">
      <formula>ISERROR(D8:D74)</formula>
    </cfRule>
    <cfRule type="beginsWith" dxfId="212" priority="43" operator="beginsWith" text="R">
      <formula>LEFT(D8,1)="R"</formula>
    </cfRule>
    <cfRule type="expression" dxfId="211" priority="44">
      <formula>ISERROR(D8:D46)</formula>
    </cfRule>
    <cfRule type="beginsWith" dxfId="210" priority="45" operator="beginsWith" text="R">
      <formula>LEFT(D8,1)="R"</formula>
    </cfRule>
    <cfRule type="expression" dxfId="209" priority="46">
      <formula>ISERROR(D8:D45)</formula>
    </cfRule>
    <cfRule type="beginsWith" dxfId="208" priority="47" operator="beginsWith" text="R">
      <formula>LEFT(D8,1)="R"</formula>
    </cfRule>
    <cfRule type="expression" dxfId="207" priority="48">
      <formula>ISERROR(D8:D55)</formula>
    </cfRule>
    <cfRule type="beginsWith" dxfId="206" priority="49" operator="beginsWith" text="R">
      <formula>LEFT(D8,1)="R"</formula>
    </cfRule>
    <cfRule type="expression" dxfId="205" priority="50">
      <formula>ISERROR(D8:D63)</formula>
    </cfRule>
    <cfRule type="beginsWith" dxfId="204" priority="51" operator="beginsWith" text="R">
      <formula>LEFT(D8,1)="R"</formula>
    </cfRule>
    <cfRule type="expression" dxfId="203" priority="52">
      <formula>ISERROR(D8:D68)</formula>
    </cfRule>
    <cfRule type="beginsWith" dxfId="202" priority="53" operator="beginsWith" text="R">
      <formula>LEFT(D8,1)="R"</formula>
    </cfRule>
    <cfRule type="expression" dxfId="201" priority="54">
      <formula>ISERROR(D8:D72)</formula>
    </cfRule>
    <cfRule type="beginsWith" dxfId="200" priority="55" operator="beginsWith" text="R">
      <formula>LEFT(D8,1)="R"</formula>
    </cfRule>
    <cfRule type="expression" dxfId="199" priority="56">
      <formula>ISERROR(D8:D73)</formula>
    </cfRule>
    <cfRule type="beginsWith" dxfId="198" priority="57" operator="beginsWith" text="R">
      <formula>LEFT(D8,1)="R"</formula>
    </cfRule>
    <cfRule type="expression" dxfId="197" priority="58">
      <formula>ISERROR(D8:D78)</formula>
    </cfRule>
    <cfRule type="beginsWith" dxfId="196" priority="59" operator="beginsWith" text="R">
      <formula>LEFT(D8,1)="R"</formula>
    </cfRule>
    <cfRule type="expression" dxfId="195" priority="60">
      <formula>ISERROR(D8:D69)</formula>
    </cfRule>
    <cfRule type="beginsWith" dxfId="194" priority="61" operator="beginsWith" text="R">
      <formula>LEFT(D8,1)="R"</formula>
    </cfRule>
    <cfRule type="expression" dxfId="193" priority="62">
      <formula>ISERROR(D8:D61)</formula>
    </cfRule>
    <cfRule type="beginsWith" dxfId="192" priority="63" operator="beginsWith" text="R">
      <formula>LEFT(D8,1)="R"</formula>
    </cfRule>
    <cfRule type="expression" dxfId="191" priority="64">
      <formula>ISERROR(D8:D53)</formula>
    </cfRule>
    <cfRule type="beginsWith" dxfId="190" priority="65" operator="beginsWith" text="R">
      <formula>LEFT(D8,1)="R"</formula>
    </cfRule>
    <cfRule type="expression" dxfId="189" priority="66">
      <formula>ISERROR(D8:D67)</formula>
    </cfRule>
    <cfRule type="beginsWith" dxfId="188" priority="67" operator="beginsWith" text="R">
      <formula>LEFT(D8,1)="R"</formula>
    </cfRule>
    <cfRule type="expression" dxfId="187" priority="68">
      <formula>ISERROR(D8:D51)</formula>
    </cfRule>
    <cfRule type="beginsWith" dxfId="186" priority="69" operator="beginsWith" text="R">
      <formula>LEFT(D8,1)="R"</formula>
    </cfRule>
    <cfRule type="expression" dxfId="185" priority="70">
      <formula>ISERROR(D8:D77)</formula>
    </cfRule>
    <cfRule type="beginsWith" dxfId="184" priority="71" operator="beginsWith" text="R">
      <formula>LEFT(D8,1)="R"</formula>
    </cfRule>
    <cfRule type="expression" dxfId="183" priority="72">
      <formula>ISERROR(D8:D43)</formula>
    </cfRule>
    <cfRule type="beginsWith" dxfId="182" priority="73" operator="beginsWith" text="R">
      <formula>LEFT(D8,1)="R"</formula>
    </cfRule>
    <cfRule type="expression" dxfId="181" priority="74">
      <formula>ISERROR(D8:D71)</formula>
    </cfRule>
    <cfRule type="beginsWith" dxfId="180" priority="75" operator="beginsWith" text="R">
      <formula>LEFT(D8,1)="R"</formula>
    </cfRule>
    <cfRule type="expression" dxfId="179" priority="76">
      <formula>ISERROR(D8:D79)</formula>
    </cfRule>
    <cfRule type="beginsWith" dxfId="178" priority="77" operator="beginsWith" text="R">
      <formula>LEFT(D8,1)="R"</formula>
    </cfRule>
    <cfRule type="expression" dxfId="177" priority="78">
      <formula>ISERROR(D8:D42)</formula>
    </cfRule>
    <cfRule type="beginsWith" dxfId="176" priority="79" operator="beginsWith" text="R">
      <formula>LEFT(D8,1)="R"</formula>
    </cfRule>
    <cfRule type="expression" dxfId="175" priority="80">
      <formula>ISERROR(D8:D41)</formula>
    </cfRule>
    <cfRule type="expression" dxfId="174" priority="82">
      <formula>ISERROR(D8:D83)</formula>
    </cfRule>
  </conditionalFormatting>
  <conditionalFormatting sqref="G14 G16 G18">
    <cfRule type="expression" dxfId="173" priority="486">
      <formula>MOD(ROW(),2)=1</formula>
    </cfRule>
  </conditionalFormatting>
  <conditionalFormatting sqref="H43">
    <cfRule type="beginsWith" dxfId="172" priority="165" operator="beginsWith" text="R">
      <formula>LEFT(H43,1)="R"</formula>
    </cfRule>
    <cfRule type="expression" dxfId="171" priority="166">
      <formula>ISERROR(H43:H76)</formula>
    </cfRule>
    <cfRule type="expression" dxfId="170" priority="167">
      <formula>ISERROR(H43:H73)</formula>
    </cfRule>
    <cfRule type="expression" dxfId="169" priority="168">
      <formula>ISERROR(H43:H71)</formula>
    </cfRule>
    <cfRule type="expression" dxfId="168" priority="169">
      <formula>ISERROR(H43:H75)</formula>
    </cfRule>
    <cfRule type="beginsWith" dxfId="167" priority="170" operator="beginsWith" text="R">
      <formula>LEFT(H43,1)="R"</formula>
    </cfRule>
    <cfRule type="expression" dxfId="166" priority="171">
      <formula>ISERROR(H43:H85)</formula>
    </cfRule>
    <cfRule type="expression" dxfId="165" priority="172">
      <formula>ISERROR(H43:H83)</formula>
    </cfRule>
    <cfRule type="beginsWith" dxfId="164" priority="173" operator="beginsWith" text="R">
      <formula>LEFT(H43,1)="R"</formula>
    </cfRule>
    <cfRule type="expression" dxfId="163" priority="174">
      <formula>ISERROR(H43:H82)</formula>
    </cfRule>
    <cfRule type="beginsWith" dxfId="162" priority="175" operator="beginsWith" text="R">
      <formula>LEFT(H43,1)="R"</formula>
    </cfRule>
    <cfRule type="expression" dxfId="161" priority="176">
      <formula>ISERROR(H43:H80)</formula>
    </cfRule>
    <cfRule type="beginsWith" dxfId="160" priority="177" operator="beginsWith" text="R">
      <formula>LEFT(H43,1)="R"</formula>
    </cfRule>
    <cfRule type="expression" dxfId="159" priority="178">
      <formula>ISERROR(H43:H81)</formula>
    </cfRule>
    <cfRule type="beginsWith" dxfId="158" priority="179" operator="beginsWith" text="R">
      <formula>LEFT(H43,1)="R"</formula>
    </cfRule>
    <cfRule type="expression" dxfId="157" priority="180">
      <formula>ISERROR(H43:H84)</formula>
    </cfRule>
    <cfRule type="expression" dxfId="156" priority="181">
      <formula>ISERROR(H43:H71)</formula>
    </cfRule>
    <cfRule type="expression" dxfId="155" priority="182">
      <formula>ISERROR(H43:H78)</formula>
    </cfRule>
    <cfRule type="beginsWith" dxfId="154" priority="183" operator="beginsWith" text="R">
      <formula>LEFT(H43,1)="R"</formula>
    </cfRule>
    <cfRule type="expression" dxfId="153" priority="184">
      <formula>ISERROR(H43:H77)</formula>
    </cfRule>
    <cfRule type="beginsWith" dxfId="152" priority="189" operator="beginsWith" text="R">
      <formula>LEFT(H43,1)="R"</formula>
    </cfRule>
    <cfRule type="expression" dxfId="151" priority="190">
      <formula>ISERROR(H43:H66)</formula>
    </cfRule>
    <cfRule type="expression" dxfId="150" priority="191">
      <formula>ISERROR(H43:H86)</formula>
    </cfRule>
    <cfRule type="beginsWith" dxfId="149" priority="192" operator="beginsWith" text="R">
      <formula>LEFT(H43,1)="R"</formula>
    </cfRule>
    <cfRule type="expression" dxfId="148" priority="193">
      <formula>ISERROR(H43:H71)</formula>
    </cfRule>
    <cfRule type="beginsWith" dxfId="147" priority="194" operator="beginsWith" text="R">
      <formula>LEFT(H43,1)="R"</formula>
    </cfRule>
    <cfRule type="expression" dxfId="146" priority="195">
      <formula>ISERROR(H43:H71)</formula>
    </cfRule>
    <cfRule type="beginsWith" dxfId="145" priority="196" operator="beginsWith" text="R">
      <formula>LEFT(H43,1)="R"</formula>
    </cfRule>
    <cfRule type="expression" dxfId="144" priority="197">
      <formula>ISERROR(H43:H72)</formula>
    </cfRule>
    <cfRule type="beginsWith" dxfId="143" priority="198" operator="beginsWith" text="R">
      <formula>LEFT(H43,1)="R"</formula>
    </cfRule>
    <cfRule type="expression" dxfId="142" priority="199">
      <formula>ISERROR(H43:H70)</formula>
    </cfRule>
    <cfRule type="beginsWith" dxfId="141" priority="200" operator="beginsWith" text="R">
      <formula>LEFT(H43,1)="R"</formula>
    </cfRule>
    <cfRule type="expression" dxfId="140" priority="201">
      <formula>ISERROR(H43:H68)</formula>
    </cfRule>
    <cfRule type="beginsWith" dxfId="139" priority="202" operator="beginsWith" text="R">
      <formula>LEFT(H43,1)="R"</formula>
    </cfRule>
    <cfRule type="expression" dxfId="138" priority="203">
      <formula>ISERROR(H43:H69)</formula>
    </cfRule>
    <cfRule type="expression" dxfId="137" priority="204">
      <formula>ISERROR(H43:H79)</formula>
    </cfRule>
    <cfRule type="beginsWith" dxfId="136" priority="205" operator="beginsWith" text="R">
      <formula>LEFT(H43,1)="R"</formula>
    </cfRule>
    <cfRule type="expression" dxfId="135" priority="206">
      <formula>ISERROR(H43:H76)</formula>
    </cfRule>
    <cfRule type="expression" dxfId="134" priority="207">
      <formula>ISERROR(H43:H71)</formula>
    </cfRule>
    <cfRule type="expression" dxfId="133" priority="209">
      <formula>ISERROR(H43:H75)</formula>
    </cfRule>
    <cfRule type="beginsWith" dxfId="132" priority="210" operator="beginsWith" text="R">
      <formula>LEFT(H43,1)="R"</formula>
    </cfRule>
    <cfRule type="expression" dxfId="131" priority="211">
      <formula>ISERROR(H43:H85)</formula>
    </cfRule>
    <cfRule type="expression" dxfId="130" priority="212">
      <formula>ISERROR(H43:H83)</formula>
    </cfRule>
    <cfRule type="beginsWith" dxfId="129" priority="213" operator="beginsWith" text="R">
      <formula>LEFT(H43,1)="R"</formula>
    </cfRule>
    <cfRule type="expression" dxfId="128" priority="214">
      <formula>ISERROR(H43:H82)</formula>
    </cfRule>
    <cfRule type="beginsWith" dxfId="127" priority="215" operator="beginsWith" text="R">
      <formula>LEFT(H43,1)="R"</formula>
    </cfRule>
    <cfRule type="expression" dxfId="126" priority="216">
      <formula>ISERROR(H43:H80)</formula>
    </cfRule>
    <cfRule type="beginsWith" dxfId="125" priority="217" operator="beginsWith" text="R">
      <formula>LEFT(H43,1)="R"</formula>
    </cfRule>
    <cfRule type="expression" dxfId="124" priority="218">
      <formula>ISERROR(H43:H81)</formula>
    </cfRule>
    <cfRule type="beginsWith" dxfId="123" priority="219" operator="beginsWith" text="R">
      <formula>LEFT(H43,1)="R"</formula>
    </cfRule>
    <cfRule type="expression" dxfId="122" priority="220">
      <formula>ISERROR(H43:H84)</formula>
    </cfRule>
    <cfRule type="expression" dxfId="121" priority="221">
      <formula>ISERROR(H43:H71)</formula>
    </cfRule>
    <cfRule type="expression" dxfId="120" priority="222">
      <formula>ISERROR(H43:H78)</formula>
    </cfRule>
    <cfRule type="expression" dxfId="119" priority="224">
      <formula>ISERROR(H43:H77)</formula>
    </cfRule>
    <cfRule type="expression" dxfId="118" priority="225">
      <formula>ISERROR(H43:H75)</formula>
    </cfRule>
    <cfRule type="expression" dxfId="117" priority="265">
      <formula>ISERROR(H43:H85)</formula>
    </cfRule>
    <cfRule type="expression" dxfId="116" priority="266">
      <formula>ISERROR(H43:H83)</formula>
    </cfRule>
    <cfRule type="beginsWith" dxfId="115" priority="267" operator="beginsWith" text="R">
      <formula>LEFT(H43,1)="R"</formula>
    </cfRule>
    <cfRule type="expression" dxfId="114" priority="268">
      <formula>ISERROR(H43:H82)</formula>
    </cfRule>
    <cfRule type="beginsWith" dxfId="113" priority="269" operator="beginsWith" text="R">
      <formula>LEFT(H43,1)="R"</formula>
    </cfRule>
    <cfRule type="expression" dxfId="112" priority="271">
      <formula>ISERROR(H43:H71)</formula>
    </cfRule>
    <cfRule type="expression" dxfId="111" priority="273">
      <formula>ISERROR(H43:H73)</formula>
    </cfRule>
    <cfRule type="beginsWith" dxfId="110" priority="274" operator="beginsWith" text="R">
      <formula>LEFT(H43,1)="R"</formula>
    </cfRule>
    <cfRule type="expression" dxfId="109" priority="275">
      <formula>ISERROR(H43:H85)</formula>
    </cfRule>
    <cfRule type="expression" dxfId="108" priority="276">
      <formula>ISERROR(H43:H83)</formula>
    </cfRule>
    <cfRule type="beginsWith" dxfId="107" priority="277" operator="beginsWith" text="R">
      <formula>LEFT(H43,1)="R"</formula>
    </cfRule>
    <cfRule type="expression" dxfId="106" priority="278">
      <formula>ISERROR(H43:H82)</formula>
    </cfRule>
    <cfRule type="beginsWith" dxfId="105" priority="279" operator="beginsWith" text="R">
      <formula>LEFT(H43,1)="R"</formula>
    </cfRule>
    <cfRule type="expression" dxfId="104" priority="280">
      <formula>ISERROR(H43:H80)</formula>
    </cfRule>
    <cfRule type="beginsWith" dxfId="103" priority="281" operator="beginsWith" text="R">
      <formula>LEFT(H43,1)="R"</formula>
    </cfRule>
    <cfRule type="expression" dxfId="102" priority="282">
      <formula>ISERROR(H43:H81)</formula>
    </cfRule>
    <cfRule type="beginsWith" dxfId="101" priority="283" operator="beginsWith" text="R">
      <formula>LEFT(H43,1)="R"</formula>
    </cfRule>
    <cfRule type="expression" dxfId="100" priority="284">
      <formula>ISERROR(H43:H84)</formula>
    </cfRule>
    <cfRule type="expression" dxfId="99" priority="285">
      <formula>ISERROR(H43:H71)</formula>
    </cfRule>
    <cfRule type="expression" dxfId="98" priority="286">
      <formula>ISERROR(H43:H78)</formula>
    </cfRule>
    <cfRule type="expression" dxfId="97" priority="288">
      <formula>ISERROR(H43:H77)</formula>
    </cfRule>
  </conditionalFormatting>
  <conditionalFormatting sqref="H43:H44">
    <cfRule type="beginsWith" dxfId="96" priority="185" operator="beginsWith" text="R">
      <formula>LEFT(H43,1)="R"</formula>
    </cfRule>
    <cfRule type="expression" dxfId="95" priority="186">
      <formula>ISERROR(H43:H88)</formula>
    </cfRule>
    <cfRule type="beginsWith" dxfId="94" priority="187" operator="beginsWith" text="R">
      <formula>LEFT(H43,1)="R"</formula>
    </cfRule>
    <cfRule type="expression" dxfId="93" priority="188">
      <formula>ISERROR(H43:H74)</formula>
    </cfRule>
    <cfRule type="beginsWith" dxfId="92" priority="223" operator="beginsWith" text="R">
      <formula>LEFT(H43,1)="R"</formula>
    </cfRule>
    <cfRule type="expression" dxfId="91" priority="243">
      <formula>ISERROR(H43:H76)</formula>
    </cfRule>
    <cfRule type="beginsWith" dxfId="90" priority="260" operator="beginsWith" text="R">
      <formula>LEFT(H43,1)="R"</formula>
    </cfRule>
    <cfRule type="expression" dxfId="89" priority="270">
      <formula>ISERROR(H43:H76)</formula>
    </cfRule>
    <cfRule type="beginsWith" dxfId="88" priority="287" operator="beginsWith" text="R">
      <formula>LEFT(H43,1)="R"</formula>
    </cfRule>
    <cfRule type="expression" dxfId="87" priority="334">
      <formula>ISERROR(H43:H72)</formula>
    </cfRule>
    <cfRule type="expression" dxfId="86" priority="336">
      <formula>ISERROR(H43:H62)</formula>
    </cfRule>
    <cfRule type="expression" dxfId="85" priority="337">
      <formula>ISERROR(H43:H67)</formula>
    </cfRule>
    <cfRule type="beginsWith" dxfId="84" priority="338" operator="beginsWith" text="R">
      <formula>LEFT(H43,1)="R"</formula>
    </cfRule>
    <cfRule type="expression" dxfId="83" priority="339">
      <formula>ISERROR(H43:H73)</formula>
    </cfRule>
  </conditionalFormatting>
  <conditionalFormatting sqref="H44">
    <cfRule type="expression" dxfId="82" priority="227">
      <formula>ISERROR(H44:H67)</formula>
    </cfRule>
    <cfRule type="expression" dxfId="81" priority="228">
      <formula>ISERROR(H44:H87)</formula>
    </cfRule>
    <cfRule type="beginsWith" dxfId="80" priority="229" operator="beginsWith" text="R">
      <formula>LEFT(H44,1)="R"</formula>
    </cfRule>
    <cfRule type="expression" dxfId="79" priority="230">
      <formula>ISERROR(H44:H71)</formula>
    </cfRule>
    <cfRule type="beginsWith" dxfId="78" priority="231" operator="beginsWith" text="R">
      <formula>LEFT(H44,1)="R"</formula>
    </cfRule>
    <cfRule type="expression" dxfId="77" priority="232">
      <formula>ISERROR(H44:H71)</formula>
    </cfRule>
    <cfRule type="beginsWith" dxfId="76" priority="233" operator="beginsWith" text="R">
      <formula>LEFT(H44,1)="R"</formula>
    </cfRule>
    <cfRule type="expression" dxfId="75" priority="234">
      <formula>ISERROR(H44:H73)</formula>
    </cfRule>
    <cfRule type="beginsWith" dxfId="74" priority="235" operator="beginsWith" text="R">
      <formula>LEFT(H44,1)="R"</formula>
    </cfRule>
    <cfRule type="expression" dxfId="73" priority="236">
      <formula>ISERROR(H44:H71)</formula>
    </cfRule>
    <cfRule type="beginsWith" dxfId="72" priority="237" operator="beginsWith" text="R">
      <formula>LEFT(H44,1)="R"</formula>
    </cfRule>
    <cfRule type="expression" dxfId="71" priority="238">
      <formula>ISERROR(H44:H69)</formula>
    </cfRule>
    <cfRule type="beginsWith" dxfId="70" priority="239" operator="beginsWith" text="R">
      <formula>LEFT(H44,1)="R"</formula>
    </cfRule>
    <cfRule type="expression" dxfId="69" priority="240">
      <formula>ISERROR(H44:H70)</formula>
    </cfRule>
    <cfRule type="expression" dxfId="68" priority="241">
      <formula>ISERROR(H44:H80)</formula>
    </cfRule>
    <cfRule type="beginsWith" dxfId="67" priority="242" operator="beginsWith" text="R">
      <formula>LEFT(H44,1)="R"</formula>
    </cfRule>
    <cfRule type="expression" dxfId="66" priority="244">
      <formula>ISERROR(H44:H72)</formula>
    </cfRule>
    <cfRule type="expression" dxfId="65" priority="245">
      <formula>ISERROR(H44:H71)</formula>
    </cfRule>
    <cfRule type="expression" dxfId="64" priority="246">
      <formula>ISERROR(H44:H76)</formula>
    </cfRule>
    <cfRule type="beginsWith" dxfId="63" priority="247" operator="beginsWith" text="R">
      <formula>LEFT(H44,1)="R"</formula>
    </cfRule>
    <cfRule type="expression" dxfId="62" priority="248">
      <formula>ISERROR(H44:H86)</formula>
    </cfRule>
    <cfRule type="expression" dxfId="61" priority="249">
      <formula>ISERROR(H44:H84)</formula>
    </cfRule>
    <cfRule type="beginsWith" dxfId="60" priority="250" operator="beginsWith" text="R">
      <formula>LEFT(H44,1)="R"</formula>
    </cfRule>
    <cfRule type="expression" dxfId="59" priority="251">
      <formula>ISERROR(H44:H83)</formula>
    </cfRule>
    <cfRule type="beginsWith" dxfId="58" priority="252" operator="beginsWith" text="R">
      <formula>LEFT(H44,1)="R"</formula>
    </cfRule>
    <cfRule type="expression" dxfId="57" priority="253">
      <formula>ISERROR(H44:H81)</formula>
    </cfRule>
    <cfRule type="beginsWith" dxfId="56" priority="254" operator="beginsWith" text="R">
      <formula>LEFT(H44,1)="R"</formula>
    </cfRule>
    <cfRule type="expression" dxfId="55" priority="255">
      <formula>ISERROR(H44:H82)</formula>
    </cfRule>
    <cfRule type="beginsWith" dxfId="54" priority="256" operator="beginsWith" text="R">
      <formula>LEFT(H44,1)="R"</formula>
    </cfRule>
    <cfRule type="expression" dxfId="53" priority="257">
      <formula>ISERROR(H44:H85)</formula>
    </cfRule>
    <cfRule type="expression" dxfId="52" priority="258">
      <formula>ISERROR(H44:H71)</formula>
    </cfRule>
    <cfRule type="expression" dxfId="51" priority="259">
      <formula>ISERROR(H44:H79)</formula>
    </cfRule>
    <cfRule type="expression" dxfId="50" priority="261">
      <formula>ISERROR(H44:H78)</formula>
    </cfRule>
    <cfRule type="expression" dxfId="49" priority="262">
      <formula>ISERROR(H44:H76)</formula>
    </cfRule>
    <cfRule type="expression" dxfId="48" priority="291">
      <formula>ISERROR(H44:H86)</formula>
    </cfRule>
    <cfRule type="expression" dxfId="47" priority="292">
      <formula>ISERROR(H44:H84)</formula>
    </cfRule>
    <cfRule type="beginsWith" dxfId="46" priority="293" operator="beginsWith" text="R">
      <formula>LEFT(H44,1)="R"</formula>
    </cfRule>
    <cfRule type="expression" dxfId="45" priority="294">
      <formula>ISERROR(H44:H83)</formula>
    </cfRule>
    <cfRule type="beginsWith" dxfId="44" priority="295" operator="beginsWith" text="R">
      <formula>LEFT(H44,1)="R"</formula>
    </cfRule>
    <cfRule type="expression" dxfId="43" priority="296">
      <formula>ISERROR(H44:H77)</formula>
    </cfRule>
    <cfRule type="expression" dxfId="42" priority="297">
      <formula>ISERROR(H44:H72)</formula>
    </cfRule>
    <cfRule type="expression" dxfId="41" priority="298">
      <formula>ISERROR(H44:H71)</formula>
    </cfRule>
    <cfRule type="expression" dxfId="40" priority="299">
      <formula>ISERROR(H44:H74)</formula>
    </cfRule>
    <cfRule type="beginsWith" dxfId="39" priority="300" operator="beginsWith" text="R">
      <formula>LEFT(H44,1)="R"</formula>
    </cfRule>
    <cfRule type="expression" dxfId="38" priority="301">
      <formula>ISERROR(H44:H86)</formula>
    </cfRule>
    <cfRule type="expression" dxfId="37" priority="302">
      <formula>ISERROR(H44:H84)</formula>
    </cfRule>
    <cfRule type="beginsWith" dxfId="36" priority="303" operator="beginsWith" text="R">
      <formula>LEFT(H44,1)="R"</formula>
    </cfRule>
    <cfRule type="expression" dxfId="35" priority="304">
      <formula>ISERROR(H44:H83)</formula>
    </cfRule>
    <cfRule type="beginsWith" dxfId="34" priority="305" operator="beginsWith" text="R">
      <formula>LEFT(H44,1)="R"</formula>
    </cfRule>
    <cfRule type="expression" dxfId="33" priority="306">
      <formula>ISERROR(H44:H81)</formula>
    </cfRule>
    <cfRule type="beginsWith" dxfId="32" priority="307" operator="beginsWith" text="R">
      <formula>LEFT(H44,1)="R"</formula>
    </cfRule>
    <cfRule type="expression" dxfId="31" priority="308">
      <formula>ISERROR(H44:H82)</formula>
    </cfRule>
    <cfRule type="beginsWith" dxfId="30" priority="309" operator="beginsWith" text="R">
      <formula>LEFT(H44,1)="R"</formula>
    </cfRule>
    <cfRule type="expression" dxfId="29" priority="310">
      <formula>ISERROR(H44:H85)</formula>
    </cfRule>
    <cfRule type="expression" dxfId="28" priority="311">
      <formula>ISERROR(H44:H71)</formula>
    </cfRule>
    <cfRule type="expression" dxfId="27" priority="312">
      <formula>ISERROR(H44:H79)</formula>
    </cfRule>
    <cfRule type="beginsWith" dxfId="26" priority="313" operator="beginsWith" text="R">
      <formula>LEFT(H44,1)="R"</formula>
    </cfRule>
    <cfRule type="expression" dxfId="25" priority="314">
      <formula>ISERROR(H44:H78)</formula>
    </cfRule>
    <cfRule type="beginsWith" dxfId="24" priority="315" operator="beginsWith" text="R">
      <formula>LEFT(H44,1)="R"</formula>
    </cfRule>
    <cfRule type="expression" dxfId="23" priority="316">
      <formula>ISERROR(H44:H77)</formula>
    </cfRule>
    <cfRule type="expression" dxfId="22" priority="317">
      <formula>ISERROR(H44:H74)</formula>
    </cfRule>
    <cfRule type="expression" dxfId="21" priority="318">
      <formula>ISERROR(H44:H72)</formula>
    </cfRule>
    <cfRule type="expression" dxfId="20" priority="319">
      <formula>ISERROR(H44:H76)</formula>
    </cfRule>
    <cfRule type="beginsWith" dxfId="19" priority="320" operator="beginsWith" text="R">
      <formula>LEFT(H44,1)="R"</formula>
    </cfRule>
    <cfRule type="expression" dxfId="18" priority="321">
      <formula>ISERROR(H44:H86)</formula>
    </cfRule>
    <cfRule type="expression" dxfId="17" priority="322">
      <formula>ISERROR(H44:H84)</formula>
    </cfRule>
    <cfRule type="beginsWith" dxfId="16" priority="323" operator="beginsWith" text="R">
      <formula>LEFT(H44,1)="R"</formula>
    </cfRule>
    <cfRule type="expression" dxfId="15" priority="324">
      <formula>ISERROR(H44:H83)</formula>
    </cfRule>
    <cfRule type="beginsWith" dxfId="14" priority="325" operator="beginsWith" text="R">
      <formula>LEFT(H44,1)="R"</formula>
    </cfRule>
    <cfRule type="expression" dxfId="13" priority="326">
      <formula>ISERROR(H44:H81)</formula>
    </cfRule>
    <cfRule type="beginsWith" dxfId="12" priority="327" operator="beginsWith" text="R">
      <formula>LEFT(H44,1)="R"</formula>
    </cfRule>
    <cfRule type="expression" dxfId="11" priority="328">
      <formula>ISERROR(H44:H82)</formula>
    </cfRule>
    <cfRule type="beginsWith" dxfId="10" priority="329" operator="beginsWith" text="R">
      <formula>LEFT(H44,1)="R"</formula>
    </cfRule>
    <cfRule type="expression" dxfId="9" priority="330">
      <formula>ISERROR(H44:H85)</formula>
    </cfRule>
    <cfRule type="expression" dxfId="8" priority="331">
      <formula>ISERROR(H44:H71)</formula>
    </cfRule>
    <cfRule type="expression" dxfId="7" priority="332">
      <formula>ISERROR(H44:H79)</formula>
    </cfRule>
    <cfRule type="expression" dxfId="6" priority="333">
      <formula>ISERROR(H44:H78)</formula>
    </cfRule>
    <cfRule type="expression" dxfId="5" priority="335">
      <formula>ISERROR(H44:H64)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B4E58-6488-4B16-883D-7CC93CFA91F0}">
  <sheetPr codeName="Sheet4"/>
  <dimension ref="A1:J216"/>
  <sheetViews>
    <sheetView workbookViewId="0">
      <selection activeCell="B128" sqref="B128"/>
    </sheetView>
  </sheetViews>
  <sheetFormatPr defaultRowHeight="15" x14ac:dyDescent="0.25"/>
  <cols>
    <col min="1" max="1" width="23.140625" customWidth="1"/>
    <col min="2" max="2" width="31.5703125" style="54" customWidth="1"/>
    <col min="3" max="4" width="30.5703125" customWidth="1"/>
    <col min="5" max="5" width="20.7109375" customWidth="1"/>
    <col min="6" max="6" width="25" customWidth="1"/>
    <col min="7" max="7" width="20.42578125" customWidth="1"/>
    <col min="8" max="8" width="26.140625" customWidth="1"/>
    <col min="9" max="9" width="22.42578125" customWidth="1"/>
    <col min="10" max="10" width="34.42578125" customWidth="1"/>
  </cols>
  <sheetData>
    <row r="1" spans="1:10" x14ac:dyDescent="0.25">
      <c r="A1" s="36" t="s">
        <v>64</v>
      </c>
      <c r="B1" s="49" t="s">
        <v>65</v>
      </c>
      <c r="C1" s="37" t="s">
        <v>66</v>
      </c>
      <c r="D1" s="37" t="s">
        <v>530</v>
      </c>
      <c r="E1" s="37" t="s">
        <v>67</v>
      </c>
      <c r="F1" s="37" t="s">
        <v>68</v>
      </c>
      <c r="G1" s="37" t="s">
        <v>69</v>
      </c>
      <c r="H1" s="37" t="s">
        <v>70</v>
      </c>
      <c r="I1" s="37" t="s">
        <v>71</v>
      </c>
      <c r="J1" s="38" t="s">
        <v>72</v>
      </c>
    </row>
    <row r="2" spans="1:10" x14ac:dyDescent="0.25">
      <c r="A2" s="39" t="s">
        <v>73</v>
      </c>
      <c r="B2" s="50" t="s">
        <v>74</v>
      </c>
      <c r="C2" s="39" t="s">
        <v>75</v>
      </c>
      <c r="D2" s="39" t="str">
        <f t="shared" ref="D2:D48" si="0">A2 &amp; " (" &amp; C2 &amp; ")"</f>
        <v>Thread Plug Gauge (S-2121-2)</v>
      </c>
      <c r="E2" s="39" t="s">
        <v>76</v>
      </c>
      <c r="F2" s="39" t="s">
        <v>77</v>
      </c>
      <c r="G2" s="40">
        <v>43847</v>
      </c>
      <c r="H2" s="41">
        <v>1827</v>
      </c>
      <c r="I2" s="40">
        <f t="shared" ref="I2:I65" si="1">IF(G2="","",G2+H2)</f>
        <v>45674</v>
      </c>
      <c r="J2" s="42" t="s">
        <v>78</v>
      </c>
    </row>
    <row r="3" spans="1:10" x14ac:dyDescent="0.25">
      <c r="A3" s="39" t="s">
        <v>73</v>
      </c>
      <c r="B3" s="50" t="s">
        <v>79</v>
      </c>
      <c r="C3" s="39" t="s">
        <v>80</v>
      </c>
      <c r="D3" s="39" t="str">
        <f t="shared" si="0"/>
        <v>Thread Plug Gauge (S-2121-3)</v>
      </c>
      <c r="E3" s="39" t="s">
        <v>76</v>
      </c>
      <c r="F3" s="39" t="s">
        <v>77</v>
      </c>
      <c r="G3" s="40">
        <v>43847</v>
      </c>
      <c r="H3" s="41">
        <v>1827</v>
      </c>
      <c r="I3" s="43">
        <f t="shared" si="1"/>
        <v>45674</v>
      </c>
      <c r="J3" s="42" t="s">
        <v>78</v>
      </c>
    </row>
    <row r="4" spans="1:10" x14ac:dyDescent="0.25">
      <c r="A4" s="39" t="s">
        <v>73</v>
      </c>
      <c r="B4" s="50" t="s">
        <v>81</v>
      </c>
      <c r="C4" s="39" t="s">
        <v>82</v>
      </c>
      <c r="D4" s="39" t="str">
        <f t="shared" si="0"/>
        <v>Thread Plug Gauge (S-1212)</v>
      </c>
      <c r="E4" s="39" t="s">
        <v>76</v>
      </c>
      <c r="F4" s="39" t="s">
        <v>77</v>
      </c>
      <c r="G4" s="40">
        <v>43847</v>
      </c>
      <c r="H4" s="41">
        <v>1827</v>
      </c>
      <c r="I4" s="43">
        <f t="shared" si="1"/>
        <v>45674</v>
      </c>
      <c r="J4" s="42" t="s">
        <v>78</v>
      </c>
    </row>
    <row r="5" spans="1:10" x14ac:dyDescent="0.25">
      <c r="A5" s="39" t="s">
        <v>73</v>
      </c>
      <c r="B5" s="50" t="s">
        <v>83</v>
      </c>
      <c r="C5" s="39" t="s">
        <v>84</v>
      </c>
      <c r="D5" s="39" t="str">
        <f t="shared" si="0"/>
        <v>Thread Plug Gauge (S-2154)</v>
      </c>
      <c r="E5" s="39" t="s">
        <v>76</v>
      </c>
      <c r="F5" s="39" t="s">
        <v>77</v>
      </c>
      <c r="G5" s="40">
        <v>43847</v>
      </c>
      <c r="H5" s="41">
        <v>1827</v>
      </c>
      <c r="I5" s="40">
        <f t="shared" si="1"/>
        <v>45674</v>
      </c>
      <c r="J5" s="42" t="s">
        <v>78</v>
      </c>
    </row>
    <row r="6" spans="1:10" x14ac:dyDescent="0.25">
      <c r="A6" s="39" t="s">
        <v>73</v>
      </c>
      <c r="B6" s="50" t="s">
        <v>85</v>
      </c>
      <c r="C6" s="39" t="s">
        <v>86</v>
      </c>
      <c r="D6" s="39" t="str">
        <f t="shared" si="0"/>
        <v>Thread Plug Gauge (S-2093-1)</v>
      </c>
      <c r="E6" s="39" t="s">
        <v>76</v>
      </c>
      <c r="F6" s="39" t="s">
        <v>77</v>
      </c>
      <c r="G6" s="40">
        <v>43847</v>
      </c>
      <c r="H6" s="41">
        <v>1827</v>
      </c>
      <c r="I6" s="40">
        <f t="shared" si="1"/>
        <v>45674</v>
      </c>
      <c r="J6" s="42" t="s">
        <v>78</v>
      </c>
    </row>
    <row r="7" spans="1:10" x14ac:dyDescent="0.25">
      <c r="A7" s="39" t="s">
        <v>73</v>
      </c>
      <c r="B7" s="50" t="s">
        <v>87</v>
      </c>
      <c r="C7" s="39" t="s">
        <v>88</v>
      </c>
      <c r="D7" s="39" t="str">
        <f t="shared" si="0"/>
        <v>Thread Plug Gauge (S-2093-33)</v>
      </c>
      <c r="E7" s="39" t="s">
        <v>76</v>
      </c>
      <c r="F7" s="39" t="s">
        <v>77</v>
      </c>
      <c r="G7" s="40">
        <v>43847</v>
      </c>
      <c r="H7" s="41">
        <v>1827</v>
      </c>
      <c r="I7" s="40">
        <f t="shared" si="1"/>
        <v>45674</v>
      </c>
      <c r="J7" s="42" t="s">
        <v>78</v>
      </c>
    </row>
    <row r="8" spans="1:10" x14ac:dyDescent="0.25">
      <c r="A8" s="39" t="s">
        <v>73</v>
      </c>
      <c r="B8" s="50" t="s">
        <v>89</v>
      </c>
      <c r="C8" s="39" t="s">
        <v>90</v>
      </c>
      <c r="D8" s="39" t="str">
        <f t="shared" si="0"/>
        <v>Thread Plug Gauge (S-2121-8)</v>
      </c>
      <c r="E8" s="39" t="s">
        <v>76</v>
      </c>
      <c r="F8" s="39" t="s">
        <v>77</v>
      </c>
      <c r="G8" s="40">
        <v>43851</v>
      </c>
      <c r="H8" s="41">
        <v>1827</v>
      </c>
      <c r="I8" s="40">
        <f t="shared" si="1"/>
        <v>45678</v>
      </c>
      <c r="J8" s="42" t="s">
        <v>78</v>
      </c>
    </row>
    <row r="9" spans="1:10" x14ac:dyDescent="0.25">
      <c r="A9" s="39" t="s">
        <v>73</v>
      </c>
      <c r="B9" s="50" t="s">
        <v>91</v>
      </c>
      <c r="C9" s="39" t="s">
        <v>92</v>
      </c>
      <c r="D9" s="39" t="str">
        <f t="shared" si="0"/>
        <v>Thread Plug Gauge (S-2121-10)</v>
      </c>
      <c r="E9" s="39" t="s">
        <v>76</v>
      </c>
      <c r="F9" s="39" t="s">
        <v>77</v>
      </c>
      <c r="G9" s="40">
        <v>43851</v>
      </c>
      <c r="H9" s="41">
        <v>1827</v>
      </c>
      <c r="I9" s="40">
        <f t="shared" si="1"/>
        <v>45678</v>
      </c>
      <c r="J9" s="42" t="s">
        <v>78</v>
      </c>
    </row>
    <row r="10" spans="1:10" x14ac:dyDescent="0.25">
      <c r="A10" s="39" t="s">
        <v>73</v>
      </c>
      <c r="B10" s="50" t="s">
        <v>93</v>
      </c>
      <c r="C10" s="44" t="s">
        <v>94</v>
      </c>
      <c r="D10" s="39" t="str">
        <f t="shared" si="0"/>
        <v>Thread Plug Gauge (S-2093-5)</v>
      </c>
      <c r="E10" s="39" t="s">
        <v>76</v>
      </c>
      <c r="F10" s="39" t="s">
        <v>77</v>
      </c>
      <c r="G10" s="40">
        <v>43851</v>
      </c>
      <c r="H10" s="41">
        <v>1827</v>
      </c>
      <c r="I10" s="40">
        <f t="shared" si="1"/>
        <v>45678</v>
      </c>
      <c r="J10" s="42" t="s">
        <v>78</v>
      </c>
    </row>
    <row r="11" spans="1:10" x14ac:dyDescent="0.25">
      <c r="A11" s="39" t="s">
        <v>73</v>
      </c>
      <c r="B11" s="50" t="s">
        <v>95</v>
      </c>
      <c r="C11" s="39" t="s">
        <v>96</v>
      </c>
      <c r="D11" s="39" t="str">
        <f t="shared" si="0"/>
        <v>Thread Plug Gauge (S-2093-4)</v>
      </c>
      <c r="E11" s="39" t="s">
        <v>76</v>
      </c>
      <c r="F11" s="39" t="s">
        <v>77</v>
      </c>
      <c r="G11" s="40">
        <v>43851</v>
      </c>
      <c r="H11" s="41">
        <v>1827</v>
      </c>
      <c r="I11" s="40">
        <f t="shared" si="1"/>
        <v>45678</v>
      </c>
      <c r="J11" s="42" t="s">
        <v>78</v>
      </c>
    </row>
    <row r="12" spans="1:10" x14ac:dyDescent="0.25">
      <c r="A12" s="39" t="s">
        <v>73</v>
      </c>
      <c r="B12" s="50" t="s">
        <v>97</v>
      </c>
      <c r="C12" s="39" t="s">
        <v>98</v>
      </c>
      <c r="D12" s="39" t="str">
        <f t="shared" si="0"/>
        <v>Thread Plug Gauge (S-2121-4)</v>
      </c>
      <c r="E12" s="39" t="s">
        <v>76</v>
      </c>
      <c r="F12" s="39" t="s">
        <v>77</v>
      </c>
      <c r="G12" s="40">
        <v>43851</v>
      </c>
      <c r="H12" s="41">
        <v>1827</v>
      </c>
      <c r="I12" s="40">
        <f t="shared" si="1"/>
        <v>45678</v>
      </c>
      <c r="J12" s="42" t="s">
        <v>78</v>
      </c>
    </row>
    <row r="13" spans="1:10" x14ac:dyDescent="0.25">
      <c r="A13" s="39" t="s">
        <v>73</v>
      </c>
      <c r="B13" s="50" t="s">
        <v>99</v>
      </c>
      <c r="C13" s="44" t="s">
        <v>100</v>
      </c>
      <c r="D13" s="39" t="str">
        <f t="shared" si="0"/>
        <v>Thread Plug Gauge (S-2093-6)</v>
      </c>
      <c r="E13" s="39" t="s">
        <v>76</v>
      </c>
      <c r="F13" s="39" t="s">
        <v>77</v>
      </c>
      <c r="G13" s="40">
        <v>43851</v>
      </c>
      <c r="H13" s="41">
        <v>1827</v>
      </c>
      <c r="I13" s="40">
        <f t="shared" si="1"/>
        <v>45678</v>
      </c>
      <c r="J13" s="42" t="s">
        <v>78</v>
      </c>
    </row>
    <row r="14" spans="1:10" x14ac:dyDescent="0.25">
      <c r="A14" s="39" t="s">
        <v>73</v>
      </c>
      <c r="B14" s="50" t="s">
        <v>101</v>
      </c>
      <c r="C14" s="39" t="s">
        <v>102</v>
      </c>
      <c r="D14" s="39" t="str">
        <f t="shared" si="0"/>
        <v>Thread Plug Gauge (S-2121-5)</v>
      </c>
      <c r="E14" s="39" t="s">
        <v>76</v>
      </c>
      <c r="F14" s="39" t="s">
        <v>77</v>
      </c>
      <c r="G14" s="40">
        <v>43851</v>
      </c>
      <c r="H14" s="41">
        <v>1827</v>
      </c>
      <c r="I14" s="40">
        <f t="shared" si="1"/>
        <v>45678</v>
      </c>
      <c r="J14" s="42" t="s">
        <v>78</v>
      </c>
    </row>
    <row r="15" spans="1:10" x14ac:dyDescent="0.25">
      <c r="A15" s="39" t="s">
        <v>73</v>
      </c>
      <c r="B15" s="50" t="s">
        <v>103</v>
      </c>
      <c r="C15" s="39" t="s">
        <v>104</v>
      </c>
      <c r="D15" s="39" t="str">
        <f t="shared" si="0"/>
        <v>Thread Plug Gauge (S-2121-16)</v>
      </c>
      <c r="E15" s="39" t="s">
        <v>76</v>
      </c>
      <c r="F15" s="39" t="s">
        <v>77</v>
      </c>
      <c r="G15" s="40">
        <v>43852</v>
      </c>
      <c r="H15" s="41">
        <v>1827</v>
      </c>
      <c r="I15" s="40">
        <f t="shared" si="1"/>
        <v>45679</v>
      </c>
      <c r="J15" s="42" t="s">
        <v>78</v>
      </c>
    </row>
    <row r="16" spans="1:10" x14ac:dyDescent="0.25">
      <c r="A16" s="39" t="s">
        <v>73</v>
      </c>
      <c r="B16" s="50" t="s">
        <v>105</v>
      </c>
      <c r="C16" s="39" t="s">
        <v>106</v>
      </c>
      <c r="D16" s="39" t="str">
        <f t="shared" si="0"/>
        <v>Thread Plug Gauge (S-2093-32)</v>
      </c>
      <c r="E16" s="39" t="s">
        <v>76</v>
      </c>
      <c r="F16" s="39" t="s">
        <v>77</v>
      </c>
      <c r="G16" s="40">
        <v>43852</v>
      </c>
      <c r="H16" s="41">
        <v>1827</v>
      </c>
      <c r="I16" s="40">
        <f t="shared" si="1"/>
        <v>45679</v>
      </c>
      <c r="J16" s="42" t="s">
        <v>78</v>
      </c>
    </row>
    <row r="17" spans="1:10" x14ac:dyDescent="0.25">
      <c r="A17" s="39" t="s">
        <v>73</v>
      </c>
      <c r="B17" s="50" t="s">
        <v>107</v>
      </c>
      <c r="C17" s="39" t="s">
        <v>108</v>
      </c>
      <c r="D17" s="39" t="str">
        <f t="shared" si="0"/>
        <v>Thread Plug Gauge (S-2121-6)</v>
      </c>
      <c r="E17" s="39" t="s">
        <v>76</v>
      </c>
      <c r="F17" s="39" t="s">
        <v>77</v>
      </c>
      <c r="G17" s="40">
        <v>43852</v>
      </c>
      <c r="H17" s="41">
        <v>1827</v>
      </c>
      <c r="I17" s="40">
        <f t="shared" si="1"/>
        <v>45679</v>
      </c>
      <c r="J17" s="42" t="s">
        <v>78</v>
      </c>
    </row>
    <row r="18" spans="1:10" x14ac:dyDescent="0.25">
      <c r="A18" s="39" t="s">
        <v>73</v>
      </c>
      <c r="B18" s="50" t="s">
        <v>109</v>
      </c>
      <c r="C18" s="39" t="s">
        <v>110</v>
      </c>
      <c r="D18" s="39" t="str">
        <f t="shared" si="0"/>
        <v>Thread Plug Gauge (S-2121-15)</v>
      </c>
      <c r="E18" s="39" t="s">
        <v>76</v>
      </c>
      <c r="F18" s="39" t="s">
        <v>77</v>
      </c>
      <c r="G18" s="40">
        <v>43852</v>
      </c>
      <c r="H18" s="41">
        <v>1827</v>
      </c>
      <c r="I18" s="40">
        <f t="shared" si="1"/>
        <v>45679</v>
      </c>
      <c r="J18" s="42" t="s">
        <v>78</v>
      </c>
    </row>
    <row r="19" spans="1:10" x14ac:dyDescent="0.25">
      <c r="A19" s="39" t="s">
        <v>73</v>
      </c>
      <c r="B19" s="50" t="s">
        <v>111</v>
      </c>
      <c r="C19" s="39" t="s">
        <v>112</v>
      </c>
      <c r="D19" s="39" t="str">
        <f t="shared" si="0"/>
        <v>Thread Plug Gauge (S-2121-1)</v>
      </c>
      <c r="E19" s="39" t="s">
        <v>76</v>
      </c>
      <c r="F19" s="39" t="s">
        <v>77</v>
      </c>
      <c r="G19" s="40">
        <v>43852</v>
      </c>
      <c r="H19" s="41">
        <v>1827</v>
      </c>
      <c r="I19" s="40">
        <f t="shared" si="1"/>
        <v>45679</v>
      </c>
      <c r="J19" s="42" t="s">
        <v>78</v>
      </c>
    </row>
    <row r="20" spans="1:10" x14ac:dyDescent="0.25">
      <c r="A20" s="39" t="s">
        <v>73</v>
      </c>
      <c r="B20" s="50" t="s">
        <v>113</v>
      </c>
      <c r="C20" s="39" t="s">
        <v>114</v>
      </c>
      <c r="D20" s="39" t="str">
        <f t="shared" si="0"/>
        <v>Thread Plug Gauge (S-2117-1)</v>
      </c>
      <c r="E20" s="39" t="s">
        <v>76</v>
      </c>
      <c r="F20" s="39" t="s">
        <v>77</v>
      </c>
      <c r="G20" s="40">
        <v>43852</v>
      </c>
      <c r="H20" s="41">
        <v>1827</v>
      </c>
      <c r="I20" s="40">
        <f t="shared" si="1"/>
        <v>45679</v>
      </c>
      <c r="J20" s="42" t="s">
        <v>78</v>
      </c>
    </row>
    <row r="21" spans="1:10" x14ac:dyDescent="0.25">
      <c r="A21" s="39" t="s">
        <v>73</v>
      </c>
      <c r="B21" s="50" t="s">
        <v>115</v>
      </c>
      <c r="C21" s="39" t="s">
        <v>116</v>
      </c>
      <c r="D21" s="39" t="str">
        <f t="shared" si="0"/>
        <v>Thread Plug Gauge (S-2117-2)</v>
      </c>
      <c r="E21" s="39" t="s">
        <v>76</v>
      </c>
      <c r="F21" s="39" t="s">
        <v>77</v>
      </c>
      <c r="G21" s="40">
        <v>43852</v>
      </c>
      <c r="H21" s="41">
        <v>1827</v>
      </c>
      <c r="I21" s="40">
        <f t="shared" si="1"/>
        <v>45679</v>
      </c>
      <c r="J21" s="42" t="s">
        <v>78</v>
      </c>
    </row>
    <row r="22" spans="1:10" x14ac:dyDescent="0.25">
      <c r="A22" s="39" t="s">
        <v>73</v>
      </c>
      <c r="B22" s="50" t="s">
        <v>117</v>
      </c>
      <c r="C22" s="39" t="s">
        <v>118</v>
      </c>
      <c r="D22" s="39" t="str">
        <f t="shared" si="0"/>
        <v>Thread Plug Gauge (S-2117-3)</v>
      </c>
      <c r="E22" s="39" t="s">
        <v>76</v>
      </c>
      <c r="F22" s="39" t="s">
        <v>77</v>
      </c>
      <c r="G22" s="40">
        <v>43852</v>
      </c>
      <c r="H22" s="41">
        <v>1827</v>
      </c>
      <c r="I22" s="40">
        <f t="shared" si="1"/>
        <v>45679</v>
      </c>
      <c r="J22" s="42" t="s">
        <v>78</v>
      </c>
    </row>
    <row r="23" spans="1:10" x14ac:dyDescent="0.25">
      <c r="A23" s="39" t="s">
        <v>73</v>
      </c>
      <c r="B23" s="50" t="s">
        <v>119</v>
      </c>
      <c r="C23" s="39" t="s">
        <v>120</v>
      </c>
      <c r="D23" s="39" t="str">
        <f t="shared" si="0"/>
        <v>Thread Plug Gauge (S-2117-9)</v>
      </c>
      <c r="E23" s="39" t="s">
        <v>76</v>
      </c>
      <c r="F23" s="39" t="s">
        <v>77</v>
      </c>
      <c r="G23" s="40">
        <v>43852</v>
      </c>
      <c r="H23" s="41">
        <v>1827</v>
      </c>
      <c r="I23" s="40">
        <f t="shared" si="1"/>
        <v>45679</v>
      </c>
      <c r="J23" s="42" t="s">
        <v>78</v>
      </c>
    </row>
    <row r="24" spans="1:10" x14ac:dyDescent="0.25">
      <c r="A24" s="39" t="s">
        <v>73</v>
      </c>
      <c r="B24" s="50" t="s">
        <v>121</v>
      </c>
      <c r="C24" s="39" t="s">
        <v>122</v>
      </c>
      <c r="D24" s="39" t="str">
        <f t="shared" si="0"/>
        <v>Thread Plug Gauge (S-2117-4)</v>
      </c>
      <c r="E24" s="39" t="s">
        <v>76</v>
      </c>
      <c r="F24" s="39" t="s">
        <v>77</v>
      </c>
      <c r="G24" s="40">
        <v>43852</v>
      </c>
      <c r="H24" s="41">
        <v>1827</v>
      </c>
      <c r="I24" s="40">
        <f t="shared" si="1"/>
        <v>45679</v>
      </c>
      <c r="J24" s="42" t="s">
        <v>78</v>
      </c>
    </row>
    <row r="25" spans="1:10" x14ac:dyDescent="0.25">
      <c r="A25" s="39" t="s">
        <v>73</v>
      </c>
      <c r="B25" s="50" t="s">
        <v>123</v>
      </c>
      <c r="C25" s="39" t="s">
        <v>124</v>
      </c>
      <c r="D25" s="39" t="str">
        <f t="shared" si="0"/>
        <v>Thread Plug Gauge (S-2121-20)</v>
      </c>
      <c r="E25" s="39" t="s">
        <v>76</v>
      </c>
      <c r="F25" s="39" t="s">
        <v>77</v>
      </c>
      <c r="G25" s="40">
        <v>43853</v>
      </c>
      <c r="H25" s="41">
        <v>1827</v>
      </c>
      <c r="I25" s="40">
        <f t="shared" si="1"/>
        <v>45680</v>
      </c>
      <c r="J25" s="42" t="s">
        <v>78</v>
      </c>
    </row>
    <row r="26" spans="1:10" x14ac:dyDescent="0.25">
      <c r="A26" s="39" t="s">
        <v>73</v>
      </c>
      <c r="B26" s="50" t="s">
        <v>125</v>
      </c>
      <c r="C26" s="44" t="s">
        <v>126</v>
      </c>
      <c r="D26" s="39" t="str">
        <f t="shared" si="0"/>
        <v>Thread Plug Gauge (S-2093-35)</v>
      </c>
      <c r="E26" s="39" t="s">
        <v>76</v>
      </c>
      <c r="F26" s="39" t="s">
        <v>77</v>
      </c>
      <c r="G26" s="40">
        <v>43853</v>
      </c>
      <c r="H26" s="41">
        <v>1827</v>
      </c>
      <c r="I26" s="40">
        <f t="shared" si="1"/>
        <v>45680</v>
      </c>
      <c r="J26" s="42" t="s">
        <v>78</v>
      </c>
    </row>
    <row r="27" spans="1:10" x14ac:dyDescent="0.25">
      <c r="A27" s="39" t="s">
        <v>73</v>
      </c>
      <c r="B27" s="50" t="s">
        <v>127</v>
      </c>
      <c r="C27" s="39" t="s">
        <v>128</v>
      </c>
      <c r="D27" s="39" t="str">
        <f t="shared" si="0"/>
        <v>Thread Plug Gauge (S-2155-4)</v>
      </c>
      <c r="E27" s="39" t="s">
        <v>76</v>
      </c>
      <c r="F27" s="39" t="s">
        <v>77</v>
      </c>
      <c r="G27" s="40">
        <v>43854</v>
      </c>
      <c r="H27" s="41">
        <v>1827</v>
      </c>
      <c r="I27" s="40">
        <f t="shared" si="1"/>
        <v>45681</v>
      </c>
      <c r="J27" s="42" t="s">
        <v>78</v>
      </c>
    </row>
    <row r="28" spans="1:10" x14ac:dyDescent="0.25">
      <c r="A28" s="45" t="s">
        <v>73</v>
      </c>
      <c r="B28" s="51" t="s">
        <v>129</v>
      </c>
      <c r="C28" s="45" t="s">
        <v>130</v>
      </c>
      <c r="D28" s="39" t="str">
        <f t="shared" si="0"/>
        <v>Thread Plug Gauge (S-2155-5)</v>
      </c>
      <c r="E28" s="45" t="s">
        <v>76</v>
      </c>
      <c r="F28" s="45" t="s">
        <v>77</v>
      </c>
      <c r="G28" s="40">
        <v>43854</v>
      </c>
      <c r="H28" s="46">
        <v>1827</v>
      </c>
      <c r="I28" s="40">
        <f t="shared" si="1"/>
        <v>45681</v>
      </c>
      <c r="J28" s="42" t="s">
        <v>78</v>
      </c>
    </row>
    <row r="29" spans="1:10" x14ac:dyDescent="0.25">
      <c r="A29" s="39" t="s">
        <v>73</v>
      </c>
      <c r="B29" s="50" t="s">
        <v>131</v>
      </c>
      <c r="C29" s="39" t="s">
        <v>132</v>
      </c>
      <c r="D29" s="39" t="str">
        <f t="shared" si="0"/>
        <v>Thread Plug Gauge (S-2155-6)</v>
      </c>
      <c r="E29" s="39" t="s">
        <v>76</v>
      </c>
      <c r="F29" s="39" t="s">
        <v>77</v>
      </c>
      <c r="G29" s="40">
        <v>43854</v>
      </c>
      <c r="H29" s="41">
        <v>1827</v>
      </c>
      <c r="I29" s="40">
        <f t="shared" si="1"/>
        <v>45681</v>
      </c>
      <c r="J29" s="42" t="s">
        <v>78</v>
      </c>
    </row>
    <row r="30" spans="1:10" x14ac:dyDescent="0.25">
      <c r="A30" s="39" t="s">
        <v>73</v>
      </c>
      <c r="B30" s="50" t="s">
        <v>133</v>
      </c>
      <c r="C30" s="39" t="s">
        <v>134</v>
      </c>
      <c r="D30" s="39" t="str">
        <f t="shared" si="0"/>
        <v>Thread Plug Gauge (S-2155-7)</v>
      </c>
      <c r="E30" s="39" t="s">
        <v>76</v>
      </c>
      <c r="F30" s="39" t="s">
        <v>77</v>
      </c>
      <c r="G30" s="40">
        <v>43854</v>
      </c>
      <c r="H30" s="41">
        <v>1827</v>
      </c>
      <c r="I30" s="40">
        <f t="shared" si="1"/>
        <v>45681</v>
      </c>
      <c r="J30" s="42" t="s">
        <v>78</v>
      </c>
    </row>
    <row r="31" spans="1:10" x14ac:dyDescent="0.25">
      <c r="A31" s="39" t="s">
        <v>73</v>
      </c>
      <c r="B31" s="50" t="s">
        <v>135</v>
      </c>
      <c r="C31" s="39" t="s">
        <v>136</v>
      </c>
      <c r="D31" s="39" t="str">
        <f t="shared" si="0"/>
        <v>Thread Plug Gauge (S-2155-8)</v>
      </c>
      <c r="E31" s="39" t="s">
        <v>76</v>
      </c>
      <c r="F31" s="39" t="s">
        <v>77</v>
      </c>
      <c r="G31" s="40">
        <v>43854</v>
      </c>
      <c r="H31" s="41">
        <v>1827</v>
      </c>
      <c r="I31" s="40">
        <f t="shared" si="1"/>
        <v>45681</v>
      </c>
      <c r="J31" s="42" t="s">
        <v>78</v>
      </c>
    </row>
    <row r="32" spans="1:10" x14ac:dyDescent="0.25">
      <c r="A32" s="39" t="s">
        <v>73</v>
      </c>
      <c r="B32" s="50" t="s">
        <v>91</v>
      </c>
      <c r="C32" s="39" t="s">
        <v>137</v>
      </c>
      <c r="D32" s="39" t="str">
        <f t="shared" si="0"/>
        <v>Thread Plug Gauge (S-2059-10)</v>
      </c>
      <c r="E32" s="39" t="s">
        <v>76</v>
      </c>
      <c r="F32" s="39" t="s">
        <v>77</v>
      </c>
      <c r="G32" s="40">
        <v>43854</v>
      </c>
      <c r="H32" s="41">
        <v>1827</v>
      </c>
      <c r="I32" s="40">
        <f t="shared" si="1"/>
        <v>45681</v>
      </c>
      <c r="J32" s="42" t="s">
        <v>78</v>
      </c>
    </row>
    <row r="33" spans="1:10" x14ac:dyDescent="0.25">
      <c r="A33" s="39" t="s">
        <v>73</v>
      </c>
      <c r="B33" s="50" t="s">
        <v>138</v>
      </c>
      <c r="C33" s="39" t="s">
        <v>139</v>
      </c>
      <c r="D33" s="39" t="str">
        <f t="shared" si="0"/>
        <v>Thread Plug Gauge (S-2093-15)</v>
      </c>
      <c r="E33" s="39" t="s">
        <v>76</v>
      </c>
      <c r="F33" s="39" t="s">
        <v>77</v>
      </c>
      <c r="G33" s="40">
        <v>43854</v>
      </c>
      <c r="H33" s="41">
        <v>1827</v>
      </c>
      <c r="I33" s="40">
        <f t="shared" si="1"/>
        <v>45681</v>
      </c>
      <c r="J33" s="42" t="s">
        <v>78</v>
      </c>
    </row>
    <row r="34" spans="1:10" x14ac:dyDescent="0.25">
      <c r="A34" s="39" t="s">
        <v>73</v>
      </c>
      <c r="B34" s="50" t="s">
        <v>140</v>
      </c>
      <c r="C34" s="39" t="s">
        <v>141</v>
      </c>
      <c r="D34" s="39" t="str">
        <f t="shared" si="0"/>
        <v>Thread Plug Gauge (S-2121-22)</v>
      </c>
      <c r="E34" s="39" t="s">
        <v>76</v>
      </c>
      <c r="F34" s="39" t="s">
        <v>77</v>
      </c>
      <c r="G34" s="40">
        <v>43854</v>
      </c>
      <c r="H34" s="41">
        <v>1827</v>
      </c>
      <c r="I34" s="40">
        <f t="shared" si="1"/>
        <v>45681</v>
      </c>
      <c r="J34" s="42" t="s">
        <v>78</v>
      </c>
    </row>
    <row r="35" spans="1:10" x14ac:dyDescent="0.25">
      <c r="A35" s="39" t="s">
        <v>73</v>
      </c>
      <c r="B35" s="50" t="s">
        <v>142</v>
      </c>
      <c r="C35" s="39" t="s">
        <v>143</v>
      </c>
      <c r="D35" s="39" t="str">
        <f t="shared" si="0"/>
        <v>Thread Plug Gauge (S-2093-14)</v>
      </c>
      <c r="E35" s="39" t="s">
        <v>76</v>
      </c>
      <c r="F35" s="39" t="s">
        <v>77</v>
      </c>
      <c r="G35" s="40">
        <v>43854</v>
      </c>
      <c r="H35" s="41">
        <v>1827</v>
      </c>
      <c r="I35" s="40">
        <f t="shared" si="1"/>
        <v>45681</v>
      </c>
      <c r="J35" s="42" t="s">
        <v>78</v>
      </c>
    </row>
    <row r="36" spans="1:10" x14ac:dyDescent="0.25">
      <c r="A36" s="39" t="s">
        <v>144</v>
      </c>
      <c r="B36" s="50" t="s">
        <v>145</v>
      </c>
      <c r="C36" s="39" t="s">
        <v>146</v>
      </c>
      <c r="D36" s="39" t="str">
        <f t="shared" si="0"/>
        <v>Go Thread Ring Gauge (S-2120-3)</v>
      </c>
      <c r="E36" s="39" t="s">
        <v>76</v>
      </c>
      <c r="F36" s="39" t="s">
        <v>77</v>
      </c>
      <c r="G36" s="40">
        <v>43858</v>
      </c>
      <c r="H36" s="41">
        <v>1827</v>
      </c>
      <c r="I36" s="40">
        <f t="shared" si="1"/>
        <v>45685</v>
      </c>
      <c r="J36" s="42" t="s">
        <v>78</v>
      </c>
    </row>
    <row r="37" spans="1:10" x14ac:dyDescent="0.25">
      <c r="A37" s="39" t="s">
        <v>144</v>
      </c>
      <c r="B37" s="50" t="s">
        <v>147</v>
      </c>
      <c r="C37" s="39" t="s">
        <v>148</v>
      </c>
      <c r="D37" s="39" t="str">
        <f t="shared" si="0"/>
        <v>Go Thread Ring Gauge (S-2120-2)</v>
      </c>
      <c r="E37" s="39" t="s">
        <v>76</v>
      </c>
      <c r="F37" s="39" t="s">
        <v>77</v>
      </c>
      <c r="G37" s="40">
        <v>43858</v>
      </c>
      <c r="H37" s="41">
        <v>1827</v>
      </c>
      <c r="I37" s="40">
        <f t="shared" si="1"/>
        <v>45685</v>
      </c>
      <c r="J37" s="42" t="s">
        <v>78</v>
      </c>
    </row>
    <row r="38" spans="1:10" x14ac:dyDescent="0.25">
      <c r="A38" s="39" t="s">
        <v>144</v>
      </c>
      <c r="B38" s="50" t="s">
        <v>149</v>
      </c>
      <c r="C38" s="39" t="s">
        <v>150</v>
      </c>
      <c r="D38" s="39" t="str">
        <f t="shared" si="0"/>
        <v>Go Thread Ring Gauge (S-2120-11)</v>
      </c>
      <c r="E38" s="39" t="s">
        <v>76</v>
      </c>
      <c r="F38" s="39" t="s">
        <v>77</v>
      </c>
      <c r="G38" s="40">
        <v>43858</v>
      </c>
      <c r="H38" s="41">
        <v>1827</v>
      </c>
      <c r="I38" s="40">
        <f t="shared" si="1"/>
        <v>45685</v>
      </c>
      <c r="J38" s="42" t="s">
        <v>78</v>
      </c>
    </row>
    <row r="39" spans="1:10" x14ac:dyDescent="0.25">
      <c r="A39" s="39" t="s">
        <v>144</v>
      </c>
      <c r="B39" s="50" t="s">
        <v>151</v>
      </c>
      <c r="C39" s="39" t="s">
        <v>152</v>
      </c>
      <c r="D39" s="39" t="str">
        <f t="shared" si="0"/>
        <v>Go Thread Ring Gauge (S-2120-10)</v>
      </c>
      <c r="E39" s="39" t="s">
        <v>76</v>
      </c>
      <c r="F39" s="39" t="s">
        <v>77</v>
      </c>
      <c r="G39" s="40">
        <v>43858</v>
      </c>
      <c r="H39" s="41">
        <v>1827</v>
      </c>
      <c r="I39" s="40">
        <f t="shared" si="1"/>
        <v>45685</v>
      </c>
      <c r="J39" s="42" t="s">
        <v>78</v>
      </c>
    </row>
    <row r="40" spans="1:10" x14ac:dyDescent="0.25">
      <c r="A40" s="39" t="s">
        <v>144</v>
      </c>
      <c r="B40" s="50" t="s">
        <v>153</v>
      </c>
      <c r="C40" s="39" t="s">
        <v>154</v>
      </c>
      <c r="D40" s="39" t="str">
        <f t="shared" si="0"/>
        <v>Go Thread Ring Gauge (S-2120-9)</v>
      </c>
      <c r="E40" s="39" t="s">
        <v>76</v>
      </c>
      <c r="F40" s="39" t="s">
        <v>77</v>
      </c>
      <c r="G40" s="40">
        <v>43858</v>
      </c>
      <c r="H40" s="41">
        <v>1827</v>
      </c>
      <c r="I40" s="40">
        <f t="shared" si="1"/>
        <v>45685</v>
      </c>
      <c r="J40" s="42" t="s">
        <v>78</v>
      </c>
    </row>
    <row r="41" spans="1:10" x14ac:dyDescent="0.25">
      <c r="A41" s="39" t="s">
        <v>144</v>
      </c>
      <c r="B41" s="50" t="s">
        <v>155</v>
      </c>
      <c r="C41" s="39" t="s">
        <v>156</v>
      </c>
      <c r="D41" s="39" t="str">
        <f t="shared" si="0"/>
        <v>Go Thread Ring Gauge (S-2120-6)</v>
      </c>
      <c r="E41" s="39" t="s">
        <v>76</v>
      </c>
      <c r="F41" s="39" t="s">
        <v>77</v>
      </c>
      <c r="G41" s="40">
        <v>43858</v>
      </c>
      <c r="H41" s="41">
        <v>1827</v>
      </c>
      <c r="I41" s="40">
        <f t="shared" si="1"/>
        <v>45685</v>
      </c>
      <c r="J41" s="42" t="s">
        <v>78</v>
      </c>
    </row>
    <row r="42" spans="1:10" x14ac:dyDescent="0.25">
      <c r="A42" s="39" t="s">
        <v>144</v>
      </c>
      <c r="B42" s="50" t="s">
        <v>157</v>
      </c>
      <c r="C42" s="39" t="s">
        <v>158</v>
      </c>
      <c r="D42" s="39" t="str">
        <f t="shared" si="0"/>
        <v>Go Thread Ring Gauge (S-2120-8)</v>
      </c>
      <c r="E42" s="39" t="s">
        <v>76</v>
      </c>
      <c r="F42" s="39" t="s">
        <v>77</v>
      </c>
      <c r="G42" s="40">
        <v>43858</v>
      </c>
      <c r="H42" s="41">
        <v>1827</v>
      </c>
      <c r="I42" s="40">
        <f t="shared" si="1"/>
        <v>45685</v>
      </c>
      <c r="J42" s="42" t="s">
        <v>78</v>
      </c>
    </row>
    <row r="43" spans="1:10" x14ac:dyDescent="0.25">
      <c r="A43" s="39" t="s">
        <v>144</v>
      </c>
      <c r="B43" s="50" t="s">
        <v>159</v>
      </c>
      <c r="C43" s="39" t="s">
        <v>160</v>
      </c>
      <c r="D43" s="39" t="str">
        <f t="shared" si="0"/>
        <v>Go Thread Ring Gauge (S-2120-7)</v>
      </c>
      <c r="E43" s="39" t="s">
        <v>76</v>
      </c>
      <c r="F43" s="39" t="s">
        <v>77</v>
      </c>
      <c r="G43" s="40">
        <v>43858</v>
      </c>
      <c r="H43" s="41">
        <v>1827</v>
      </c>
      <c r="I43" s="40">
        <f t="shared" si="1"/>
        <v>45685</v>
      </c>
      <c r="J43" s="42" t="s">
        <v>78</v>
      </c>
    </row>
    <row r="44" spans="1:10" x14ac:dyDescent="0.25">
      <c r="A44" s="39" t="s">
        <v>144</v>
      </c>
      <c r="B44" s="50" t="s">
        <v>161</v>
      </c>
      <c r="C44" s="39" t="s">
        <v>162</v>
      </c>
      <c r="D44" s="39" t="str">
        <f t="shared" si="0"/>
        <v>Go Thread Ring Gauge (S-2120-5)</v>
      </c>
      <c r="E44" s="39" t="s">
        <v>76</v>
      </c>
      <c r="F44" s="39" t="s">
        <v>77</v>
      </c>
      <c r="G44" s="40">
        <v>43858</v>
      </c>
      <c r="H44" s="41">
        <v>1827</v>
      </c>
      <c r="I44" s="40">
        <f t="shared" si="1"/>
        <v>45685</v>
      </c>
      <c r="J44" s="42" t="s">
        <v>78</v>
      </c>
    </row>
    <row r="45" spans="1:10" x14ac:dyDescent="0.25">
      <c r="A45" s="39" t="s">
        <v>144</v>
      </c>
      <c r="B45" s="50" t="s">
        <v>163</v>
      </c>
      <c r="C45" s="39" t="s">
        <v>164</v>
      </c>
      <c r="D45" s="39" t="str">
        <f t="shared" si="0"/>
        <v>Go Thread Ring Gauge (S-2120-4)</v>
      </c>
      <c r="E45" s="39" t="s">
        <v>76</v>
      </c>
      <c r="F45" s="39" t="s">
        <v>77</v>
      </c>
      <c r="G45" s="40">
        <v>43858</v>
      </c>
      <c r="H45" s="41">
        <v>1827</v>
      </c>
      <c r="I45" s="40">
        <f t="shared" si="1"/>
        <v>45685</v>
      </c>
      <c r="J45" s="42" t="s">
        <v>78</v>
      </c>
    </row>
    <row r="46" spans="1:10" x14ac:dyDescent="0.25">
      <c r="A46" s="39" t="s">
        <v>73</v>
      </c>
      <c r="B46" s="50" t="s">
        <v>165</v>
      </c>
      <c r="C46" s="39" t="s">
        <v>166</v>
      </c>
      <c r="D46" s="39" t="str">
        <f t="shared" si="0"/>
        <v>Thread Plug Gauge (S-2120-13)</v>
      </c>
      <c r="E46" s="39" t="s">
        <v>76</v>
      </c>
      <c r="F46" s="39" t="s">
        <v>77</v>
      </c>
      <c r="G46" s="40">
        <v>43858</v>
      </c>
      <c r="H46" s="41">
        <v>1827</v>
      </c>
      <c r="I46" s="40">
        <f t="shared" si="1"/>
        <v>45685</v>
      </c>
      <c r="J46" s="42" t="s">
        <v>78</v>
      </c>
    </row>
    <row r="47" spans="1:10" x14ac:dyDescent="0.25">
      <c r="A47" s="39" t="s">
        <v>73</v>
      </c>
      <c r="B47" s="50" t="s">
        <v>167</v>
      </c>
      <c r="C47" s="39" t="s">
        <v>168</v>
      </c>
      <c r="D47" s="39" t="str">
        <f t="shared" si="0"/>
        <v>Thread Plug Gauge (S-2120-1)</v>
      </c>
      <c r="E47" s="39" t="s">
        <v>76</v>
      </c>
      <c r="F47" s="39" t="s">
        <v>77</v>
      </c>
      <c r="G47" s="40">
        <v>43858</v>
      </c>
      <c r="H47" s="41">
        <v>1827</v>
      </c>
      <c r="I47" s="40">
        <f t="shared" si="1"/>
        <v>45685</v>
      </c>
      <c r="J47" s="42" t="s">
        <v>78</v>
      </c>
    </row>
    <row r="48" spans="1:10" x14ac:dyDescent="0.25">
      <c r="A48" s="39" t="s">
        <v>73</v>
      </c>
      <c r="B48" s="50" t="s">
        <v>169</v>
      </c>
      <c r="C48" s="39" t="s">
        <v>170</v>
      </c>
      <c r="D48" s="39" t="str">
        <f t="shared" si="0"/>
        <v>Thread Plug Gauge (S-2121-7)</v>
      </c>
      <c r="E48" s="39" t="s">
        <v>76</v>
      </c>
      <c r="F48" s="39" t="s">
        <v>77</v>
      </c>
      <c r="G48" s="40">
        <v>43858</v>
      </c>
      <c r="H48" s="41">
        <v>1827</v>
      </c>
      <c r="I48" s="40">
        <f t="shared" si="1"/>
        <v>45685</v>
      </c>
      <c r="J48" s="42" t="s">
        <v>78</v>
      </c>
    </row>
    <row r="49" spans="1:10" x14ac:dyDescent="0.25">
      <c r="A49" s="39" t="s">
        <v>73</v>
      </c>
      <c r="B49" s="50" t="s">
        <v>171</v>
      </c>
      <c r="C49" s="39" t="s">
        <v>172</v>
      </c>
      <c r="D49" s="39" t="str">
        <f>A49 &amp; " (" &amp; C49 &amp; ")"</f>
        <v>Thread Plug Gauge (S-2093-19)</v>
      </c>
      <c r="E49" s="39" t="s">
        <v>76</v>
      </c>
      <c r="F49" s="39" t="s">
        <v>77</v>
      </c>
      <c r="G49" s="40">
        <v>43858</v>
      </c>
      <c r="H49" s="41">
        <v>1827</v>
      </c>
      <c r="I49" s="40">
        <f t="shared" si="1"/>
        <v>45685</v>
      </c>
      <c r="J49" s="42" t="s">
        <v>78</v>
      </c>
    </row>
    <row r="50" spans="1:10" x14ac:dyDescent="0.25">
      <c r="A50" s="39" t="s">
        <v>73</v>
      </c>
      <c r="B50" s="50" t="s">
        <v>173</v>
      </c>
      <c r="C50" s="39" t="s">
        <v>174</v>
      </c>
      <c r="D50" s="39" t="str">
        <f t="shared" ref="D50:D113" si="2">A50 &amp; " (" &amp; C50 &amp; ")"</f>
        <v>Thread Plug Gauge (S-2093-21)</v>
      </c>
      <c r="E50" s="39" t="s">
        <v>76</v>
      </c>
      <c r="F50" s="39" t="s">
        <v>77</v>
      </c>
      <c r="G50" s="40">
        <v>43858</v>
      </c>
      <c r="H50" s="41">
        <v>1827</v>
      </c>
      <c r="I50" s="40">
        <f t="shared" si="1"/>
        <v>45685</v>
      </c>
      <c r="J50" s="42" t="s">
        <v>78</v>
      </c>
    </row>
    <row r="51" spans="1:10" x14ac:dyDescent="0.25">
      <c r="A51" s="39" t="s">
        <v>73</v>
      </c>
      <c r="B51" s="50" t="s">
        <v>175</v>
      </c>
      <c r="C51" s="39" t="s">
        <v>176</v>
      </c>
      <c r="D51" s="39" t="str">
        <f t="shared" si="2"/>
        <v>Thread Plug Gauge (S-2120-12)</v>
      </c>
      <c r="E51" s="39" t="s">
        <v>76</v>
      </c>
      <c r="F51" s="39" t="s">
        <v>77</v>
      </c>
      <c r="G51" s="40">
        <v>43858</v>
      </c>
      <c r="H51" s="41">
        <v>1827</v>
      </c>
      <c r="I51" s="40">
        <f t="shared" si="1"/>
        <v>45685</v>
      </c>
      <c r="J51" s="42" t="s">
        <v>78</v>
      </c>
    </row>
    <row r="52" spans="1:10" x14ac:dyDescent="0.25">
      <c r="A52" s="39" t="s">
        <v>73</v>
      </c>
      <c r="B52" s="50" t="s">
        <v>177</v>
      </c>
      <c r="C52" s="39" t="s">
        <v>178</v>
      </c>
      <c r="D52" s="39" t="str">
        <f t="shared" si="2"/>
        <v>Thread Plug Gauge (S-2093-20)</v>
      </c>
      <c r="E52" s="39" t="s">
        <v>76</v>
      </c>
      <c r="F52" s="39" t="s">
        <v>77</v>
      </c>
      <c r="G52" s="40">
        <v>43858</v>
      </c>
      <c r="H52" s="41">
        <v>1827</v>
      </c>
      <c r="I52" s="40">
        <f t="shared" si="1"/>
        <v>45685</v>
      </c>
      <c r="J52" s="42" t="s">
        <v>78</v>
      </c>
    </row>
    <row r="53" spans="1:10" x14ac:dyDescent="0.25">
      <c r="A53" s="39" t="s">
        <v>73</v>
      </c>
      <c r="B53" s="50" t="s">
        <v>179</v>
      </c>
      <c r="C53" s="39" t="s">
        <v>180</v>
      </c>
      <c r="D53" s="39" t="str">
        <f t="shared" si="2"/>
        <v>Thread Plug Gauge (S-2093-17)</v>
      </c>
      <c r="E53" s="39" t="s">
        <v>76</v>
      </c>
      <c r="F53" s="39" t="s">
        <v>77</v>
      </c>
      <c r="G53" s="40">
        <v>43858</v>
      </c>
      <c r="H53" s="41">
        <v>1827</v>
      </c>
      <c r="I53" s="40">
        <f t="shared" si="1"/>
        <v>45685</v>
      </c>
      <c r="J53" s="42" t="s">
        <v>78</v>
      </c>
    </row>
    <row r="54" spans="1:10" x14ac:dyDescent="0.25">
      <c r="A54" s="39" t="s">
        <v>73</v>
      </c>
      <c r="B54" s="50" t="s">
        <v>101</v>
      </c>
      <c r="C54" s="39" t="s">
        <v>181</v>
      </c>
      <c r="D54" s="39" t="str">
        <f t="shared" si="2"/>
        <v>Thread Plug Gauge (S-2093-22)</v>
      </c>
      <c r="E54" s="39" t="s">
        <v>76</v>
      </c>
      <c r="F54" s="39" t="s">
        <v>77</v>
      </c>
      <c r="G54" s="40">
        <v>43858</v>
      </c>
      <c r="H54" s="41">
        <v>1827</v>
      </c>
      <c r="I54" s="40">
        <f t="shared" si="1"/>
        <v>45685</v>
      </c>
      <c r="J54" s="42" t="s">
        <v>78</v>
      </c>
    </row>
    <row r="55" spans="1:10" x14ac:dyDescent="0.25">
      <c r="A55" s="39" t="s">
        <v>73</v>
      </c>
      <c r="B55" s="50" t="s">
        <v>182</v>
      </c>
      <c r="C55" s="39" t="s">
        <v>183</v>
      </c>
      <c r="D55" s="39" t="str">
        <f t="shared" si="2"/>
        <v>Thread Plug Gauge (S-2117-10)</v>
      </c>
      <c r="E55" s="39" t="s">
        <v>76</v>
      </c>
      <c r="F55" s="39" t="s">
        <v>77</v>
      </c>
      <c r="G55" s="40">
        <v>43858</v>
      </c>
      <c r="H55" s="41">
        <v>1827</v>
      </c>
      <c r="I55" s="40">
        <f t="shared" si="1"/>
        <v>45685</v>
      </c>
      <c r="J55" s="42" t="s">
        <v>78</v>
      </c>
    </row>
    <row r="56" spans="1:10" x14ac:dyDescent="0.25">
      <c r="A56" s="39" t="s">
        <v>184</v>
      </c>
      <c r="B56" s="50" t="s">
        <v>185</v>
      </c>
      <c r="C56" s="39" t="s">
        <v>186</v>
      </c>
      <c r="D56" s="39" t="str">
        <f t="shared" si="2"/>
        <v>Thread Ring Gauge (S-2120-14)</v>
      </c>
      <c r="E56" s="39" t="s">
        <v>76</v>
      </c>
      <c r="F56" s="39" t="s">
        <v>77</v>
      </c>
      <c r="G56" s="40">
        <v>43858</v>
      </c>
      <c r="H56" s="41">
        <v>1827</v>
      </c>
      <c r="I56" s="40">
        <f t="shared" si="1"/>
        <v>45685</v>
      </c>
      <c r="J56" s="42" t="s">
        <v>78</v>
      </c>
    </row>
    <row r="57" spans="1:10" x14ac:dyDescent="0.25">
      <c r="A57" s="39" t="s">
        <v>73</v>
      </c>
      <c r="B57" s="50" t="s">
        <v>187</v>
      </c>
      <c r="C57" s="39" t="s">
        <v>188</v>
      </c>
      <c r="D57" s="39" t="str">
        <f t="shared" si="2"/>
        <v>Thread Plug Gauge (S-2133)</v>
      </c>
      <c r="E57" s="39" t="s">
        <v>76</v>
      </c>
      <c r="F57" s="39" t="s">
        <v>77</v>
      </c>
      <c r="G57" s="40">
        <v>43859</v>
      </c>
      <c r="H57" s="41">
        <v>1827</v>
      </c>
      <c r="I57" s="40">
        <f t="shared" si="1"/>
        <v>45686</v>
      </c>
      <c r="J57" s="42" t="s">
        <v>78</v>
      </c>
    </row>
    <row r="58" spans="1:10" x14ac:dyDescent="0.25">
      <c r="A58" s="39" t="s">
        <v>73</v>
      </c>
      <c r="B58" s="50" t="s">
        <v>189</v>
      </c>
      <c r="C58" s="39" t="s">
        <v>190</v>
      </c>
      <c r="D58" s="39" t="str">
        <f t="shared" si="2"/>
        <v>Thread Plug Gauge (S-2132)</v>
      </c>
      <c r="E58" s="39" t="s">
        <v>76</v>
      </c>
      <c r="F58" s="39" t="s">
        <v>77</v>
      </c>
      <c r="G58" s="40">
        <v>43859</v>
      </c>
      <c r="H58" s="41">
        <v>1827</v>
      </c>
      <c r="I58" s="40">
        <f t="shared" si="1"/>
        <v>45686</v>
      </c>
      <c r="J58" s="42" t="s">
        <v>78</v>
      </c>
    </row>
    <row r="59" spans="1:10" x14ac:dyDescent="0.25">
      <c r="A59" s="39" t="s">
        <v>73</v>
      </c>
      <c r="B59" s="50" t="s">
        <v>191</v>
      </c>
      <c r="C59" s="39" t="s">
        <v>192</v>
      </c>
      <c r="D59" s="39" t="str">
        <f t="shared" si="2"/>
        <v>Thread Plug Gauge (S-2131)</v>
      </c>
      <c r="E59" s="39" t="s">
        <v>76</v>
      </c>
      <c r="F59" s="39" t="s">
        <v>77</v>
      </c>
      <c r="G59" s="40">
        <v>43859</v>
      </c>
      <c r="H59" s="41">
        <v>1827</v>
      </c>
      <c r="I59" s="40">
        <f t="shared" si="1"/>
        <v>45686</v>
      </c>
      <c r="J59" s="42" t="s">
        <v>78</v>
      </c>
    </row>
    <row r="60" spans="1:10" x14ac:dyDescent="0.25">
      <c r="A60" s="39" t="s">
        <v>193</v>
      </c>
      <c r="B60" s="50" t="s">
        <v>194</v>
      </c>
      <c r="C60" s="39" t="s">
        <v>195</v>
      </c>
      <c r="D60" s="39" t="str">
        <f t="shared" si="2"/>
        <v>Digital Caliper  (S-2144)</v>
      </c>
      <c r="E60" s="39" t="s">
        <v>76</v>
      </c>
      <c r="F60" s="39" t="s">
        <v>77</v>
      </c>
      <c r="G60" s="40">
        <v>45327</v>
      </c>
      <c r="H60" s="41">
        <v>365</v>
      </c>
      <c r="I60" s="40">
        <f t="shared" si="1"/>
        <v>45692</v>
      </c>
      <c r="J60" s="42" t="s">
        <v>196</v>
      </c>
    </row>
    <row r="61" spans="1:10" x14ac:dyDescent="0.25">
      <c r="A61" s="39" t="s">
        <v>193</v>
      </c>
      <c r="B61" s="50" t="s">
        <v>194</v>
      </c>
      <c r="C61" s="39" t="s">
        <v>197</v>
      </c>
      <c r="D61" s="39" t="str">
        <f t="shared" si="2"/>
        <v>Digital Caliper  (S-2148)</v>
      </c>
      <c r="E61" s="39" t="s">
        <v>76</v>
      </c>
      <c r="F61" s="39" t="s">
        <v>77</v>
      </c>
      <c r="G61" s="40">
        <v>45327</v>
      </c>
      <c r="H61" s="41">
        <v>365</v>
      </c>
      <c r="I61" s="40">
        <f t="shared" si="1"/>
        <v>45692</v>
      </c>
      <c r="J61" s="42" t="s">
        <v>196</v>
      </c>
    </row>
    <row r="62" spans="1:10" x14ac:dyDescent="0.25">
      <c r="A62" s="39" t="s">
        <v>193</v>
      </c>
      <c r="B62" s="50" t="s">
        <v>198</v>
      </c>
      <c r="C62" s="39" t="s">
        <v>199</v>
      </c>
      <c r="D62" s="39" t="str">
        <f t="shared" si="2"/>
        <v>Digital Caliper  (S-2100)</v>
      </c>
      <c r="E62" s="39" t="s">
        <v>76</v>
      </c>
      <c r="F62" s="39" t="s">
        <v>77</v>
      </c>
      <c r="G62" s="40">
        <v>45327</v>
      </c>
      <c r="H62" s="41">
        <v>365</v>
      </c>
      <c r="I62" s="40">
        <f t="shared" si="1"/>
        <v>45692</v>
      </c>
      <c r="J62" s="42" t="s">
        <v>196</v>
      </c>
    </row>
    <row r="63" spans="1:10" x14ac:dyDescent="0.25">
      <c r="A63" s="39" t="s">
        <v>200</v>
      </c>
      <c r="B63" s="50" t="s">
        <v>201</v>
      </c>
      <c r="C63" s="39" t="s">
        <v>202</v>
      </c>
      <c r="D63" s="39" t="str">
        <f t="shared" si="2"/>
        <v>Digital Depth Caliper (S-2150)</v>
      </c>
      <c r="E63" s="39" t="s">
        <v>76</v>
      </c>
      <c r="F63" s="39" t="s">
        <v>77</v>
      </c>
      <c r="G63" s="40">
        <v>45327</v>
      </c>
      <c r="H63" s="41">
        <v>365</v>
      </c>
      <c r="I63" s="40">
        <f t="shared" si="1"/>
        <v>45692</v>
      </c>
      <c r="J63" s="42" t="s">
        <v>196</v>
      </c>
    </row>
    <row r="64" spans="1:10" x14ac:dyDescent="0.25">
      <c r="A64" s="39" t="s">
        <v>203</v>
      </c>
      <c r="B64" s="50" t="s">
        <v>13</v>
      </c>
      <c r="C64" s="39" t="s">
        <v>204</v>
      </c>
      <c r="D64" s="39" t="str">
        <f t="shared" si="2"/>
        <v>Digital Micrometer  (S-2139)</v>
      </c>
      <c r="E64" s="39" t="s">
        <v>76</v>
      </c>
      <c r="F64" s="39" t="s">
        <v>77</v>
      </c>
      <c r="G64" s="40">
        <v>45327</v>
      </c>
      <c r="H64" s="41">
        <v>365</v>
      </c>
      <c r="I64" s="40">
        <f t="shared" si="1"/>
        <v>45692</v>
      </c>
      <c r="J64" s="42" t="s">
        <v>196</v>
      </c>
    </row>
    <row r="65" spans="1:10" x14ac:dyDescent="0.25">
      <c r="A65" s="39" t="s">
        <v>205</v>
      </c>
      <c r="B65" s="50" t="s">
        <v>194</v>
      </c>
      <c r="C65" s="39" t="s">
        <v>206</v>
      </c>
      <c r="D65" s="39" t="str">
        <f t="shared" si="2"/>
        <v>Digital Vernier  (S-2130-1)</v>
      </c>
      <c r="E65" s="39" t="s">
        <v>76</v>
      </c>
      <c r="F65" s="39" t="s">
        <v>77</v>
      </c>
      <c r="G65" s="40">
        <v>45327</v>
      </c>
      <c r="H65" s="41">
        <v>365</v>
      </c>
      <c r="I65" s="40">
        <f t="shared" si="1"/>
        <v>45692</v>
      </c>
      <c r="J65" s="42" t="s">
        <v>196</v>
      </c>
    </row>
    <row r="66" spans="1:10" x14ac:dyDescent="0.25">
      <c r="A66" s="39" t="s">
        <v>207</v>
      </c>
      <c r="B66" s="50" t="s">
        <v>208</v>
      </c>
      <c r="C66" s="39" t="s">
        <v>209</v>
      </c>
      <c r="D66" s="39" t="str">
        <f t="shared" si="2"/>
        <v>Groove Electric Caliper (S-2122)</v>
      </c>
      <c r="E66" s="39" t="s">
        <v>76</v>
      </c>
      <c r="F66" s="39" t="s">
        <v>77</v>
      </c>
      <c r="G66" s="40">
        <v>45327</v>
      </c>
      <c r="H66" s="41">
        <v>365</v>
      </c>
      <c r="I66" s="40">
        <f t="shared" ref="I66:I129" si="3">IF(G66="","",G66+H66)</f>
        <v>45692</v>
      </c>
      <c r="J66" s="42" t="s">
        <v>196</v>
      </c>
    </row>
    <row r="67" spans="1:10" x14ac:dyDescent="0.25">
      <c r="A67" s="39" t="s">
        <v>210</v>
      </c>
      <c r="B67" s="52">
        <v>1E-4</v>
      </c>
      <c r="C67" s="39" t="s">
        <v>211</v>
      </c>
      <c r="D67" s="39" t="str">
        <f t="shared" si="2"/>
        <v>Indicator  (S-2065)</v>
      </c>
      <c r="E67" s="39" t="s">
        <v>76</v>
      </c>
      <c r="F67" s="39" t="s">
        <v>77</v>
      </c>
      <c r="G67" s="40">
        <v>45327</v>
      </c>
      <c r="H67" s="41">
        <v>365</v>
      </c>
      <c r="I67" s="40">
        <f t="shared" si="3"/>
        <v>45692</v>
      </c>
      <c r="J67" s="42" t="s">
        <v>196</v>
      </c>
    </row>
    <row r="68" spans="1:10" x14ac:dyDescent="0.25">
      <c r="A68" s="39" t="s">
        <v>212</v>
      </c>
      <c r="B68" s="50" t="s">
        <v>213</v>
      </c>
      <c r="C68" s="39" t="s">
        <v>214</v>
      </c>
      <c r="D68" s="39" t="str">
        <f t="shared" si="2"/>
        <v>Micrometer  (S-2095)</v>
      </c>
      <c r="E68" s="39" t="s">
        <v>76</v>
      </c>
      <c r="F68" s="39" t="s">
        <v>77</v>
      </c>
      <c r="G68" s="40">
        <v>45327</v>
      </c>
      <c r="H68" s="41">
        <v>365</v>
      </c>
      <c r="I68" s="40">
        <f t="shared" si="3"/>
        <v>45692</v>
      </c>
      <c r="J68" s="42" t="s">
        <v>196</v>
      </c>
    </row>
    <row r="69" spans="1:10" x14ac:dyDescent="0.25">
      <c r="A69" s="39" t="s">
        <v>212</v>
      </c>
      <c r="B69" s="50" t="s">
        <v>215</v>
      </c>
      <c r="C69" s="39" t="s">
        <v>216</v>
      </c>
      <c r="D69" s="39" t="str">
        <f t="shared" si="2"/>
        <v>Micrometer  (S-2160)</v>
      </c>
      <c r="E69" s="39" t="s">
        <v>76</v>
      </c>
      <c r="F69" s="39" t="s">
        <v>77</v>
      </c>
      <c r="G69" s="40">
        <v>45327</v>
      </c>
      <c r="H69" s="41">
        <v>365</v>
      </c>
      <c r="I69" s="40">
        <f t="shared" si="3"/>
        <v>45692</v>
      </c>
      <c r="J69" s="42" t="s">
        <v>196</v>
      </c>
    </row>
    <row r="70" spans="1:10" x14ac:dyDescent="0.25">
      <c r="A70" s="39" t="s">
        <v>212</v>
      </c>
      <c r="B70" s="50" t="s">
        <v>217</v>
      </c>
      <c r="C70" s="39" t="s">
        <v>218</v>
      </c>
      <c r="D70" s="39" t="str">
        <f t="shared" si="2"/>
        <v>Micrometer  (S-2112)</v>
      </c>
      <c r="E70" s="39" t="s">
        <v>76</v>
      </c>
      <c r="F70" s="39" t="s">
        <v>77</v>
      </c>
      <c r="G70" s="40">
        <v>45327</v>
      </c>
      <c r="H70" s="41">
        <v>365</v>
      </c>
      <c r="I70" s="40">
        <f t="shared" si="3"/>
        <v>45692</v>
      </c>
      <c r="J70" s="42" t="s">
        <v>196</v>
      </c>
    </row>
    <row r="71" spans="1:10" x14ac:dyDescent="0.25">
      <c r="A71" s="39" t="s">
        <v>212</v>
      </c>
      <c r="B71" s="50" t="s">
        <v>219</v>
      </c>
      <c r="C71" s="39" t="s">
        <v>220</v>
      </c>
      <c r="D71" s="39" t="str">
        <f t="shared" si="2"/>
        <v>Micrometer  (S-2161)</v>
      </c>
      <c r="E71" s="39" t="s">
        <v>76</v>
      </c>
      <c r="F71" s="39" t="s">
        <v>77</v>
      </c>
      <c r="G71" s="40">
        <v>45327</v>
      </c>
      <c r="H71" s="41">
        <v>365</v>
      </c>
      <c r="I71" s="40">
        <f t="shared" si="3"/>
        <v>45692</v>
      </c>
      <c r="J71" s="42" t="s">
        <v>196</v>
      </c>
    </row>
    <row r="72" spans="1:10" x14ac:dyDescent="0.25">
      <c r="A72" s="39" t="s">
        <v>212</v>
      </c>
      <c r="B72" s="50" t="s">
        <v>221</v>
      </c>
      <c r="C72" s="39" t="s">
        <v>222</v>
      </c>
      <c r="D72" s="39" t="str">
        <f t="shared" si="2"/>
        <v>Micrometer  (S-2162)</v>
      </c>
      <c r="E72" s="39" t="s">
        <v>76</v>
      </c>
      <c r="F72" s="39" t="s">
        <v>77</v>
      </c>
      <c r="G72" s="40">
        <v>45327</v>
      </c>
      <c r="H72" s="41">
        <v>365</v>
      </c>
      <c r="I72" s="40">
        <f t="shared" si="3"/>
        <v>45692</v>
      </c>
      <c r="J72" s="42" t="s">
        <v>196</v>
      </c>
    </row>
    <row r="73" spans="1:10" x14ac:dyDescent="0.25">
      <c r="A73" s="39" t="s">
        <v>212</v>
      </c>
      <c r="B73" s="50" t="s">
        <v>223</v>
      </c>
      <c r="C73" s="39" t="s">
        <v>224</v>
      </c>
      <c r="D73" s="39" t="str">
        <f t="shared" si="2"/>
        <v>Micrometer  (S-2163)</v>
      </c>
      <c r="E73" s="39" t="s">
        <v>76</v>
      </c>
      <c r="F73" s="39" t="s">
        <v>77</v>
      </c>
      <c r="G73" s="40">
        <v>45327</v>
      </c>
      <c r="H73" s="41">
        <v>365</v>
      </c>
      <c r="I73" s="40">
        <f t="shared" si="3"/>
        <v>45692</v>
      </c>
      <c r="J73" s="42" t="s">
        <v>196</v>
      </c>
    </row>
    <row r="74" spans="1:10" x14ac:dyDescent="0.25">
      <c r="A74" s="39" t="s">
        <v>212</v>
      </c>
      <c r="B74" s="50" t="s">
        <v>225</v>
      </c>
      <c r="C74" s="39" t="s">
        <v>226</v>
      </c>
      <c r="D74" s="39" t="str">
        <f t="shared" si="2"/>
        <v>Micrometer  (SP-5069)</v>
      </c>
      <c r="E74" s="39" t="s">
        <v>76</v>
      </c>
      <c r="F74" s="39" t="s">
        <v>77</v>
      </c>
      <c r="G74" s="40">
        <v>45327</v>
      </c>
      <c r="H74" s="41">
        <v>365</v>
      </c>
      <c r="I74" s="40">
        <f t="shared" si="3"/>
        <v>45692</v>
      </c>
      <c r="J74" s="42" t="s">
        <v>196</v>
      </c>
    </row>
    <row r="75" spans="1:10" x14ac:dyDescent="0.25">
      <c r="A75" s="39" t="s">
        <v>212</v>
      </c>
      <c r="B75" s="50" t="s">
        <v>227</v>
      </c>
      <c r="C75" s="39" t="s">
        <v>228</v>
      </c>
      <c r="D75" s="39" t="str">
        <f t="shared" si="2"/>
        <v>Micrometer  (SP-5038)</v>
      </c>
      <c r="E75" s="39" t="s">
        <v>76</v>
      </c>
      <c r="F75" s="39" t="s">
        <v>77</v>
      </c>
      <c r="G75" s="40">
        <v>45327</v>
      </c>
      <c r="H75" s="41">
        <v>365</v>
      </c>
      <c r="I75" s="40">
        <f t="shared" si="3"/>
        <v>45692</v>
      </c>
      <c r="J75" s="42" t="s">
        <v>196</v>
      </c>
    </row>
    <row r="76" spans="1:10" x14ac:dyDescent="0.25">
      <c r="A76" s="39" t="s">
        <v>212</v>
      </c>
      <c r="B76" s="50" t="s">
        <v>229</v>
      </c>
      <c r="C76" s="39" t="s">
        <v>230</v>
      </c>
      <c r="D76" s="39" t="str">
        <f t="shared" si="2"/>
        <v>Micrometer  (S-2118)</v>
      </c>
      <c r="E76" s="39" t="s">
        <v>76</v>
      </c>
      <c r="F76" s="39" t="s">
        <v>77</v>
      </c>
      <c r="G76" s="40">
        <v>45327</v>
      </c>
      <c r="H76" s="41">
        <v>365</v>
      </c>
      <c r="I76" s="40">
        <f t="shared" si="3"/>
        <v>45692</v>
      </c>
      <c r="J76" s="42" t="s">
        <v>196</v>
      </c>
    </row>
    <row r="77" spans="1:10" x14ac:dyDescent="0.25">
      <c r="A77" s="39" t="s">
        <v>231</v>
      </c>
      <c r="B77" s="50" t="s">
        <v>232</v>
      </c>
      <c r="C77" s="39" t="s">
        <v>233</v>
      </c>
      <c r="D77" s="39" t="str">
        <f t="shared" si="2"/>
        <v>Protractor  (S-2069)</v>
      </c>
      <c r="E77" s="39" t="s">
        <v>76</v>
      </c>
      <c r="F77" s="39" t="s">
        <v>77</v>
      </c>
      <c r="G77" s="40">
        <v>45327</v>
      </c>
      <c r="H77" s="41">
        <v>365</v>
      </c>
      <c r="I77" s="40">
        <f t="shared" si="3"/>
        <v>45692</v>
      </c>
      <c r="J77" s="42" t="s">
        <v>196</v>
      </c>
    </row>
    <row r="78" spans="1:10" x14ac:dyDescent="0.25">
      <c r="A78" s="39" t="s">
        <v>234</v>
      </c>
      <c r="B78" s="50" t="s">
        <v>235</v>
      </c>
      <c r="C78" s="39" t="s">
        <v>236</v>
      </c>
      <c r="D78" s="39" t="str">
        <f t="shared" si="2"/>
        <v>Radius Gauge Set  (S-2014)</v>
      </c>
      <c r="E78" s="39" t="s">
        <v>76</v>
      </c>
      <c r="F78" s="39" t="s">
        <v>77</v>
      </c>
      <c r="G78" s="40">
        <v>45327</v>
      </c>
      <c r="H78" s="41">
        <v>365</v>
      </c>
      <c r="I78" s="40">
        <f t="shared" si="3"/>
        <v>45692</v>
      </c>
      <c r="J78" s="42" t="s">
        <v>196</v>
      </c>
    </row>
    <row r="79" spans="1:10" x14ac:dyDescent="0.25">
      <c r="A79" s="39" t="s">
        <v>237</v>
      </c>
      <c r="B79" s="50" t="s">
        <v>238</v>
      </c>
      <c r="C79" s="39" t="s">
        <v>239</v>
      </c>
      <c r="D79" s="39" t="str">
        <f t="shared" si="2"/>
        <v>Sine BAR  (S-2070)</v>
      </c>
      <c r="E79" s="39" t="s">
        <v>76</v>
      </c>
      <c r="F79" s="39" t="s">
        <v>77</v>
      </c>
      <c r="G79" s="40">
        <v>45327</v>
      </c>
      <c r="H79" s="41">
        <v>365</v>
      </c>
      <c r="I79" s="40">
        <f t="shared" si="3"/>
        <v>45692</v>
      </c>
      <c r="J79" s="42" t="s">
        <v>196</v>
      </c>
    </row>
    <row r="80" spans="1:10" x14ac:dyDescent="0.25">
      <c r="A80" s="39" t="s">
        <v>240</v>
      </c>
      <c r="B80" s="50" t="s">
        <v>241</v>
      </c>
      <c r="C80" s="39" t="s">
        <v>242</v>
      </c>
      <c r="D80" s="39" t="str">
        <f t="shared" si="2"/>
        <v>Square  (S-2099)</v>
      </c>
      <c r="E80" s="39" t="s">
        <v>76</v>
      </c>
      <c r="F80" s="39" t="s">
        <v>77</v>
      </c>
      <c r="G80" s="40">
        <v>45327</v>
      </c>
      <c r="H80" s="41">
        <v>365</v>
      </c>
      <c r="I80" s="40">
        <f t="shared" si="3"/>
        <v>45692</v>
      </c>
      <c r="J80" s="42" t="s">
        <v>196</v>
      </c>
    </row>
    <row r="81" spans="1:10" x14ac:dyDescent="0.25">
      <c r="A81" s="39" t="s">
        <v>243</v>
      </c>
      <c r="B81" s="50" t="s">
        <v>244</v>
      </c>
      <c r="C81" s="39" t="s">
        <v>245</v>
      </c>
      <c r="D81" s="39" t="str">
        <f t="shared" si="2"/>
        <v>Thread Measuring Wire (S-2092)</v>
      </c>
      <c r="E81" s="39" t="s">
        <v>76</v>
      </c>
      <c r="F81" s="39" t="s">
        <v>77</v>
      </c>
      <c r="G81" s="40">
        <v>45327</v>
      </c>
      <c r="H81" s="41">
        <v>365</v>
      </c>
      <c r="I81" s="40">
        <f t="shared" si="3"/>
        <v>45692</v>
      </c>
      <c r="J81" s="42" t="s">
        <v>196</v>
      </c>
    </row>
    <row r="82" spans="1:10" x14ac:dyDescent="0.25">
      <c r="A82" s="39" t="s">
        <v>246</v>
      </c>
      <c r="B82" s="50" t="s">
        <v>13</v>
      </c>
      <c r="C82" s="39" t="s">
        <v>247</v>
      </c>
      <c r="D82" s="39" t="str">
        <f t="shared" si="2"/>
        <v>Thread Micrometer  (S-2078)</v>
      </c>
      <c r="E82" s="39" t="s">
        <v>76</v>
      </c>
      <c r="F82" s="39" t="s">
        <v>77</v>
      </c>
      <c r="G82" s="40">
        <v>45327</v>
      </c>
      <c r="H82" s="41">
        <v>365</v>
      </c>
      <c r="I82" s="40">
        <f t="shared" si="3"/>
        <v>45692</v>
      </c>
      <c r="J82" s="42" t="s">
        <v>196</v>
      </c>
    </row>
    <row r="83" spans="1:10" x14ac:dyDescent="0.25">
      <c r="A83" s="39" t="s">
        <v>246</v>
      </c>
      <c r="B83" s="50" t="s">
        <v>219</v>
      </c>
      <c r="C83" s="39" t="s">
        <v>248</v>
      </c>
      <c r="D83" s="39" t="str">
        <f t="shared" si="2"/>
        <v>Thread Micrometer  (S-2080)</v>
      </c>
      <c r="E83" s="39" t="s">
        <v>76</v>
      </c>
      <c r="F83" s="39" t="s">
        <v>77</v>
      </c>
      <c r="G83" s="40">
        <v>45327</v>
      </c>
      <c r="H83" s="41">
        <v>365</v>
      </c>
      <c r="I83" s="40">
        <f t="shared" si="3"/>
        <v>45692</v>
      </c>
      <c r="J83" s="42" t="s">
        <v>196</v>
      </c>
    </row>
    <row r="84" spans="1:10" x14ac:dyDescent="0.25">
      <c r="A84" s="39" t="s">
        <v>246</v>
      </c>
      <c r="B84" s="50" t="s">
        <v>221</v>
      </c>
      <c r="C84" s="39" t="s">
        <v>249</v>
      </c>
      <c r="D84" s="39" t="str">
        <f t="shared" si="2"/>
        <v>Thread Micrometer  (S-2081)</v>
      </c>
      <c r="E84" s="39" t="s">
        <v>76</v>
      </c>
      <c r="F84" s="39" t="s">
        <v>77</v>
      </c>
      <c r="G84" s="40">
        <v>45327</v>
      </c>
      <c r="H84" s="41">
        <v>365</v>
      </c>
      <c r="I84" s="40">
        <f t="shared" si="3"/>
        <v>45692</v>
      </c>
      <c r="J84" s="42" t="s">
        <v>196</v>
      </c>
    </row>
    <row r="85" spans="1:10" x14ac:dyDescent="0.25">
      <c r="A85" s="39" t="s">
        <v>246</v>
      </c>
      <c r="B85" s="50" t="s">
        <v>250</v>
      </c>
      <c r="C85" s="39" t="s">
        <v>251</v>
      </c>
      <c r="D85" s="39" t="str">
        <f t="shared" si="2"/>
        <v>Thread Micrometer  (S-2110)</v>
      </c>
      <c r="E85" s="39" t="s">
        <v>76</v>
      </c>
      <c r="F85" s="39" t="s">
        <v>77</v>
      </c>
      <c r="G85" s="40">
        <v>45327</v>
      </c>
      <c r="H85" s="41">
        <v>365</v>
      </c>
      <c r="I85" s="40">
        <f t="shared" si="3"/>
        <v>45692</v>
      </c>
      <c r="J85" s="42" t="s">
        <v>196</v>
      </c>
    </row>
    <row r="86" spans="1:10" x14ac:dyDescent="0.25">
      <c r="A86" s="39" t="s">
        <v>246</v>
      </c>
      <c r="B86" s="50" t="s">
        <v>223</v>
      </c>
      <c r="C86" s="39" t="s">
        <v>252</v>
      </c>
      <c r="D86" s="39" t="str">
        <f t="shared" si="2"/>
        <v>Thread Micrometer  (S-2111)</v>
      </c>
      <c r="E86" s="39" t="s">
        <v>76</v>
      </c>
      <c r="F86" s="39" t="s">
        <v>77</v>
      </c>
      <c r="G86" s="40">
        <v>45327</v>
      </c>
      <c r="H86" s="41">
        <v>365</v>
      </c>
      <c r="I86" s="40">
        <f t="shared" si="3"/>
        <v>45692</v>
      </c>
      <c r="J86" s="42" t="s">
        <v>196</v>
      </c>
    </row>
    <row r="87" spans="1:10" x14ac:dyDescent="0.25">
      <c r="A87" s="39" t="s">
        <v>253</v>
      </c>
      <c r="B87" s="50" t="s">
        <v>3</v>
      </c>
      <c r="C87" s="39" t="s">
        <v>254</v>
      </c>
      <c r="D87" s="39" t="str">
        <f t="shared" si="2"/>
        <v>Vernier Caliper (S-2129-1)</v>
      </c>
      <c r="E87" s="39" t="s">
        <v>76</v>
      </c>
      <c r="F87" s="39" t="s">
        <v>77</v>
      </c>
      <c r="G87" s="40">
        <v>45327</v>
      </c>
      <c r="H87" s="41">
        <v>365</v>
      </c>
      <c r="I87" s="40">
        <f t="shared" si="3"/>
        <v>45692</v>
      </c>
      <c r="J87" s="42" t="s">
        <v>196</v>
      </c>
    </row>
    <row r="88" spans="1:10" x14ac:dyDescent="0.25">
      <c r="A88" s="39" t="s">
        <v>255</v>
      </c>
      <c r="B88" s="50" t="s">
        <v>3</v>
      </c>
      <c r="C88" s="39" t="s">
        <v>256</v>
      </c>
      <c r="D88" s="39" t="str">
        <f t="shared" si="2"/>
        <v>Vernier Caliper  (S-2060)</v>
      </c>
      <c r="E88" s="39" t="s">
        <v>76</v>
      </c>
      <c r="F88" s="39" t="s">
        <v>77</v>
      </c>
      <c r="G88" s="40">
        <v>45327</v>
      </c>
      <c r="H88" s="41">
        <v>365</v>
      </c>
      <c r="I88" s="40">
        <f t="shared" si="3"/>
        <v>45692</v>
      </c>
      <c r="J88" s="42" t="s">
        <v>196</v>
      </c>
    </row>
    <row r="89" spans="1:10" x14ac:dyDescent="0.25">
      <c r="A89" s="39" t="s">
        <v>257</v>
      </c>
      <c r="B89" s="50" t="s">
        <v>257</v>
      </c>
      <c r="C89" s="39" t="s">
        <v>258</v>
      </c>
      <c r="D89" s="39" t="str">
        <f t="shared" si="2"/>
        <v>Vertical Coordinate (S-2005)</v>
      </c>
      <c r="E89" s="39" t="s">
        <v>76</v>
      </c>
      <c r="F89" s="39" t="s">
        <v>77</v>
      </c>
      <c r="G89" s="40">
        <v>45327</v>
      </c>
      <c r="H89" s="41">
        <v>365</v>
      </c>
      <c r="I89" s="40">
        <f t="shared" si="3"/>
        <v>45692</v>
      </c>
      <c r="J89" s="42" t="s">
        <v>196</v>
      </c>
    </row>
    <row r="90" spans="1:10" x14ac:dyDescent="0.25">
      <c r="A90" s="39" t="s">
        <v>259</v>
      </c>
      <c r="B90" s="50" t="s">
        <v>260</v>
      </c>
      <c r="C90" s="39" t="s">
        <v>261</v>
      </c>
      <c r="D90" s="39" t="str">
        <f t="shared" si="2"/>
        <v>Surface Roughness  (S-2141)</v>
      </c>
      <c r="E90" s="39" t="s">
        <v>76</v>
      </c>
      <c r="F90" s="39" t="s">
        <v>77</v>
      </c>
      <c r="G90" s="40">
        <v>45338</v>
      </c>
      <c r="H90" s="41">
        <v>365</v>
      </c>
      <c r="I90" s="40">
        <f t="shared" si="3"/>
        <v>45703</v>
      </c>
      <c r="J90" s="42" t="s">
        <v>196</v>
      </c>
    </row>
    <row r="91" spans="1:10" x14ac:dyDescent="0.25">
      <c r="A91" s="39" t="s">
        <v>262</v>
      </c>
      <c r="B91" s="50" t="s">
        <v>263</v>
      </c>
      <c r="C91" s="39" t="s">
        <v>264</v>
      </c>
      <c r="D91" s="39" t="str">
        <f t="shared" si="2"/>
        <v>Coating Thickness Gauge (SP-5104-13)</v>
      </c>
      <c r="E91" s="39" t="s">
        <v>76</v>
      </c>
      <c r="F91" s="39" t="s">
        <v>77</v>
      </c>
      <c r="G91" s="40">
        <v>45353</v>
      </c>
      <c r="H91" s="41">
        <v>365</v>
      </c>
      <c r="I91" s="40">
        <f t="shared" si="3"/>
        <v>45718</v>
      </c>
      <c r="J91" s="42" t="s">
        <v>196</v>
      </c>
    </row>
    <row r="92" spans="1:10" x14ac:dyDescent="0.25">
      <c r="A92" s="39" t="s">
        <v>265</v>
      </c>
      <c r="B92" s="50" t="s">
        <v>266</v>
      </c>
      <c r="C92" s="39" t="s">
        <v>267</v>
      </c>
      <c r="D92" s="39" t="str">
        <f t="shared" si="2"/>
        <v>DEA CMM (S-2082)</v>
      </c>
      <c r="E92" s="39" t="s">
        <v>76</v>
      </c>
      <c r="F92" s="39" t="s">
        <v>77</v>
      </c>
      <c r="G92" s="40">
        <v>45365</v>
      </c>
      <c r="H92" s="41">
        <v>365</v>
      </c>
      <c r="I92" s="40">
        <f t="shared" si="3"/>
        <v>45730</v>
      </c>
      <c r="J92" s="42" t="s">
        <v>268</v>
      </c>
    </row>
    <row r="93" spans="1:10" x14ac:dyDescent="0.25">
      <c r="A93" s="39" t="s">
        <v>269</v>
      </c>
      <c r="B93" s="50" t="s">
        <v>270</v>
      </c>
      <c r="C93" s="39" t="s">
        <v>271</v>
      </c>
      <c r="D93" s="39" t="str">
        <f t="shared" si="2"/>
        <v>Image Measuring System (S-2157)</v>
      </c>
      <c r="E93" s="39" t="s">
        <v>76</v>
      </c>
      <c r="F93" s="39" t="s">
        <v>77</v>
      </c>
      <c r="G93" s="40">
        <v>45365</v>
      </c>
      <c r="H93" s="41">
        <v>365</v>
      </c>
      <c r="I93" s="40">
        <f t="shared" si="3"/>
        <v>45730</v>
      </c>
      <c r="J93" s="42" t="s">
        <v>268</v>
      </c>
    </row>
    <row r="94" spans="1:10" x14ac:dyDescent="0.25">
      <c r="A94" s="39" t="s">
        <v>272</v>
      </c>
      <c r="B94" s="50" t="s">
        <v>273</v>
      </c>
      <c r="C94" s="39" t="s">
        <v>274</v>
      </c>
      <c r="D94" s="39" t="str">
        <f t="shared" si="2"/>
        <v>Bore Gauge  (SP-5078)</v>
      </c>
      <c r="E94" s="39" t="s">
        <v>76</v>
      </c>
      <c r="F94" s="39" t="s">
        <v>77</v>
      </c>
      <c r="G94" s="40">
        <v>45383</v>
      </c>
      <c r="H94" s="41">
        <v>365</v>
      </c>
      <c r="I94" s="40">
        <f t="shared" si="3"/>
        <v>45748</v>
      </c>
      <c r="J94" s="42" t="s">
        <v>268</v>
      </c>
    </row>
    <row r="95" spans="1:10" x14ac:dyDescent="0.25">
      <c r="A95" s="39" t="s">
        <v>272</v>
      </c>
      <c r="B95" s="50" t="s">
        <v>275</v>
      </c>
      <c r="C95" s="39" t="s">
        <v>276</v>
      </c>
      <c r="D95" s="39" t="str">
        <f t="shared" si="2"/>
        <v>Bore Gauge  (S-2166)</v>
      </c>
      <c r="E95" s="39" t="s">
        <v>76</v>
      </c>
      <c r="F95" s="39" t="s">
        <v>77</v>
      </c>
      <c r="G95" s="40">
        <v>45383</v>
      </c>
      <c r="H95" s="41">
        <v>365</v>
      </c>
      <c r="I95" s="40">
        <f t="shared" si="3"/>
        <v>45748</v>
      </c>
      <c r="J95" s="42" t="s">
        <v>268</v>
      </c>
    </row>
    <row r="96" spans="1:10" x14ac:dyDescent="0.25">
      <c r="A96" s="39" t="s">
        <v>272</v>
      </c>
      <c r="B96" s="50" t="s">
        <v>277</v>
      </c>
      <c r="C96" s="39" t="s">
        <v>278</v>
      </c>
      <c r="D96" s="39" t="str">
        <f t="shared" si="2"/>
        <v>Bore Gauge  (S-2170)</v>
      </c>
      <c r="E96" s="39" t="s">
        <v>76</v>
      </c>
      <c r="F96" s="39" t="s">
        <v>77</v>
      </c>
      <c r="G96" s="40">
        <v>45383</v>
      </c>
      <c r="H96" s="41">
        <v>365</v>
      </c>
      <c r="I96" s="40">
        <f t="shared" si="3"/>
        <v>45748</v>
      </c>
      <c r="J96" s="42" t="s">
        <v>268</v>
      </c>
    </row>
    <row r="97" spans="1:10" x14ac:dyDescent="0.25">
      <c r="A97" s="39" t="s">
        <v>272</v>
      </c>
      <c r="B97" s="50" t="s">
        <v>279</v>
      </c>
      <c r="C97" s="39" t="s">
        <v>280</v>
      </c>
      <c r="D97" s="39" t="str">
        <f t="shared" si="2"/>
        <v>Bore Gauge  (S-2165)</v>
      </c>
      <c r="E97" s="39" t="s">
        <v>76</v>
      </c>
      <c r="F97" s="39" t="s">
        <v>77</v>
      </c>
      <c r="G97" s="40">
        <v>45383</v>
      </c>
      <c r="H97" s="41">
        <v>365</v>
      </c>
      <c r="I97" s="40">
        <f t="shared" si="3"/>
        <v>45748</v>
      </c>
      <c r="J97" s="42" t="s">
        <v>268</v>
      </c>
    </row>
    <row r="98" spans="1:10" x14ac:dyDescent="0.25">
      <c r="A98" s="39" t="s">
        <v>272</v>
      </c>
      <c r="B98" s="50" t="s">
        <v>281</v>
      </c>
      <c r="C98" s="39" t="s">
        <v>282</v>
      </c>
      <c r="D98" s="39" t="str">
        <f t="shared" si="2"/>
        <v>Bore Gauge  (S-2167)</v>
      </c>
      <c r="E98" s="39" t="s">
        <v>76</v>
      </c>
      <c r="F98" s="39" t="s">
        <v>77</v>
      </c>
      <c r="G98" s="40">
        <v>45383</v>
      </c>
      <c r="H98" s="41">
        <v>365</v>
      </c>
      <c r="I98" s="40">
        <f t="shared" si="3"/>
        <v>45748</v>
      </c>
      <c r="J98" s="42" t="s">
        <v>268</v>
      </c>
    </row>
    <row r="99" spans="1:10" x14ac:dyDescent="0.25">
      <c r="A99" s="39" t="s">
        <v>272</v>
      </c>
      <c r="B99" s="50" t="s">
        <v>283</v>
      </c>
      <c r="C99" s="39" t="s">
        <v>284</v>
      </c>
      <c r="D99" s="39" t="str">
        <f t="shared" si="2"/>
        <v>Bore Gauge  (S-2168)</v>
      </c>
      <c r="E99" s="39" t="s">
        <v>76</v>
      </c>
      <c r="F99" s="39" t="s">
        <v>77</v>
      </c>
      <c r="G99" s="40">
        <v>45383</v>
      </c>
      <c r="H99" s="41">
        <v>365</v>
      </c>
      <c r="I99" s="40">
        <f t="shared" si="3"/>
        <v>45748</v>
      </c>
      <c r="J99" s="42" t="s">
        <v>268</v>
      </c>
    </row>
    <row r="100" spans="1:10" x14ac:dyDescent="0.25">
      <c r="A100" s="39" t="s">
        <v>272</v>
      </c>
      <c r="B100" s="50" t="s">
        <v>285</v>
      </c>
      <c r="C100" s="39" t="s">
        <v>286</v>
      </c>
      <c r="D100" s="39" t="str">
        <f t="shared" si="2"/>
        <v>Bore Gauge  (S-2169)</v>
      </c>
      <c r="E100" s="39" t="s">
        <v>76</v>
      </c>
      <c r="F100" s="39" t="s">
        <v>77</v>
      </c>
      <c r="G100" s="40">
        <v>45383</v>
      </c>
      <c r="H100" s="41">
        <v>365</v>
      </c>
      <c r="I100" s="40">
        <f t="shared" si="3"/>
        <v>45748</v>
      </c>
      <c r="J100" s="42" t="s">
        <v>268</v>
      </c>
    </row>
    <row r="101" spans="1:10" x14ac:dyDescent="0.25">
      <c r="A101" s="39" t="s">
        <v>272</v>
      </c>
      <c r="B101" s="50" t="s">
        <v>287</v>
      </c>
      <c r="C101" s="39" t="s">
        <v>288</v>
      </c>
      <c r="D101" s="39" t="str">
        <f t="shared" si="2"/>
        <v>Bore Gauge  (S-2164)</v>
      </c>
      <c r="E101" s="39" t="s">
        <v>76</v>
      </c>
      <c r="F101" s="39" t="s">
        <v>77</v>
      </c>
      <c r="G101" s="40">
        <v>45383</v>
      </c>
      <c r="H101" s="41">
        <v>365</v>
      </c>
      <c r="I101" s="40">
        <f t="shared" si="3"/>
        <v>45748</v>
      </c>
      <c r="J101" s="42" t="s">
        <v>268</v>
      </c>
    </row>
    <row r="102" spans="1:10" x14ac:dyDescent="0.25">
      <c r="A102" s="39" t="s">
        <v>269</v>
      </c>
      <c r="B102" s="50" t="s">
        <v>289</v>
      </c>
      <c r="C102" s="39" t="s">
        <v>290</v>
      </c>
      <c r="D102" s="39" t="str">
        <f t="shared" si="2"/>
        <v>Image Measuring System (S-2157-1)</v>
      </c>
      <c r="E102" s="39" t="s">
        <v>76</v>
      </c>
      <c r="F102" s="39" t="s">
        <v>77</v>
      </c>
      <c r="G102" s="40">
        <v>45428</v>
      </c>
      <c r="H102" s="41">
        <v>365</v>
      </c>
      <c r="I102" s="40">
        <f t="shared" si="3"/>
        <v>45793</v>
      </c>
      <c r="J102" s="42" t="s">
        <v>268</v>
      </c>
    </row>
    <row r="103" spans="1:10" x14ac:dyDescent="0.25">
      <c r="A103" s="39" t="s">
        <v>291</v>
      </c>
      <c r="B103" s="50" t="s">
        <v>292</v>
      </c>
      <c r="C103" s="47">
        <v>137938</v>
      </c>
      <c r="D103" s="39" t="str">
        <f t="shared" si="2"/>
        <v>Steel Plug Gauge (137938)</v>
      </c>
      <c r="E103" s="39" t="s">
        <v>76</v>
      </c>
      <c r="F103" s="39" t="s">
        <v>77</v>
      </c>
      <c r="G103" s="40">
        <v>45468</v>
      </c>
      <c r="H103" s="41">
        <v>365</v>
      </c>
      <c r="I103" s="40">
        <f t="shared" si="3"/>
        <v>45833</v>
      </c>
      <c r="J103" s="42" t="s">
        <v>268</v>
      </c>
    </row>
    <row r="104" spans="1:10" x14ac:dyDescent="0.25">
      <c r="A104" s="39" t="s">
        <v>291</v>
      </c>
      <c r="B104" s="50" t="s">
        <v>293</v>
      </c>
      <c r="C104" s="47">
        <v>137937</v>
      </c>
      <c r="D104" s="39" t="str">
        <f t="shared" si="2"/>
        <v>Steel Plug Gauge (137937)</v>
      </c>
      <c r="E104" s="39" t="s">
        <v>76</v>
      </c>
      <c r="F104" s="39" t="s">
        <v>77</v>
      </c>
      <c r="G104" s="40">
        <v>45470</v>
      </c>
      <c r="H104" s="41">
        <v>365</v>
      </c>
      <c r="I104" s="40">
        <f t="shared" si="3"/>
        <v>45835</v>
      </c>
      <c r="J104" s="42" t="s">
        <v>268</v>
      </c>
    </row>
    <row r="105" spans="1:10" x14ac:dyDescent="0.25">
      <c r="A105" s="39" t="s">
        <v>291</v>
      </c>
      <c r="B105" s="50" t="s">
        <v>294</v>
      </c>
      <c r="C105" s="47">
        <v>138465</v>
      </c>
      <c r="D105" s="39" t="str">
        <f t="shared" si="2"/>
        <v>Steel Plug Gauge (138465)</v>
      </c>
      <c r="E105" s="39" t="s">
        <v>76</v>
      </c>
      <c r="F105" s="39" t="s">
        <v>77</v>
      </c>
      <c r="G105" s="40">
        <v>45488</v>
      </c>
      <c r="H105" s="41">
        <v>365</v>
      </c>
      <c r="I105" s="40">
        <f t="shared" si="3"/>
        <v>45853</v>
      </c>
      <c r="J105" s="42" t="s">
        <v>268</v>
      </c>
    </row>
    <row r="106" spans="1:10" x14ac:dyDescent="0.25">
      <c r="A106" s="39" t="s">
        <v>295</v>
      </c>
      <c r="B106" s="50" t="s">
        <v>295</v>
      </c>
      <c r="C106" s="39" t="s">
        <v>296</v>
      </c>
      <c r="D106" s="39" t="str">
        <f t="shared" si="2"/>
        <v>Hardness Tester  (S-2004)</v>
      </c>
      <c r="E106" s="39" t="s">
        <v>76</v>
      </c>
      <c r="F106" s="39" t="s">
        <v>77</v>
      </c>
      <c r="G106" s="40">
        <v>45518</v>
      </c>
      <c r="H106" s="41">
        <v>365</v>
      </c>
      <c r="I106" s="40">
        <f t="shared" si="3"/>
        <v>45883</v>
      </c>
      <c r="J106" s="42" t="s">
        <v>268</v>
      </c>
    </row>
    <row r="107" spans="1:10" x14ac:dyDescent="0.25">
      <c r="A107" s="39" t="s">
        <v>297</v>
      </c>
      <c r="B107" s="50" t="s">
        <v>298</v>
      </c>
      <c r="C107" s="39" t="s">
        <v>299</v>
      </c>
      <c r="D107" s="39" t="str">
        <f t="shared" si="2"/>
        <v>Surface Plate (S-2001)</v>
      </c>
      <c r="E107" s="39" t="s">
        <v>76</v>
      </c>
      <c r="F107" s="39" t="s">
        <v>77</v>
      </c>
      <c r="G107" s="40">
        <v>45518</v>
      </c>
      <c r="H107" s="41">
        <v>365</v>
      </c>
      <c r="I107" s="40">
        <f t="shared" si="3"/>
        <v>45883</v>
      </c>
      <c r="J107" s="42" t="s">
        <v>268</v>
      </c>
    </row>
    <row r="108" spans="1:10" x14ac:dyDescent="0.25">
      <c r="A108" s="39" t="s">
        <v>193</v>
      </c>
      <c r="B108" s="50" t="s">
        <v>194</v>
      </c>
      <c r="C108" s="39" t="s">
        <v>300</v>
      </c>
      <c r="D108" s="39" t="str">
        <f t="shared" si="2"/>
        <v>Digital Caliper  (S-2145)</v>
      </c>
      <c r="E108" s="39" t="s">
        <v>76</v>
      </c>
      <c r="F108" s="39" t="s">
        <v>77</v>
      </c>
      <c r="G108" s="40">
        <v>45551</v>
      </c>
      <c r="H108" s="41">
        <v>365</v>
      </c>
      <c r="I108" s="40">
        <f t="shared" si="3"/>
        <v>45916</v>
      </c>
      <c r="J108" s="42" t="s">
        <v>268</v>
      </c>
    </row>
    <row r="109" spans="1:10" x14ac:dyDescent="0.25">
      <c r="A109" s="39" t="s">
        <v>301</v>
      </c>
      <c r="B109" s="50" t="s">
        <v>302</v>
      </c>
      <c r="C109" s="39" t="s">
        <v>303</v>
      </c>
      <c r="D109" s="39" t="str">
        <f t="shared" si="2"/>
        <v>Vantage (SP-5106)</v>
      </c>
      <c r="E109" s="39" t="s">
        <v>76</v>
      </c>
      <c r="F109" s="39" t="s">
        <v>77</v>
      </c>
      <c r="G109" s="40">
        <v>45565</v>
      </c>
      <c r="H109" s="41">
        <v>365</v>
      </c>
      <c r="I109" s="40">
        <f t="shared" si="3"/>
        <v>45930</v>
      </c>
      <c r="J109" s="42" t="s">
        <v>268</v>
      </c>
    </row>
    <row r="110" spans="1:10" x14ac:dyDescent="0.25">
      <c r="A110" s="39" t="s">
        <v>304</v>
      </c>
      <c r="B110" s="50" t="s">
        <v>305</v>
      </c>
      <c r="C110" s="39" t="s">
        <v>306</v>
      </c>
      <c r="D110" s="39" t="str">
        <f t="shared" si="2"/>
        <v>FARO ARM  (SP-5105)</v>
      </c>
      <c r="E110" s="39" t="s">
        <v>76</v>
      </c>
      <c r="F110" s="39" t="s">
        <v>77</v>
      </c>
      <c r="G110" s="40">
        <v>45614</v>
      </c>
      <c r="H110" s="41">
        <v>365</v>
      </c>
      <c r="I110" s="40">
        <f t="shared" si="3"/>
        <v>45979</v>
      </c>
      <c r="J110" s="42" t="s">
        <v>268</v>
      </c>
    </row>
    <row r="111" spans="1:10" x14ac:dyDescent="0.25">
      <c r="A111" s="39" t="s">
        <v>304</v>
      </c>
      <c r="B111" s="50" t="s">
        <v>307</v>
      </c>
      <c r="C111" s="39" t="s">
        <v>308</v>
      </c>
      <c r="D111" s="39" t="str">
        <f t="shared" si="2"/>
        <v>FARO ARM  (SP-5107)</v>
      </c>
      <c r="E111" s="39" t="s">
        <v>76</v>
      </c>
      <c r="F111" s="39" t="s">
        <v>77</v>
      </c>
      <c r="G111" s="40">
        <v>45693</v>
      </c>
      <c r="H111" s="41">
        <v>365</v>
      </c>
      <c r="I111" s="40">
        <f t="shared" si="3"/>
        <v>46058</v>
      </c>
      <c r="J111" s="42" t="s">
        <v>268</v>
      </c>
    </row>
    <row r="112" spans="1:10" x14ac:dyDescent="0.25">
      <c r="A112" s="39" t="s">
        <v>73</v>
      </c>
      <c r="B112" s="50" t="s">
        <v>309</v>
      </c>
      <c r="C112" s="39" t="s">
        <v>310</v>
      </c>
      <c r="D112" s="39" t="str">
        <f t="shared" si="2"/>
        <v>Thread Plug Gauge (S-2093-18)</v>
      </c>
      <c r="E112" s="39" t="s">
        <v>76</v>
      </c>
      <c r="F112" s="39" t="s">
        <v>77</v>
      </c>
      <c r="G112" s="40">
        <v>44448</v>
      </c>
      <c r="H112" s="41">
        <v>1827</v>
      </c>
      <c r="I112" s="40">
        <f t="shared" si="3"/>
        <v>46275</v>
      </c>
      <c r="J112" s="42" t="s">
        <v>268</v>
      </c>
    </row>
    <row r="113" spans="1:10" x14ac:dyDescent="0.25">
      <c r="A113" s="39" t="s">
        <v>73</v>
      </c>
      <c r="B113" s="50" t="s">
        <v>311</v>
      </c>
      <c r="C113" s="39" t="s">
        <v>312</v>
      </c>
      <c r="D113" s="39" t="str">
        <f t="shared" si="2"/>
        <v>Thread Plug Gauge (S-2093-13)</v>
      </c>
      <c r="E113" s="39" t="s">
        <v>76</v>
      </c>
      <c r="F113" s="39" t="s">
        <v>77</v>
      </c>
      <c r="G113" s="40">
        <v>44448</v>
      </c>
      <c r="H113" s="41">
        <v>1827</v>
      </c>
      <c r="I113" s="40">
        <f t="shared" si="3"/>
        <v>46275</v>
      </c>
      <c r="J113" s="42" t="s">
        <v>268</v>
      </c>
    </row>
    <row r="114" spans="1:10" x14ac:dyDescent="0.25">
      <c r="A114" s="39" t="s">
        <v>73</v>
      </c>
      <c r="B114" s="50" t="s">
        <v>313</v>
      </c>
      <c r="C114" s="39" t="s">
        <v>314</v>
      </c>
      <c r="D114" s="39" t="str">
        <f t="shared" ref="D114:D177" si="4">A114 &amp; " (" &amp; C114 &amp; ")"</f>
        <v>Thread Plug Gauge (S-2137)</v>
      </c>
      <c r="E114" s="39" t="s">
        <v>76</v>
      </c>
      <c r="F114" s="39" t="s">
        <v>77</v>
      </c>
      <c r="G114" s="40">
        <v>44448</v>
      </c>
      <c r="H114" s="41">
        <v>1827</v>
      </c>
      <c r="I114" s="40">
        <f t="shared" si="3"/>
        <v>46275</v>
      </c>
      <c r="J114" s="42" t="s">
        <v>268</v>
      </c>
    </row>
    <row r="115" spans="1:10" x14ac:dyDescent="0.25">
      <c r="A115" s="39" t="s">
        <v>73</v>
      </c>
      <c r="B115" s="50" t="s">
        <v>315</v>
      </c>
      <c r="C115" s="39" t="s">
        <v>316</v>
      </c>
      <c r="D115" s="39" t="str">
        <f t="shared" si="4"/>
        <v>Thread Plug Gauge (S-2135)</v>
      </c>
      <c r="E115" s="39" t="s">
        <v>76</v>
      </c>
      <c r="F115" s="39" t="s">
        <v>77</v>
      </c>
      <c r="G115" s="40">
        <v>44448</v>
      </c>
      <c r="H115" s="41">
        <v>1827</v>
      </c>
      <c r="I115" s="40">
        <f t="shared" si="3"/>
        <v>46275</v>
      </c>
      <c r="J115" s="42" t="s">
        <v>268</v>
      </c>
    </row>
    <row r="116" spans="1:10" x14ac:dyDescent="0.25">
      <c r="A116" s="39" t="s">
        <v>73</v>
      </c>
      <c r="B116" s="50" t="s">
        <v>317</v>
      </c>
      <c r="C116" s="39" t="s">
        <v>318</v>
      </c>
      <c r="D116" s="39" t="str">
        <f t="shared" si="4"/>
        <v>Thread Plug Gauge (S-2093-3)</v>
      </c>
      <c r="E116" s="39" t="s">
        <v>76</v>
      </c>
      <c r="F116" s="39" t="s">
        <v>77</v>
      </c>
      <c r="G116" s="40">
        <v>44448</v>
      </c>
      <c r="H116" s="41">
        <v>1827</v>
      </c>
      <c r="I116" s="40">
        <f t="shared" si="3"/>
        <v>46275</v>
      </c>
      <c r="J116" s="42" t="s">
        <v>268</v>
      </c>
    </row>
    <row r="117" spans="1:10" x14ac:dyDescent="0.25">
      <c r="A117" s="39" t="s">
        <v>73</v>
      </c>
      <c r="B117" s="50" t="s">
        <v>319</v>
      </c>
      <c r="C117" s="39" t="s">
        <v>320</v>
      </c>
      <c r="D117" s="39" t="str">
        <f t="shared" si="4"/>
        <v>Thread Plug Gauge (S-2093-7)</v>
      </c>
      <c r="E117" s="39" t="s">
        <v>76</v>
      </c>
      <c r="F117" s="39" t="s">
        <v>77</v>
      </c>
      <c r="G117" s="40">
        <v>44448</v>
      </c>
      <c r="H117" s="41">
        <v>1827</v>
      </c>
      <c r="I117" s="40">
        <f t="shared" si="3"/>
        <v>46275</v>
      </c>
      <c r="J117" s="42" t="s">
        <v>268</v>
      </c>
    </row>
    <row r="118" spans="1:10" x14ac:dyDescent="0.25">
      <c r="A118" s="39" t="s">
        <v>73</v>
      </c>
      <c r="B118" s="50" t="s">
        <v>321</v>
      </c>
      <c r="C118" s="39" t="s">
        <v>322</v>
      </c>
      <c r="D118" s="39" t="str">
        <f t="shared" si="4"/>
        <v>Thread Plug Gauge (S-2134)</v>
      </c>
      <c r="E118" s="39" t="s">
        <v>76</v>
      </c>
      <c r="F118" s="39" t="s">
        <v>77</v>
      </c>
      <c r="G118" s="40">
        <v>44448</v>
      </c>
      <c r="H118" s="41">
        <v>1827</v>
      </c>
      <c r="I118" s="40">
        <f t="shared" si="3"/>
        <v>46275</v>
      </c>
      <c r="J118" s="42" t="s">
        <v>268</v>
      </c>
    </row>
    <row r="119" spans="1:10" x14ac:dyDescent="0.25">
      <c r="A119" s="39" t="s">
        <v>73</v>
      </c>
      <c r="B119" s="50" t="s">
        <v>323</v>
      </c>
      <c r="C119" s="39" t="s">
        <v>324</v>
      </c>
      <c r="D119" s="39" t="str">
        <f t="shared" si="4"/>
        <v>Thread Plug Gauge (S-2093-2)</v>
      </c>
      <c r="E119" s="39" t="s">
        <v>76</v>
      </c>
      <c r="F119" s="39" t="s">
        <v>77</v>
      </c>
      <c r="G119" s="40">
        <v>44448</v>
      </c>
      <c r="H119" s="41">
        <v>1827</v>
      </c>
      <c r="I119" s="40">
        <f t="shared" si="3"/>
        <v>46275</v>
      </c>
      <c r="J119" s="42" t="s">
        <v>268</v>
      </c>
    </row>
    <row r="120" spans="1:10" x14ac:dyDescent="0.25">
      <c r="A120" s="39" t="s">
        <v>73</v>
      </c>
      <c r="B120" s="50" t="s">
        <v>325</v>
      </c>
      <c r="C120" s="39" t="s">
        <v>326</v>
      </c>
      <c r="D120" s="39" t="str">
        <f t="shared" si="4"/>
        <v>Thread Plug Gauge (S-2093-12)</v>
      </c>
      <c r="E120" s="39" t="s">
        <v>76</v>
      </c>
      <c r="F120" s="39" t="s">
        <v>77</v>
      </c>
      <c r="G120" s="40">
        <v>44448</v>
      </c>
      <c r="H120" s="41">
        <v>1827</v>
      </c>
      <c r="I120" s="40">
        <f t="shared" si="3"/>
        <v>46275</v>
      </c>
      <c r="J120" s="42" t="s">
        <v>268</v>
      </c>
    </row>
    <row r="121" spans="1:10" x14ac:dyDescent="0.25">
      <c r="A121" s="39" t="s">
        <v>73</v>
      </c>
      <c r="B121" s="53" t="s">
        <v>327</v>
      </c>
      <c r="C121" s="39" t="s">
        <v>328</v>
      </c>
      <c r="D121" s="39" t="str">
        <f t="shared" si="4"/>
        <v>Thread Plug Gauge (S-2136)</v>
      </c>
      <c r="E121" s="39" t="s">
        <v>76</v>
      </c>
      <c r="F121" s="39" t="s">
        <v>77</v>
      </c>
      <c r="G121" s="40">
        <v>44448</v>
      </c>
      <c r="H121" s="41">
        <v>1827</v>
      </c>
      <c r="I121" s="40">
        <f t="shared" si="3"/>
        <v>46275</v>
      </c>
      <c r="J121" s="42" t="s">
        <v>268</v>
      </c>
    </row>
    <row r="122" spans="1:10" x14ac:dyDescent="0.25">
      <c r="A122" s="39" t="s">
        <v>73</v>
      </c>
      <c r="B122" s="50" t="s">
        <v>329</v>
      </c>
      <c r="C122" s="39" t="s">
        <v>330</v>
      </c>
      <c r="D122" s="39" t="str">
        <f t="shared" si="4"/>
        <v>Thread Plug Gauge (S-2093-9)</v>
      </c>
      <c r="E122" s="39" t="s">
        <v>76</v>
      </c>
      <c r="F122" s="39" t="s">
        <v>77</v>
      </c>
      <c r="G122" s="40">
        <v>44448</v>
      </c>
      <c r="H122" s="41">
        <v>1827</v>
      </c>
      <c r="I122" s="40">
        <f t="shared" si="3"/>
        <v>46275</v>
      </c>
      <c r="J122" s="42" t="s">
        <v>268</v>
      </c>
    </row>
    <row r="123" spans="1:10" x14ac:dyDescent="0.25">
      <c r="A123" s="39" t="s">
        <v>73</v>
      </c>
      <c r="B123" s="50" t="s">
        <v>331</v>
      </c>
      <c r="C123" s="39" t="s">
        <v>332</v>
      </c>
      <c r="D123" s="39" t="str">
        <f t="shared" si="4"/>
        <v>Thread Plug Gauge (S-2093-8)</v>
      </c>
      <c r="E123" s="39" t="s">
        <v>76</v>
      </c>
      <c r="F123" s="39" t="s">
        <v>77</v>
      </c>
      <c r="G123" s="40">
        <v>44448</v>
      </c>
      <c r="H123" s="41">
        <v>1827</v>
      </c>
      <c r="I123" s="40">
        <f t="shared" si="3"/>
        <v>46275</v>
      </c>
      <c r="J123" s="42" t="s">
        <v>268</v>
      </c>
    </row>
    <row r="124" spans="1:10" x14ac:dyDescent="0.25">
      <c r="A124" s="39" t="s">
        <v>73</v>
      </c>
      <c r="B124" s="50" t="s">
        <v>333</v>
      </c>
      <c r="C124" s="39" t="s">
        <v>334</v>
      </c>
      <c r="D124" s="39" t="str">
        <f t="shared" si="4"/>
        <v>Thread Plug Gauge (S-2093-11)</v>
      </c>
      <c r="E124" s="39" t="s">
        <v>76</v>
      </c>
      <c r="F124" s="39" t="s">
        <v>77</v>
      </c>
      <c r="G124" s="40">
        <v>44448</v>
      </c>
      <c r="H124" s="41">
        <v>1827</v>
      </c>
      <c r="I124" s="40">
        <f t="shared" si="3"/>
        <v>46275</v>
      </c>
      <c r="J124" s="42" t="s">
        <v>268</v>
      </c>
    </row>
    <row r="125" spans="1:10" x14ac:dyDescent="0.25">
      <c r="A125" s="39" t="s">
        <v>73</v>
      </c>
      <c r="B125" s="50" t="s">
        <v>335</v>
      </c>
      <c r="C125" s="39" t="s">
        <v>336</v>
      </c>
      <c r="D125" s="39" t="str">
        <f t="shared" si="4"/>
        <v>Thread Plug Gauge (S-2093-10)</v>
      </c>
      <c r="E125" s="39" t="s">
        <v>76</v>
      </c>
      <c r="F125" s="39" t="s">
        <v>77</v>
      </c>
      <c r="G125" s="40">
        <v>44448</v>
      </c>
      <c r="H125" s="41">
        <v>1827</v>
      </c>
      <c r="I125" s="40">
        <f t="shared" si="3"/>
        <v>46275</v>
      </c>
      <c r="J125" s="42" t="s">
        <v>268</v>
      </c>
    </row>
    <row r="126" spans="1:10" x14ac:dyDescent="0.25">
      <c r="A126" s="39" t="s">
        <v>73</v>
      </c>
      <c r="B126" s="50" t="s">
        <v>337</v>
      </c>
      <c r="C126" s="39" t="s">
        <v>338</v>
      </c>
      <c r="D126" s="39" t="str">
        <f t="shared" si="4"/>
        <v>Thread Plug Gauge (S-2117-6)</v>
      </c>
      <c r="E126" s="39" t="s">
        <v>76</v>
      </c>
      <c r="F126" s="39" t="s">
        <v>77</v>
      </c>
      <c r="G126" s="40">
        <v>44448</v>
      </c>
      <c r="H126" s="41">
        <v>1827</v>
      </c>
      <c r="I126" s="40">
        <f t="shared" si="3"/>
        <v>46275</v>
      </c>
      <c r="J126" s="42" t="s">
        <v>268</v>
      </c>
    </row>
    <row r="127" spans="1:10" x14ac:dyDescent="0.25">
      <c r="A127" s="39" t="s">
        <v>73</v>
      </c>
      <c r="B127" s="50" t="s">
        <v>339</v>
      </c>
      <c r="C127" s="39" t="s">
        <v>340</v>
      </c>
      <c r="D127" s="39" t="str">
        <f t="shared" si="4"/>
        <v>Thread Plug Gauge (S-2117-8)</v>
      </c>
      <c r="E127" s="39" t="s">
        <v>76</v>
      </c>
      <c r="F127" s="39" t="s">
        <v>77</v>
      </c>
      <c r="G127" s="40">
        <v>44448</v>
      </c>
      <c r="H127" s="41">
        <v>1827</v>
      </c>
      <c r="I127" s="40">
        <f t="shared" si="3"/>
        <v>46275</v>
      </c>
      <c r="J127" s="42" t="s">
        <v>268</v>
      </c>
    </row>
    <row r="128" spans="1:10" x14ac:dyDescent="0.25">
      <c r="A128" s="39" t="s">
        <v>73</v>
      </c>
      <c r="B128" s="50" t="s">
        <v>341</v>
      </c>
      <c r="C128" s="39" t="s">
        <v>342</v>
      </c>
      <c r="D128" s="39" t="str">
        <f t="shared" si="4"/>
        <v>Thread Plug Gauge (S-2117-7)</v>
      </c>
      <c r="E128" s="39" t="s">
        <v>76</v>
      </c>
      <c r="F128" s="39" t="s">
        <v>77</v>
      </c>
      <c r="G128" s="40">
        <v>44448</v>
      </c>
      <c r="H128" s="41">
        <v>1827</v>
      </c>
      <c r="I128" s="40">
        <f t="shared" si="3"/>
        <v>46275</v>
      </c>
      <c r="J128" s="42" t="s">
        <v>268</v>
      </c>
    </row>
    <row r="129" spans="1:10" x14ac:dyDescent="0.25">
      <c r="A129" s="39" t="s">
        <v>73</v>
      </c>
      <c r="B129" s="50" t="s">
        <v>343</v>
      </c>
      <c r="C129" s="39" t="s">
        <v>344</v>
      </c>
      <c r="D129" s="39" t="str">
        <f t="shared" si="4"/>
        <v>Thread Plug Gauge (S-2117-11)</v>
      </c>
      <c r="E129" s="39" t="s">
        <v>76</v>
      </c>
      <c r="F129" s="39" t="s">
        <v>77</v>
      </c>
      <c r="G129" s="40">
        <v>44448</v>
      </c>
      <c r="H129" s="41">
        <v>1827</v>
      </c>
      <c r="I129" s="40">
        <f t="shared" si="3"/>
        <v>46275</v>
      </c>
      <c r="J129" s="42" t="s">
        <v>268</v>
      </c>
    </row>
    <row r="130" spans="1:10" x14ac:dyDescent="0.25">
      <c r="A130" s="39" t="s">
        <v>73</v>
      </c>
      <c r="B130" s="50" t="s">
        <v>345</v>
      </c>
      <c r="C130" s="39" t="s">
        <v>346</v>
      </c>
      <c r="D130" s="39" t="str">
        <f t="shared" si="4"/>
        <v>Thread Plug Gauge (S-2117-5)</v>
      </c>
      <c r="E130" s="39" t="s">
        <v>76</v>
      </c>
      <c r="F130" s="39" t="s">
        <v>77</v>
      </c>
      <c r="G130" s="40">
        <v>44448</v>
      </c>
      <c r="H130" s="41">
        <v>1827</v>
      </c>
      <c r="I130" s="40">
        <f t="shared" ref="I130:I193" si="5">IF(G130="","",G130+H130)</f>
        <v>46275</v>
      </c>
      <c r="J130" s="42" t="s">
        <v>268</v>
      </c>
    </row>
    <row r="131" spans="1:10" x14ac:dyDescent="0.25">
      <c r="A131" s="39" t="s">
        <v>347</v>
      </c>
      <c r="B131" s="50" t="s">
        <v>348</v>
      </c>
      <c r="C131" s="39" t="s">
        <v>349</v>
      </c>
      <c r="D131" s="39" t="str">
        <f t="shared" si="4"/>
        <v>Gauge Block Set - Master (Inch) (S-2180)</v>
      </c>
      <c r="E131" s="39" t="s">
        <v>76</v>
      </c>
      <c r="F131" s="39" t="s">
        <v>76</v>
      </c>
      <c r="G131" s="40">
        <v>44592</v>
      </c>
      <c r="H131" s="41">
        <v>1825</v>
      </c>
      <c r="I131" s="40">
        <f t="shared" si="5"/>
        <v>46417</v>
      </c>
      <c r="J131" s="42" t="s">
        <v>268</v>
      </c>
    </row>
    <row r="132" spans="1:10" x14ac:dyDescent="0.25">
      <c r="A132" s="39" t="s">
        <v>350</v>
      </c>
      <c r="B132" s="50" t="s">
        <v>351</v>
      </c>
      <c r="C132" s="39" t="s">
        <v>352</v>
      </c>
      <c r="D132" s="39" t="str">
        <f t="shared" si="4"/>
        <v>Gauge Block Set - Working (Inch) (S-2158)</v>
      </c>
      <c r="E132" s="39" t="s">
        <v>76</v>
      </c>
      <c r="F132" s="39" t="s">
        <v>76</v>
      </c>
      <c r="G132" s="40">
        <v>44592</v>
      </c>
      <c r="H132" s="41">
        <v>1825</v>
      </c>
      <c r="I132" s="40">
        <f t="shared" si="5"/>
        <v>46417</v>
      </c>
      <c r="J132" s="42" t="s">
        <v>268</v>
      </c>
    </row>
    <row r="133" spans="1:10" x14ac:dyDescent="0.25">
      <c r="A133" s="39" t="s">
        <v>353</v>
      </c>
      <c r="B133" s="50" t="s">
        <v>354</v>
      </c>
      <c r="C133" s="39" t="s">
        <v>355</v>
      </c>
      <c r="D133" s="39" t="str">
        <f t="shared" si="4"/>
        <v>Gauge Block Set - Working (Metric) (S-2159)</v>
      </c>
      <c r="E133" s="39" t="s">
        <v>76</v>
      </c>
      <c r="F133" s="39" t="s">
        <v>76</v>
      </c>
      <c r="G133" s="40">
        <v>44592</v>
      </c>
      <c r="H133" s="41">
        <v>1825</v>
      </c>
      <c r="I133" s="40">
        <f t="shared" si="5"/>
        <v>46417</v>
      </c>
      <c r="J133" s="42" t="s">
        <v>268</v>
      </c>
    </row>
    <row r="134" spans="1:10" x14ac:dyDescent="0.25">
      <c r="A134" s="48" t="s">
        <v>73</v>
      </c>
      <c r="B134" s="50" t="s">
        <v>356</v>
      </c>
      <c r="C134" s="39" t="s">
        <v>357</v>
      </c>
      <c r="D134" s="39" t="str">
        <f t="shared" si="4"/>
        <v>Thread Plug Gauge (S-2093-24)</v>
      </c>
      <c r="E134" s="39" t="s">
        <v>76</v>
      </c>
      <c r="F134" s="39" t="s">
        <v>77</v>
      </c>
      <c r="G134" s="40">
        <v>44648</v>
      </c>
      <c r="H134" s="41">
        <v>1827</v>
      </c>
      <c r="I134" s="40">
        <f t="shared" si="5"/>
        <v>46475</v>
      </c>
      <c r="J134" s="42" t="s">
        <v>268</v>
      </c>
    </row>
    <row r="135" spans="1:10" x14ac:dyDescent="0.25">
      <c r="A135" s="48" t="s">
        <v>144</v>
      </c>
      <c r="B135" s="50" t="s">
        <v>358</v>
      </c>
      <c r="C135" s="39" t="s">
        <v>359</v>
      </c>
      <c r="D135" s="39" t="str">
        <f t="shared" si="4"/>
        <v>Go Thread Ring Gauge (S-2129)</v>
      </c>
      <c r="E135" s="39" t="s">
        <v>76</v>
      </c>
      <c r="F135" s="39" t="s">
        <v>77</v>
      </c>
      <c r="G135" s="40">
        <v>44691</v>
      </c>
      <c r="H135" s="41">
        <v>1827</v>
      </c>
      <c r="I135" s="40">
        <f t="shared" si="5"/>
        <v>46518</v>
      </c>
      <c r="J135" s="42" t="s">
        <v>268</v>
      </c>
    </row>
    <row r="136" spans="1:10" x14ac:dyDescent="0.25">
      <c r="A136" s="39" t="s">
        <v>144</v>
      </c>
      <c r="B136" s="50" t="s">
        <v>360</v>
      </c>
      <c r="C136" s="39" t="s">
        <v>361</v>
      </c>
      <c r="D136" s="39" t="str">
        <f t="shared" si="4"/>
        <v>Go Thread Ring Gauge (S-2127)</v>
      </c>
      <c r="E136" s="39" t="s">
        <v>76</v>
      </c>
      <c r="F136" s="39" t="s">
        <v>77</v>
      </c>
      <c r="G136" s="40">
        <v>44691</v>
      </c>
      <c r="H136" s="41">
        <v>1827</v>
      </c>
      <c r="I136" s="40">
        <f t="shared" si="5"/>
        <v>46518</v>
      </c>
      <c r="J136" s="42" t="s">
        <v>268</v>
      </c>
    </row>
    <row r="137" spans="1:10" x14ac:dyDescent="0.25">
      <c r="A137" s="39" t="s">
        <v>362</v>
      </c>
      <c r="B137" s="50" t="s">
        <v>363</v>
      </c>
      <c r="C137" s="39" t="s">
        <v>364</v>
      </c>
      <c r="D137" s="39" t="str">
        <f t="shared" si="4"/>
        <v>No Go Thread Ring Gauge (S-2128)</v>
      </c>
      <c r="E137" s="39" t="s">
        <v>76</v>
      </c>
      <c r="F137" s="39" t="s">
        <v>77</v>
      </c>
      <c r="G137" s="40">
        <v>44691</v>
      </c>
      <c r="H137" s="41">
        <v>1827</v>
      </c>
      <c r="I137" s="40">
        <f t="shared" si="5"/>
        <v>46518</v>
      </c>
      <c r="J137" s="42" t="s">
        <v>268</v>
      </c>
    </row>
    <row r="138" spans="1:10" x14ac:dyDescent="0.25">
      <c r="A138" s="39" t="s">
        <v>73</v>
      </c>
      <c r="B138" s="50" t="s">
        <v>365</v>
      </c>
      <c r="C138" s="39" t="s">
        <v>366</v>
      </c>
      <c r="D138" s="39" t="str">
        <f t="shared" si="4"/>
        <v>Thread Plug Gauge (S-2117-12)</v>
      </c>
      <c r="E138" s="39" t="s">
        <v>76</v>
      </c>
      <c r="F138" s="39" t="s">
        <v>77</v>
      </c>
      <c r="G138" s="40">
        <v>44720</v>
      </c>
      <c r="H138" s="41">
        <v>1827</v>
      </c>
      <c r="I138" s="43">
        <f t="shared" si="5"/>
        <v>46547</v>
      </c>
      <c r="J138" s="42" t="s">
        <v>268</v>
      </c>
    </row>
    <row r="139" spans="1:10" x14ac:dyDescent="0.25">
      <c r="A139" s="39" t="s">
        <v>73</v>
      </c>
      <c r="B139" s="50" t="s">
        <v>367</v>
      </c>
      <c r="C139" s="39" t="s">
        <v>368</v>
      </c>
      <c r="D139" s="39" t="str">
        <f t="shared" si="4"/>
        <v>Thread Plug Gauge (S-2138)</v>
      </c>
      <c r="E139" s="39" t="s">
        <v>76</v>
      </c>
      <c r="F139" s="39" t="s">
        <v>77</v>
      </c>
      <c r="G139" s="40">
        <v>44722</v>
      </c>
      <c r="H139" s="41">
        <v>1827</v>
      </c>
      <c r="I139" s="40">
        <f t="shared" si="5"/>
        <v>46549</v>
      </c>
      <c r="J139" s="42" t="s">
        <v>268</v>
      </c>
    </row>
    <row r="140" spans="1:10" x14ac:dyDescent="0.25">
      <c r="A140" s="39" t="s">
        <v>73</v>
      </c>
      <c r="B140" s="50" t="s">
        <v>369</v>
      </c>
      <c r="C140" s="39" t="s">
        <v>370</v>
      </c>
      <c r="D140" s="39" t="str">
        <f t="shared" si="4"/>
        <v>Thread Plug Gauge (S-2093-16)</v>
      </c>
      <c r="E140" s="39" t="s">
        <v>76</v>
      </c>
      <c r="F140" s="39" t="s">
        <v>77</v>
      </c>
      <c r="G140" s="40">
        <v>44741</v>
      </c>
      <c r="H140" s="41">
        <v>1827</v>
      </c>
      <c r="I140" s="40">
        <f t="shared" si="5"/>
        <v>46568</v>
      </c>
      <c r="J140" s="42" t="s">
        <v>268</v>
      </c>
    </row>
    <row r="141" spans="1:10" x14ac:dyDescent="0.25">
      <c r="A141" s="39" t="s">
        <v>362</v>
      </c>
      <c r="B141" s="50" t="s">
        <v>371</v>
      </c>
      <c r="C141" s="39" t="s">
        <v>372</v>
      </c>
      <c r="D141" s="39" t="str">
        <f t="shared" si="4"/>
        <v>No Go Thread Ring Gauge (S-2130)</v>
      </c>
      <c r="E141" s="39" t="s">
        <v>76</v>
      </c>
      <c r="F141" s="39" t="s">
        <v>77</v>
      </c>
      <c r="G141" s="40">
        <v>44953</v>
      </c>
      <c r="H141" s="41">
        <v>1827</v>
      </c>
      <c r="I141" s="40">
        <f t="shared" si="5"/>
        <v>46780</v>
      </c>
      <c r="J141" s="42" t="s">
        <v>268</v>
      </c>
    </row>
    <row r="142" spans="1:10" x14ac:dyDescent="0.25">
      <c r="A142" s="39" t="s">
        <v>73</v>
      </c>
      <c r="B142" s="50" t="s">
        <v>373</v>
      </c>
      <c r="C142" s="39" t="s">
        <v>374</v>
      </c>
      <c r="D142" s="39" t="str">
        <f t="shared" si="4"/>
        <v>Thread Plug Gauge (S-2093-28)</v>
      </c>
      <c r="E142" s="39" t="s">
        <v>76</v>
      </c>
      <c r="F142" s="39" t="s">
        <v>77</v>
      </c>
      <c r="G142" s="40">
        <v>45327</v>
      </c>
      <c r="H142" s="41">
        <v>1827</v>
      </c>
      <c r="I142" s="40">
        <f t="shared" si="5"/>
        <v>47154</v>
      </c>
      <c r="J142" s="42" t="s">
        <v>268</v>
      </c>
    </row>
    <row r="143" spans="1:10" x14ac:dyDescent="0.25">
      <c r="A143" s="39" t="s">
        <v>73</v>
      </c>
      <c r="B143" s="50" t="s">
        <v>375</v>
      </c>
      <c r="C143" s="39" t="s">
        <v>376</v>
      </c>
      <c r="D143" s="39" t="str">
        <f t="shared" si="4"/>
        <v>Thread Plug Gauge (S-2172)</v>
      </c>
      <c r="E143" s="39" t="s">
        <v>76</v>
      </c>
      <c r="F143" s="39" t="s">
        <v>77</v>
      </c>
      <c r="G143" s="40">
        <v>45327</v>
      </c>
      <c r="H143" s="41">
        <v>1827</v>
      </c>
      <c r="I143" s="40">
        <f t="shared" si="5"/>
        <v>47154</v>
      </c>
      <c r="J143" s="42" t="s">
        <v>268</v>
      </c>
    </row>
    <row r="144" spans="1:10" x14ac:dyDescent="0.25">
      <c r="A144" s="39" t="s">
        <v>184</v>
      </c>
      <c r="B144" s="50" t="s">
        <v>377</v>
      </c>
      <c r="C144" s="39" t="s">
        <v>378</v>
      </c>
      <c r="D144" s="39" t="str">
        <f t="shared" si="4"/>
        <v>Thread Ring Gauge (S-2171-46)</v>
      </c>
      <c r="E144" s="39" t="s">
        <v>76</v>
      </c>
      <c r="F144" s="39" t="s">
        <v>77</v>
      </c>
      <c r="G144" s="40">
        <v>45327</v>
      </c>
      <c r="H144" s="41">
        <v>1827</v>
      </c>
      <c r="I144" s="40">
        <f t="shared" si="5"/>
        <v>47154</v>
      </c>
      <c r="J144" s="42" t="s">
        <v>268</v>
      </c>
    </row>
    <row r="145" spans="1:10" x14ac:dyDescent="0.25">
      <c r="A145" s="39" t="s">
        <v>184</v>
      </c>
      <c r="B145" s="50" t="s">
        <v>379</v>
      </c>
      <c r="C145" s="39" t="s">
        <v>380</v>
      </c>
      <c r="D145" s="39" t="str">
        <f t="shared" si="4"/>
        <v>Thread Ring Gauge (S-2171-45)</v>
      </c>
      <c r="E145" s="39" t="s">
        <v>76</v>
      </c>
      <c r="F145" s="39" t="s">
        <v>77</v>
      </c>
      <c r="G145" s="40">
        <v>45327</v>
      </c>
      <c r="H145" s="41">
        <v>1827</v>
      </c>
      <c r="I145" s="40">
        <f t="shared" si="5"/>
        <v>47154</v>
      </c>
      <c r="J145" s="42" t="s">
        <v>268</v>
      </c>
    </row>
    <row r="146" spans="1:10" x14ac:dyDescent="0.25">
      <c r="A146" s="39" t="s">
        <v>184</v>
      </c>
      <c r="B146" s="50" t="s">
        <v>381</v>
      </c>
      <c r="C146" s="39" t="s">
        <v>382</v>
      </c>
      <c r="D146" s="39" t="str">
        <f t="shared" si="4"/>
        <v>Thread Ring Gauge (S-2171-47)</v>
      </c>
      <c r="E146" s="39" t="s">
        <v>76</v>
      </c>
      <c r="F146" s="39" t="s">
        <v>77</v>
      </c>
      <c r="G146" s="40">
        <v>45327</v>
      </c>
      <c r="H146" s="41">
        <v>1827</v>
      </c>
      <c r="I146" s="40">
        <f t="shared" si="5"/>
        <v>47154</v>
      </c>
      <c r="J146" s="42" t="s">
        <v>268</v>
      </c>
    </row>
    <row r="147" spans="1:10" x14ac:dyDescent="0.25">
      <c r="A147" s="39" t="s">
        <v>184</v>
      </c>
      <c r="B147" s="50" t="s">
        <v>383</v>
      </c>
      <c r="C147" s="39" t="s">
        <v>384</v>
      </c>
      <c r="D147" s="39" t="str">
        <f t="shared" si="4"/>
        <v>Thread Ring Gauge (S-2171-48)</v>
      </c>
      <c r="E147" s="39" t="s">
        <v>76</v>
      </c>
      <c r="F147" s="39" t="s">
        <v>77</v>
      </c>
      <c r="G147" s="40">
        <v>45327</v>
      </c>
      <c r="H147" s="41">
        <v>1827</v>
      </c>
      <c r="I147" s="40">
        <f t="shared" si="5"/>
        <v>47154</v>
      </c>
      <c r="J147" s="42" t="s">
        <v>268</v>
      </c>
    </row>
    <row r="148" spans="1:10" x14ac:dyDescent="0.25">
      <c r="A148" s="39" t="s">
        <v>184</v>
      </c>
      <c r="B148" s="50" t="s">
        <v>385</v>
      </c>
      <c r="C148" s="39" t="s">
        <v>386</v>
      </c>
      <c r="D148" s="39" t="str">
        <f t="shared" si="4"/>
        <v>Thread Ring Gauge (S-2171-27)</v>
      </c>
      <c r="E148" s="39" t="s">
        <v>76</v>
      </c>
      <c r="F148" s="39" t="s">
        <v>77</v>
      </c>
      <c r="G148" s="40">
        <v>45327</v>
      </c>
      <c r="H148" s="41">
        <v>1827</v>
      </c>
      <c r="I148" s="40">
        <f t="shared" si="5"/>
        <v>47154</v>
      </c>
      <c r="J148" s="42" t="s">
        <v>268</v>
      </c>
    </row>
    <row r="149" spans="1:10" x14ac:dyDescent="0.25">
      <c r="A149" s="39" t="s">
        <v>184</v>
      </c>
      <c r="B149" s="50" t="s">
        <v>387</v>
      </c>
      <c r="C149" s="39" t="s">
        <v>388</v>
      </c>
      <c r="D149" s="39" t="str">
        <f t="shared" si="4"/>
        <v>Thread Ring Gauge (S-2171-28)</v>
      </c>
      <c r="E149" s="39" t="s">
        <v>76</v>
      </c>
      <c r="F149" s="39" t="s">
        <v>77</v>
      </c>
      <c r="G149" s="40">
        <v>45327</v>
      </c>
      <c r="H149" s="41">
        <v>1827</v>
      </c>
      <c r="I149" s="40">
        <f t="shared" si="5"/>
        <v>47154</v>
      </c>
      <c r="J149" s="42" t="s">
        <v>268</v>
      </c>
    </row>
    <row r="150" spans="1:10" x14ac:dyDescent="0.25">
      <c r="A150" s="39" t="s">
        <v>184</v>
      </c>
      <c r="B150" s="50" t="s">
        <v>389</v>
      </c>
      <c r="C150" s="39" t="s">
        <v>390</v>
      </c>
      <c r="D150" s="39" t="str">
        <f t="shared" si="4"/>
        <v>Thread Ring Gauge (S-2171-29)</v>
      </c>
      <c r="E150" s="39" t="s">
        <v>76</v>
      </c>
      <c r="F150" s="39" t="s">
        <v>77</v>
      </c>
      <c r="G150" s="40">
        <v>45327</v>
      </c>
      <c r="H150" s="41">
        <v>1827</v>
      </c>
      <c r="I150" s="40">
        <f t="shared" si="5"/>
        <v>47154</v>
      </c>
      <c r="J150" s="42" t="s">
        <v>268</v>
      </c>
    </row>
    <row r="151" spans="1:10" x14ac:dyDescent="0.25">
      <c r="A151" s="39" t="s">
        <v>184</v>
      </c>
      <c r="B151" s="50" t="s">
        <v>391</v>
      </c>
      <c r="C151" s="39" t="s">
        <v>392</v>
      </c>
      <c r="D151" s="39" t="str">
        <f t="shared" si="4"/>
        <v>Thread Ring Gauge (S-2171-30)</v>
      </c>
      <c r="E151" s="39" t="s">
        <v>76</v>
      </c>
      <c r="F151" s="39" t="s">
        <v>77</v>
      </c>
      <c r="G151" s="40">
        <v>45327</v>
      </c>
      <c r="H151" s="41">
        <v>1827</v>
      </c>
      <c r="I151" s="40">
        <f t="shared" si="5"/>
        <v>47154</v>
      </c>
      <c r="J151" s="42" t="s">
        <v>268</v>
      </c>
    </row>
    <row r="152" spans="1:10" x14ac:dyDescent="0.25">
      <c r="A152" s="39" t="s">
        <v>184</v>
      </c>
      <c r="B152" s="50" t="s">
        <v>393</v>
      </c>
      <c r="C152" s="39" t="s">
        <v>394</v>
      </c>
      <c r="D152" s="39" t="str">
        <f t="shared" si="4"/>
        <v>Thread Ring Gauge (S-2171-31)</v>
      </c>
      <c r="E152" s="39" t="s">
        <v>76</v>
      </c>
      <c r="F152" s="39" t="s">
        <v>77</v>
      </c>
      <c r="G152" s="40">
        <v>45327</v>
      </c>
      <c r="H152" s="41">
        <v>1827</v>
      </c>
      <c r="I152" s="40">
        <f t="shared" si="5"/>
        <v>47154</v>
      </c>
      <c r="J152" s="42" t="s">
        <v>268</v>
      </c>
    </row>
    <row r="153" spans="1:10" x14ac:dyDescent="0.25">
      <c r="A153" s="39" t="s">
        <v>184</v>
      </c>
      <c r="B153" s="50" t="s">
        <v>395</v>
      </c>
      <c r="C153" s="39" t="s">
        <v>396</v>
      </c>
      <c r="D153" s="39" t="str">
        <f t="shared" si="4"/>
        <v>Thread Ring Gauge (S-2171-32)</v>
      </c>
      <c r="E153" s="39" t="s">
        <v>76</v>
      </c>
      <c r="F153" s="39" t="s">
        <v>77</v>
      </c>
      <c r="G153" s="40">
        <v>45327</v>
      </c>
      <c r="H153" s="41">
        <v>1827</v>
      </c>
      <c r="I153" s="40">
        <f t="shared" si="5"/>
        <v>47154</v>
      </c>
      <c r="J153" s="42" t="s">
        <v>268</v>
      </c>
    </row>
    <row r="154" spans="1:10" x14ac:dyDescent="0.25">
      <c r="A154" s="39" t="s">
        <v>184</v>
      </c>
      <c r="B154" s="50" t="s">
        <v>397</v>
      </c>
      <c r="C154" s="39" t="s">
        <v>398</v>
      </c>
      <c r="D154" s="39" t="str">
        <f t="shared" si="4"/>
        <v>Thread Ring Gauge (S-2171-17)</v>
      </c>
      <c r="E154" s="39" t="s">
        <v>76</v>
      </c>
      <c r="F154" s="39" t="s">
        <v>77</v>
      </c>
      <c r="G154" s="40">
        <v>45327</v>
      </c>
      <c r="H154" s="41">
        <v>1827</v>
      </c>
      <c r="I154" s="40">
        <f t="shared" si="5"/>
        <v>47154</v>
      </c>
      <c r="J154" s="42" t="s">
        <v>268</v>
      </c>
    </row>
    <row r="155" spans="1:10" x14ac:dyDescent="0.25">
      <c r="A155" s="39" t="s">
        <v>184</v>
      </c>
      <c r="B155" s="50" t="s">
        <v>399</v>
      </c>
      <c r="C155" s="39" t="s">
        <v>400</v>
      </c>
      <c r="D155" s="39" t="str">
        <f t="shared" si="4"/>
        <v>Thread Ring Gauge (S-2171-18)</v>
      </c>
      <c r="E155" s="39" t="s">
        <v>76</v>
      </c>
      <c r="F155" s="39" t="s">
        <v>77</v>
      </c>
      <c r="G155" s="40">
        <v>45327</v>
      </c>
      <c r="H155" s="41">
        <v>1827</v>
      </c>
      <c r="I155" s="40">
        <f t="shared" si="5"/>
        <v>47154</v>
      </c>
      <c r="J155" s="42" t="s">
        <v>268</v>
      </c>
    </row>
    <row r="156" spans="1:10" x14ac:dyDescent="0.25">
      <c r="A156" s="39" t="s">
        <v>184</v>
      </c>
      <c r="B156" s="50" t="s">
        <v>401</v>
      </c>
      <c r="C156" s="39" t="s">
        <v>402</v>
      </c>
      <c r="D156" s="39" t="str">
        <f t="shared" si="4"/>
        <v>Thread Ring Gauge (S-2171-19)</v>
      </c>
      <c r="E156" s="39" t="s">
        <v>76</v>
      </c>
      <c r="F156" s="39" t="s">
        <v>77</v>
      </c>
      <c r="G156" s="40">
        <v>45327</v>
      </c>
      <c r="H156" s="41">
        <v>1827</v>
      </c>
      <c r="I156" s="40">
        <f t="shared" si="5"/>
        <v>47154</v>
      </c>
      <c r="J156" s="42" t="s">
        <v>268</v>
      </c>
    </row>
    <row r="157" spans="1:10" x14ac:dyDescent="0.25">
      <c r="A157" s="39" t="s">
        <v>184</v>
      </c>
      <c r="B157" s="50" t="s">
        <v>403</v>
      </c>
      <c r="C157" s="39" t="s">
        <v>404</v>
      </c>
      <c r="D157" s="39" t="str">
        <f t="shared" si="4"/>
        <v>Thread Ring Gauge (S-2171-20)</v>
      </c>
      <c r="E157" s="39" t="s">
        <v>76</v>
      </c>
      <c r="F157" s="39" t="s">
        <v>77</v>
      </c>
      <c r="G157" s="40">
        <v>45327</v>
      </c>
      <c r="H157" s="41">
        <v>1827</v>
      </c>
      <c r="I157" s="40">
        <f t="shared" si="5"/>
        <v>47154</v>
      </c>
      <c r="J157" s="42" t="s">
        <v>268</v>
      </c>
    </row>
    <row r="158" spans="1:10" x14ac:dyDescent="0.25">
      <c r="A158" s="39" t="s">
        <v>184</v>
      </c>
      <c r="B158" s="50" t="s">
        <v>405</v>
      </c>
      <c r="C158" s="39" t="s">
        <v>406</v>
      </c>
      <c r="D158" s="39" t="str">
        <f t="shared" si="4"/>
        <v>Thread Ring Gauge (S-2171-57)</v>
      </c>
      <c r="E158" s="39" t="s">
        <v>76</v>
      </c>
      <c r="F158" s="39" t="s">
        <v>77</v>
      </c>
      <c r="G158" s="40">
        <v>45327</v>
      </c>
      <c r="H158" s="41">
        <v>1827</v>
      </c>
      <c r="I158" s="40">
        <f t="shared" si="5"/>
        <v>47154</v>
      </c>
      <c r="J158" s="42" t="s">
        <v>268</v>
      </c>
    </row>
    <row r="159" spans="1:10" x14ac:dyDescent="0.25">
      <c r="A159" s="39" t="s">
        <v>184</v>
      </c>
      <c r="B159" s="50" t="s">
        <v>407</v>
      </c>
      <c r="C159" s="39" t="s">
        <v>408</v>
      </c>
      <c r="D159" s="39" t="str">
        <f t="shared" si="4"/>
        <v>Thread Ring Gauge (S-2171-58)</v>
      </c>
      <c r="E159" s="39" t="s">
        <v>76</v>
      </c>
      <c r="F159" s="39" t="s">
        <v>77</v>
      </c>
      <c r="G159" s="40">
        <v>45327</v>
      </c>
      <c r="H159" s="41">
        <v>1827</v>
      </c>
      <c r="I159" s="40">
        <f t="shared" si="5"/>
        <v>47154</v>
      </c>
      <c r="J159" s="42" t="s">
        <v>268</v>
      </c>
    </row>
    <row r="160" spans="1:10" x14ac:dyDescent="0.25">
      <c r="A160" s="39" t="s">
        <v>184</v>
      </c>
      <c r="B160" s="50" t="s">
        <v>409</v>
      </c>
      <c r="C160" s="39" t="s">
        <v>410</v>
      </c>
      <c r="D160" s="39" t="str">
        <f t="shared" si="4"/>
        <v>Thread Ring Gauge (S-2171-71)</v>
      </c>
      <c r="E160" s="39" t="s">
        <v>76</v>
      </c>
      <c r="F160" s="39" t="s">
        <v>77</v>
      </c>
      <c r="G160" s="40">
        <v>45327</v>
      </c>
      <c r="H160" s="41">
        <v>1827</v>
      </c>
      <c r="I160" s="40">
        <f t="shared" si="5"/>
        <v>47154</v>
      </c>
      <c r="J160" s="42" t="s">
        <v>268</v>
      </c>
    </row>
    <row r="161" spans="1:10" x14ac:dyDescent="0.25">
      <c r="A161" s="39" t="s">
        <v>184</v>
      </c>
      <c r="B161" s="50" t="s">
        <v>411</v>
      </c>
      <c r="C161" s="39" t="s">
        <v>412</v>
      </c>
      <c r="D161" s="39" t="str">
        <f t="shared" si="4"/>
        <v>Thread Ring Gauge (S-2171-72)</v>
      </c>
      <c r="E161" s="39" t="s">
        <v>76</v>
      </c>
      <c r="F161" s="39" t="s">
        <v>77</v>
      </c>
      <c r="G161" s="40">
        <v>45327</v>
      </c>
      <c r="H161" s="41">
        <v>1827</v>
      </c>
      <c r="I161" s="40">
        <f t="shared" si="5"/>
        <v>47154</v>
      </c>
      <c r="J161" s="42" t="s">
        <v>268</v>
      </c>
    </row>
    <row r="162" spans="1:10" x14ac:dyDescent="0.25">
      <c r="A162" s="39" t="s">
        <v>184</v>
      </c>
      <c r="B162" s="50" t="s">
        <v>413</v>
      </c>
      <c r="C162" s="39" t="s">
        <v>414</v>
      </c>
      <c r="D162" s="39" t="str">
        <f t="shared" si="4"/>
        <v>Thread Ring Gauge (S-2171-21)</v>
      </c>
      <c r="E162" s="39" t="s">
        <v>76</v>
      </c>
      <c r="F162" s="39" t="s">
        <v>77</v>
      </c>
      <c r="G162" s="40">
        <v>45327</v>
      </c>
      <c r="H162" s="41">
        <v>1827</v>
      </c>
      <c r="I162" s="40">
        <f t="shared" si="5"/>
        <v>47154</v>
      </c>
      <c r="J162" s="42" t="s">
        <v>268</v>
      </c>
    </row>
    <row r="163" spans="1:10" x14ac:dyDescent="0.25">
      <c r="A163" s="39" t="s">
        <v>184</v>
      </c>
      <c r="B163" s="50" t="s">
        <v>415</v>
      </c>
      <c r="C163" s="39" t="s">
        <v>416</v>
      </c>
      <c r="D163" s="39" t="str">
        <f t="shared" si="4"/>
        <v>Thread Ring Gauge (S-2171-22)</v>
      </c>
      <c r="E163" s="39" t="s">
        <v>76</v>
      </c>
      <c r="F163" s="39" t="s">
        <v>77</v>
      </c>
      <c r="G163" s="40">
        <v>45327</v>
      </c>
      <c r="H163" s="41">
        <v>1827</v>
      </c>
      <c r="I163" s="40">
        <f t="shared" si="5"/>
        <v>47154</v>
      </c>
      <c r="J163" s="42" t="s">
        <v>268</v>
      </c>
    </row>
    <row r="164" spans="1:10" x14ac:dyDescent="0.25">
      <c r="A164" s="39" t="s">
        <v>184</v>
      </c>
      <c r="B164" s="50" t="s">
        <v>417</v>
      </c>
      <c r="C164" s="39" t="s">
        <v>418</v>
      </c>
      <c r="D164" s="39" t="str">
        <f t="shared" si="4"/>
        <v>Thread Ring Gauge (S-2171-23)</v>
      </c>
      <c r="E164" s="39" t="s">
        <v>76</v>
      </c>
      <c r="F164" s="39" t="s">
        <v>77</v>
      </c>
      <c r="G164" s="40">
        <v>45327</v>
      </c>
      <c r="H164" s="41">
        <v>1827</v>
      </c>
      <c r="I164" s="40">
        <f t="shared" si="5"/>
        <v>47154</v>
      </c>
      <c r="J164" s="42" t="s">
        <v>268</v>
      </c>
    </row>
    <row r="165" spans="1:10" x14ac:dyDescent="0.25">
      <c r="A165" s="39" t="s">
        <v>184</v>
      </c>
      <c r="B165" s="50" t="s">
        <v>419</v>
      </c>
      <c r="C165" s="39" t="s">
        <v>420</v>
      </c>
      <c r="D165" s="39" t="str">
        <f t="shared" si="4"/>
        <v>Thread Ring Gauge (S-2171-24)</v>
      </c>
      <c r="E165" s="39" t="s">
        <v>76</v>
      </c>
      <c r="F165" s="39" t="s">
        <v>77</v>
      </c>
      <c r="G165" s="40">
        <v>45327</v>
      </c>
      <c r="H165" s="41">
        <v>1827</v>
      </c>
      <c r="I165" s="40">
        <f t="shared" si="5"/>
        <v>47154</v>
      </c>
      <c r="J165" s="42" t="s">
        <v>268</v>
      </c>
    </row>
    <row r="166" spans="1:10" x14ac:dyDescent="0.25">
      <c r="A166" s="39" t="s">
        <v>184</v>
      </c>
      <c r="B166" s="50" t="s">
        <v>421</v>
      </c>
      <c r="C166" s="39" t="s">
        <v>422</v>
      </c>
      <c r="D166" s="39" t="str">
        <f t="shared" si="4"/>
        <v>Thread Ring Gauge (S-2171-25)</v>
      </c>
      <c r="E166" s="39" t="s">
        <v>76</v>
      </c>
      <c r="F166" s="39" t="s">
        <v>77</v>
      </c>
      <c r="G166" s="40">
        <v>45327</v>
      </c>
      <c r="H166" s="41">
        <v>1827</v>
      </c>
      <c r="I166" s="40">
        <f t="shared" si="5"/>
        <v>47154</v>
      </c>
      <c r="J166" s="42" t="s">
        <v>268</v>
      </c>
    </row>
    <row r="167" spans="1:10" x14ac:dyDescent="0.25">
      <c r="A167" s="39" t="s">
        <v>184</v>
      </c>
      <c r="B167" s="50" t="s">
        <v>423</v>
      </c>
      <c r="C167" s="39" t="s">
        <v>424</v>
      </c>
      <c r="D167" s="39" t="str">
        <f t="shared" si="4"/>
        <v>Thread Ring Gauge (S-2171-26)</v>
      </c>
      <c r="E167" s="39" t="s">
        <v>76</v>
      </c>
      <c r="F167" s="39" t="s">
        <v>77</v>
      </c>
      <c r="G167" s="40">
        <v>45327</v>
      </c>
      <c r="H167" s="41">
        <v>1827</v>
      </c>
      <c r="I167" s="40">
        <f t="shared" si="5"/>
        <v>47154</v>
      </c>
      <c r="J167" s="42" t="s">
        <v>268</v>
      </c>
    </row>
    <row r="168" spans="1:10" x14ac:dyDescent="0.25">
      <c r="A168" s="39" t="s">
        <v>184</v>
      </c>
      <c r="B168" s="50" t="s">
        <v>425</v>
      </c>
      <c r="C168" s="39" t="s">
        <v>426</v>
      </c>
      <c r="D168" s="39" t="str">
        <f t="shared" si="4"/>
        <v>Thread Ring Gauge (S-2171-63)</v>
      </c>
      <c r="E168" s="39" t="s">
        <v>76</v>
      </c>
      <c r="F168" s="39" t="s">
        <v>77</v>
      </c>
      <c r="G168" s="40">
        <v>45327</v>
      </c>
      <c r="H168" s="41">
        <v>1827</v>
      </c>
      <c r="I168" s="40">
        <f t="shared" si="5"/>
        <v>47154</v>
      </c>
      <c r="J168" s="42" t="s">
        <v>268</v>
      </c>
    </row>
    <row r="169" spans="1:10" x14ac:dyDescent="0.25">
      <c r="A169" s="39" t="s">
        <v>184</v>
      </c>
      <c r="B169" s="50" t="s">
        <v>427</v>
      </c>
      <c r="C169" s="39" t="s">
        <v>428</v>
      </c>
      <c r="D169" s="39" t="str">
        <f t="shared" si="4"/>
        <v>Thread Ring Gauge (S-2171-64)</v>
      </c>
      <c r="E169" s="39" t="s">
        <v>76</v>
      </c>
      <c r="F169" s="39" t="s">
        <v>77</v>
      </c>
      <c r="G169" s="40">
        <v>45327</v>
      </c>
      <c r="H169" s="41">
        <v>1827</v>
      </c>
      <c r="I169" s="40">
        <f t="shared" si="5"/>
        <v>47154</v>
      </c>
      <c r="J169" s="42" t="s">
        <v>268</v>
      </c>
    </row>
    <row r="170" spans="1:10" x14ac:dyDescent="0.25">
      <c r="A170" s="39" t="s">
        <v>184</v>
      </c>
      <c r="B170" s="50" t="s">
        <v>429</v>
      </c>
      <c r="C170" s="39" t="s">
        <v>430</v>
      </c>
      <c r="D170" s="39" t="str">
        <f t="shared" si="4"/>
        <v>Thread Ring Gauge (S-2171-65)</v>
      </c>
      <c r="E170" s="39" t="s">
        <v>76</v>
      </c>
      <c r="F170" s="39" t="s">
        <v>77</v>
      </c>
      <c r="G170" s="40">
        <v>45327</v>
      </c>
      <c r="H170" s="41">
        <v>1827</v>
      </c>
      <c r="I170" s="40">
        <f t="shared" si="5"/>
        <v>47154</v>
      </c>
      <c r="J170" s="42" t="s">
        <v>268</v>
      </c>
    </row>
    <row r="171" spans="1:10" x14ac:dyDescent="0.25">
      <c r="A171" s="39" t="s">
        <v>184</v>
      </c>
      <c r="B171" s="50" t="s">
        <v>431</v>
      </c>
      <c r="C171" s="39" t="s">
        <v>432</v>
      </c>
      <c r="D171" s="39" t="str">
        <f t="shared" si="4"/>
        <v>Thread Ring Gauge (S-2171-66)</v>
      </c>
      <c r="E171" s="39" t="s">
        <v>76</v>
      </c>
      <c r="F171" s="39" t="s">
        <v>77</v>
      </c>
      <c r="G171" s="40">
        <v>45327</v>
      </c>
      <c r="H171" s="41">
        <v>1827</v>
      </c>
      <c r="I171" s="40">
        <f t="shared" si="5"/>
        <v>47154</v>
      </c>
      <c r="J171" s="42" t="s">
        <v>268</v>
      </c>
    </row>
    <row r="172" spans="1:10" x14ac:dyDescent="0.25">
      <c r="A172" s="39" t="s">
        <v>184</v>
      </c>
      <c r="B172" s="50" t="s">
        <v>433</v>
      </c>
      <c r="C172" s="39" t="s">
        <v>434</v>
      </c>
      <c r="D172" s="39" t="str">
        <f t="shared" si="4"/>
        <v>Thread Ring Gauge (S-2171-69)</v>
      </c>
      <c r="E172" s="39" t="s">
        <v>76</v>
      </c>
      <c r="F172" s="39" t="s">
        <v>77</v>
      </c>
      <c r="G172" s="40">
        <v>45327</v>
      </c>
      <c r="H172" s="41">
        <v>1827</v>
      </c>
      <c r="I172" s="40">
        <f t="shared" si="5"/>
        <v>47154</v>
      </c>
      <c r="J172" s="42" t="s">
        <v>268</v>
      </c>
    </row>
    <row r="173" spans="1:10" x14ac:dyDescent="0.25">
      <c r="A173" s="39" t="s">
        <v>184</v>
      </c>
      <c r="B173" s="50" t="s">
        <v>435</v>
      </c>
      <c r="C173" s="39" t="s">
        <v>436</v>
      </c>
      <c r="D173" s="39" t="str">
        <f t="shared" si="4"/>
        <v>Thread Ring Gauge (S-2171-70)</v>
      </c>
      <c r="E173" s="39" t="s">
        <v>76</v>
      </c>
      <c r="F173" s="39" t="s">
        <v>77</v>
      </c>
      <c r="G173" s="40">
        <v>45327</v>
      </c>
      <c r="H173" s="41">
        <v>1827</v>
      </c>
      <c r="I173" s="40">
        <f t="shared" si="5"/>
        <v>47154</v>
      </c>
      <c r="J173" s="42" t="s">
        <v>268</v>
      </c>
    </row>
    <row r="174" spans="1:10" x14ac:dyDescent="0.25">
      <c r="A174" s="39" t="s">
        <v>184</v>
      </c>
      <c r="B174" s="50" t="s">
        <v>437</v>
      </c>
      <c r="C174" s="39" t="s">
        <v>438</v>
      </c>
      <c r="D174" s="39" t="str">
        <f t="shared" si="4"/>
        <v>Thread Ring Gauge (S-2171-59)</v>
      </c>
      <c r="E174" s="39" t="s">
        <v>76</v>
      </c>
      <c r="F174" s="39" t="s">
        <v>77</v>
      </c>
      <c r="G174" s="40">
        <v>45327</v>
      </c>
      <c r="H174" s="41">
        <v>1827</v>
      </c>
      <c r="I174" s="40">
        <f t="shared" si="5"/>
        <v>47154</v>
      </c>
      <c r="J174" s="42" t="s">
        <v>268</v>
      </c>
    </row>
    <row r="175" spans="1:10" x14ac:dyDescent="0.25">
      <c r="A175" s="39" t="s">
        <v>184</v>
      </c>
      <c r="B175" s="50" t="s">
        <v>439</v>
      </c>
      <c r="C175" s="39" t="s">
        <v>440</v>
      </c>
      <c r="D175" s="39" t="str">
        <f t="shared" si="4"/>
        <v>Thread Ring Gauge (S-2171-60)</v>
      </c>
      <c r="E175" s="39" t="s">
        <v>76</v>
      </c>
      <c r="F175" s="39" t="s">
        <v>77</v>
      </c>
      <c r="G175" s="40">
        <v>45327</v>
      </c>
      <c r="H175" s="41">
        <v>1827</v>
      </c>
      <c r="I175" s="40">
        <f t="shared" si="5"/>
        <v>47154</v>
      </c>
      <c r="J175" s="42" t="s">
        <v>268</v>
      </c>
    </row>
    <row r="176" spans="1:10" x14ac:dyDescent="0.25">
      <c r="A176" s="39" t="s">
        <v>184</v>
      </c>
      <c r="B176" s="50" t="s">
        <v>441</v>
      </c>
      <c r="C176" s="39" t="s">
        <v>442</v>
      </c>
      <c r="D176" s="39" t="str">
        <f t="shared" si="4"/>
        <v>Thread Ring Gauge (S-2171-61)</v>
      </c>
      <c r="E176" s="39" t="s">
        <v>76</v>
      </c>
      <c r="F176" s="39" t="s">
        <v>77</v>
      </c>
      <c r="G176" s="40">
        <v>45327</v>
      </c>
      <c r="H176" s="41">
        <v>1827</v>
      </c>
      <c r="I176" s="40">
        <f t="shared" si="5"/>
        <v>47154</v>
      </c>
      <c r="J176" s="42" t="s">
        <v>268</v>
      </c>
    </row>
    <row r="177" spans="1:10" x14ac:dyDescent="0.25">
      <c r="A177" s="39" t="s">
        <v>184</v>
      </c>
      <c r="B177" s="50" t="s">
        <v>443</v>
      </c>
      <c r="C177" s="39" t="s">
        <v>444</v>
      </c>
      <c r="D177" s="39" t="str">
        <f t="shared" si="4"/>
        <v>Thread Ring Gauge (S-2171-62)</v>
      </c>
      <c r="E177" s="39" t="s">
        <v>76</v>
      </c>
      <c r="F177" s="39" t="s">
        <v>77</v>
      </c>
      <c r="G177" s="40">
        <v>45327</v>
      </c>
      <c r="H177" s="41">
        <v>1827</v>
      </c>
      <c r="I177" s="40">
        <f t="shared" si="5"/>
        <v>47154</v>
      </c>
      <c r="J177" s="42" t="s">
        <v>268</v>
      </c>
    </row>
    <row r="178" spans="1:10" x14ac:dyDescent="0.25">
      <c r="A178" s="39" t="s">
        <v>184</v>
      </c>
      <c r="B178" s="50" t="s">
        <v>445</v>
      </c>
      <c r="C178" s="39" t="s">
        <v>446</v>
      </c>
      <c r="D178" s="39" t="str">
        <f t="shared" ref="D178:D216" si="6">A178 &amp; " (" &amp; C178 &amp; ")"</f>
        <v>Thread Ring Gauge (S-2171-37)</v>
      </c>
      <c r="E178" s="39" t="s">
        <v>76</v>
      </c>
      <c r="F178" s="39" t="s">
        <v>77</v>
      </c>
      <c r="G178" s="40">
        <v>45327</v>
      </c>
      <c r="H178" s="41">
        <v>1827</v>
      </c>
      <c r="I178" s="40">
        <f t="shared" si="5"/>
        <v>47154</v>
      </c>
      <c r="J178" s="42" t="s">
        <v>268</v>
      </c>
    </row>
    <row r="179" spans="1:10" x14ac:dyDescent="0.25">
      <c r="A179" s="39" t="s">
        <v>184</v>
      </c>
      <c r="B179" s="50" t="s">
        <v>447</v>
      </c>
      <c r="C179" s="39" t="s">
        <v>448</v>
      </c>
      <c r="D179" s="39" t="str">
        <f t="shared" si="6"/>
        <v>Thread Ring Gauge (S-2171-38)</v>
      </c>
      <c r="E179" s="39" t="s">
        <v>76</v>
      </c>
      <c r="F179" s="39" t="s">
        <v>77</v>
      </c>
      <c r="G179" s="40">
        <v>45327</v>
      </c>
      <c r="H179" s="41">
        <v>1827</v>
      </c>
      <c r="I179" s="40">
        <f t="shared" si="5"/>
        <v>47154</v>
      </c>
      <c r="J179" s="42" t="s">
        <v>268</v>
      </c>
    </row>
    <row r="180" spans="1:10" x14ac:dyDescent="0.25">
      <c r="A180" s="39" t="s">
        <v>184</v>
      </c>
      <c r="B180" s="50" t="s">
        <v>449</v>
      </c>
      <c r="C180" s="39" t="s">
        <v>450</v>
      </c>
      <c r="D180" s="39" t="str">
        <f t="shared" si="6"/>
        <v>Thread Ring Gauge (S-2171-39)</v>
      </c>
      <c r="E180" s="39" t="s">
        <v>76</v>
      </c>
      <c r="F180" s="39" t="s">
        <v>77</v>
      </c>
      <c r="G180" s="40">
        <v>45327</v>
      </c>
      <c r="H180" s="41">
        <v>1827</v>
      </c>
      <c r="I180" s="40">
        <f t="shared" si="5"/>
        <v>47154</v>
      </c>
      <c r="J180" s="42" t="s">
        <v>268</v>
      </c>
    </row>
    <row r="181" spans="1:10" x14ac:dyDescent="0.25">
      <c r="A181" s="39" t="s">
        <v>184</v>
      </c>
      <c r="B181" s="50" t="s">
        <v>451</v>
      </c>
      <c r="C181" s="39" t="s">
        <v>452</v>
      </c>
      <c r="D181" s="39" t="str">
        <f t="shared" si="6"/>
        <v>Thread Ring Gauge (S-2171-40)</v>
      </c>
      <c r="E181" s="39" t="s">
        <v>76</v>
      </c>
      <c r="F181" s="39" t="s">
        <v>77</v>
      </c>
      <c r="G181" s="40">
        <v>45327</v>
      </c>
      <c r="H181" s="41">
        <v>1827</v>
      </c>
      <c r="I181" s="40">
        <f t="shared" si="5"/>
        <v>47154</v>
      </c>
      <c r="J181" s="42" t="s">
        <v>268</v>
      </c>
    </row>
    <row r="182" spans="1:10" x14ac:dyDescent="0.25">
      <c r="A182" s="39" t="s">
        <v>184</v>
      </c>
      <c r="B182" s="50" t="s">
        <v>453</v>
      </c>
      <c r="C182" s="39" t="s">
        <v>454</v>
      </c>
      <c r="D182" s="39" t="str">
        <f t="shared" si="6"/>
        <v>Thread Ring Gauge (S-2171-1)</v>
      </c>
      <c r="E182" s="39" t="s">
        <v>76</v>
      </c>
      <c r="F182" s="39" t="s">
        <v>77</v>
      </c>
      <c r="G182" s="40">
        <v>45327</v>
      </c>
      <c r="H182" s="41">
        <v>1827</v>
      </c>
      <c r="I182" s="40">
        <f t="shared" si="5"/>
        <v>47154</v>
      </c>
      <c r="J182" s="42" t="s">
        <v>268</v>
      </c>
    </row>
    <row r="183" spans="1:10" x14ac:dyDescent="0.25">
      <c r="A183" s="39" t="s">
        <v>184</v>
      </c>
      <c r="B183" s="50" t="s">
        <v>455</v>
      </c>
      <c r="C183" s="39" t="s">
        <v>456</v>
      </c>
      <c r="D183" s="39" t="str">
        <f t="shared" si="6"/>
        <v>Thread Ring Gauge (S-2171-2)</v>
      </c>
      <c r="E183" s="39" t="s">
        <v>76</v>
      </c>
      <c r="F183" s="39" t="s">
        <v>77</v>
      </c>
      <c r="G183" s="40">
        <v>45327</v>
      </c>
      <c r="H183" s="41">
        <v>1827</v>
      </c>
      <c r="I183" s="40">
        <f t="shared" si="5"/>
        <v>47154</v>
      </c>
      <c r="J183" s="42" t="s">
        <v>268</v>
      </c>
    </row>
    <row r="184" spans="1:10" x14ac:dyDescent="0.25">
      <c r="A184" s="39" t="s">
        <v>184</v>
      </c>
      <c r="B184" s="50" t="s">
        <v>457</v>
      </c>
      <c r="C184" s="39" t="s">
        <v>458</v>
      </c>
      <c r="D184" s="39" t="str">
        <f t="shared" si="6"/>
        <v>Thread Ring Gauge (S-2171-3)</v>
      </c>
      <c r="E184" s="39" t="s">
        <v>76</v>
      </c>
      <c r="F184" s="39" t="s">
        <v>77</v>
      </c>
      <c r="G184" s="40">
        <v>45327</v>
      </c>
      <c r="H184" s="41">
        <v>1827</v>
      </c>
      <c r="I184" s="40">
        <f t="shared" si="5"/>
        <v>47154</v>
      </c>
      <c r="J184" s="42" t="s">
        <v>268</v>
      </c>
    </row>
    <row r="185" spans="1:10" x14ac:dyDescent="0.25">
      <c r="A185" s="39" t="s">
        <v>184</v>
      </c>
      <c r="B185" s="50" t="s">
        <v>459</v>
      </c>
      <c r="C185" s="39" t="s">
        <v>460</v>
      </c>
      <c r="D185" s="39" t="str">
        <f t="shared" si="6"/>
        <v>Thread Ring Gauge (S-2171-4)</v>
      </c>
      <c r="E185" s="39" t="s">
        <v>76</v>
      </c>
      <c r="F185" s="39" t="s">
        <v>77</v>
      </c>
      <c r="G185" s="40">
        <v>45327</v>
      </c>
      <c r="H185" s="41">
        <v>1827</v>
      </c>
      <c r="I185" s="40">
        <f t="shared" si="5"/>
        <v>47154</v>
      </c>
      <c r="J185" s="42" t="s">
        <v>268</v>
      </c>
    </row>
    <row r="186" spans="1:10" x14ac:dyDescent="0.25">
      <c r="A186" s="39" t="s">
        <v>184</v>
      </c>
      <c r="B186" s="50" t="s">
        <v>461</v>
      </c>
      <c r="C186" s="39" t="s">
        <v>462</v>
      </c>
      <c r="D186" s="39" t="str">
        <f t="shared" si="6"/>
        <v>Thread Ring Gauge (S-2171-33)</v>
      </c>
      <c r="E186" s="39" t="s">
        <v>76</v>
      </c>
      <c r="F186" s="39" t="s">
        <v>77</v>
      </c>
      <c r="G186" s="40">
        <v>45327</v>
      </c>
      <c r="H186" s="41">
        <v>1827</v>
      </c>
      <c r="I186" s="40">
        <f t="shared" si="5"/>
        <v>47154</v>
      </c>
      <c r="J186" s="42" t="s">
        <v>268</v>
      </c>
    </row>
    <row r="187" spans="1:10" x14ac:dyDescent="0.25">
      <c r="A187" s="39" t="s">
        <v>184</v>
      </c>
      <c r="B187" s="50" t="s">
        <v>463</v>
      </c>
      <c r="C187" s="39" t="s">
        <v>464</v>
      </c>
      <c r="D187" s="39" t="str">
        <f t="shared" si="6"/>
        <v>Thread Ring Gauge (S-2171-34)</v>
      </c>
      <c r="E187" s="39" t="s">
        <v>76</v>
      </c>
      <c r="F187" s="39" t="s">
        <v>77</v>
      </c>
      <c r="G187" s="40">
        <v>45327</v>
      </c>
      <c r="H187" s="41">
        <v>1827</v>
      </c>
      <c r="I187" s="40">
        <f t="shared" si="5"/>
        <v>47154</v>
      </c>
      <c r="J187" s="42" t="s">
        <v>268</v>
      </c>
    </row>
    <row r="188" spans="1:10" x14ac:dyDescent="0.25">
      <c r="A188" s="39" t="s">
        <v>184</v>
      </c>
      <c r="B188" s="50" t="s">
        <v>465</v>
      </c>
      <c r="C188" s="39" t="s">
        <v>466</v>
      </c>
      <c r="D188" s="39" t="str">
        <f t="shared" si="6"/>
        <v>Thread Ring Gauge (S-2171-35)</v>
      </c>
      <c r="E188" s="39" t="s">
        <v>76</v>
      </c>
      <c r="F188" s="39" t="s">
        <v>77</v>
      </c>
      <c r="G188" s="40">
        <v>45327</v>
      </c>
      <c r="H188" s="41">
        <v>1827</v>
      </c>
      <c r="I188" s="40">
        <f t="shared" si="5"/>
        <v>47154</v>
      </c>
      <c r="J188" s="42" t="s">
        <v>268</v>
      </c>
    </row>
    <row r="189" spans="1:10" x14ac:dyDescent="0.25">
      <c r="A189" s="39" t="s">
        <v>184</v>
      </c>
      <c r="B189" s="50" t="s">
        <v>467</v>
      </c>
      <c r="C189" s="39" t="s">
        <v>468</v>
      </c>
      <c r="D189" s="39" t="str">
        <f t="shared" si="6"/>
        <v>Thread Ring Gauge (S-2171-36)</v>
      </c>
      <c r="E189" s="39" t="s">
        <v>76</v>
      </c>
      <c r="F189" s="39" t="s">
        <v>77</v>
      </c>
      <c r="G189" s="40">
        <v>45327</v>
      </c>
      <c r="H189" s="41">
        <v>1827</v>
      </c>
      <c r="I189" s="40">
        <f t="shared" si="5"/>
        <v>47154</v>
      </c>
      <c r="J189" s="42" t="s">
        <v>268</v>
      </c>
    </row>
    <row r="190" spans="1:10" x14ac:dyDescent="0.25">
      <c r="A190" s="39" t="s">
        <v>184</v>
      </c>
      <c r="B190" s="50" t="s">
        <v>469</v>
      </c>
      <c r="C190" s="39" t="s">
        <v>470</v>
      </c>
      <c r="D190" s="39" t="str">
        <f t="shared" si="6"/>
        <v>Thread Ring Gauge (S-2171-53)</v>
      </c>
      <c r="E190" s="39" t="s">
        <v>76</v>
      </c>
      <c r="F190" s="39" t="s">
        <v>77</v>
      </c>
      <c r="G190" s="40">
        <v>45327</v>
      </c>
      <c r="H190" s="41">
        <v>1827</v>
      </c>
      <c r="I190" s="40">
        <f t="shared" si="5"/>
        <v>47154</v>
      </c>
      <c r="J190" s="42" t="s">
        <v>268</v>
      </c>
    </row>
    <row r="191" spans="1:10" x14ac:dyDescent="0.25">
      <c r="A191" s="39" t="s">
        <v>184</v>
      </c>
      <c r="B191" s="50" t="s">
        <v>471</v>
      </c>
      <c r="C191" s="39" t="s">
        <v>472</v>
      </c>
      <c r="D191" s="39" t="str">
        <f t="shared" si="6"/>
        <v>Thread Ring Gauge (S-2171-54)</v>
      </c>
      <c r="E191" s="39" t="s">
        <v>76</v>
      </c>
      <c r="F191" s="39" t="s">
        <v>77</v>
      </c>
      <c r="G191" s="40">
        <v>45327</v>
      </c>
      <c r="H191" s="41">
        <v>1827</v>
      </c>
      <c r="I191" s="40">
        <f t="shared" si="5"/>
        <v>47154</v>
      </c>
      <c r="J191" s="42" t="s">
        <v>268</v>
      </c>
    </row>
    <row r="192" spans="1:10" x14ac:dyDescent="0.25">
      <c r="A192" s="39" t="s">
        <v>184</v>
      </c>
      <c r="B192" s="50" t="s">
        <v>473</v>
      </c>
      <c r="C192" s="39" t="s">
        <v>474</v>
      </c>
      <c r="D192" s="39" t="str">
        <f t="shared" si="6"/>
        <v>Thread Ring Gauge (S-2171-55)</v>
      </c>
      <c r="E192" s="39" t="s">
        <v>76</v>
      </c>
      <c r="F192" s="39" t="s">
        <v>77</v>
      </c>
      <c r="G192" s="40">
        <v>45327</v>
      </c>
      <c r="H192" s="41">
        <v>1827</v>
      </c>
      <c r="I192" s="40">
        <f t="shared" si="5"/>
        <v>47154</v>
      </c>
      <c r="J192" s="42" t="s">
        <v>268</v>
      </c>
    </row>
    <row r="193" spans="1:10" x14ac:dyDescent="0.25">
      <c r="A193" s="39" t="s">
        <v>184</v>
      </c>
      <c r="B193" s="50" t="s">
        <v>475</v>
      </c>
      <c r="C193" s="39" t="s">
        <v>476</v>
      </c>
      <c r="D193" s="39" t="str">
        <f t="shared" si="6"/>
        <v>Thread Ring Gauge (S-2171-56)</v>
      </c>
      <c r="E193" s="39" t="s">
        <v>76</v>
      </c>
      <c r="F193" s="39" t="s">
        <v>77</v>
      </c>
      <c r="G193" s="40">
        <v>45327</v>
      </c>
      <c r="H193" s="41">
        <v>1827</v>
      </c>
      <c r="I193" s="40">
        <f t="shared" si="5"/>
        <v>47154</v>
      </c>
      <c r="J193" s="42" t="s">
        <v>268</v>
      </c>
    </row>
    <row r="194" spans="1:10" x14ac:dyDescent="0.25">
      <c r="A194" s="39" t="s">
        <v>184</v>
      </c>
      <c r="B194" s="50" t="s">
        <v>477</v>
      </c>
      <c r="C194" s="39" t="s">
        <v>478</v>
      </c>
      <c r="D194" s="39" t="str">
        <f t="shared" si="6"/>
        <v>Thread Ring Gauge (S-2171-5)</v>
      </c>
      <c r="E194" s="39" t="s">
        <v>76</v>
      </c>
      <c r="F194" s="39" t="s">
        <v>77</v>
      </c>
      <c r="G194" s="40">
        <v>45327</v>
      </c>
      <c r="H194" s="41">
        <v>1827</v>
      </c>
      <c r="I194" s="40">
        <f t="shared" ref="I194:I216" si="7">IF(G194="","",G194+H194)</f>
        <v>47154</v>
      </c>
      <c r="J194" s="42" t="s">
        <v>268</v>
      </c>
    </row>
    <row r="195" spans="1:10" x14ac:dyDescent="0.25">
      <c r="A195" s="39" t="s">
        <v>184</v>
      </c>
      <c r="B195" s="50" t="s">
        <v>479</v>
      </c>
      <c r="C195" s="39" t="s">
        <v>480</v>
      </c>
      <c r="D195" s="39" t="str">
        <f t="shared" si="6"/>
        <v>Thread Ring Gauge (S-2171-6)</v>
      </c>
      <c r="E195" s="39" t="s">
        <v>76</v>
      </c>
      <c r="F195" s="39" t="s">
        <v>77</v>
      </c>
      <c r="G195" s="40">
        <v>45327</v>
      </c>
      <c r="H195" s="41">
        <v>1827</v>
      </c>
      <c r="I195" s="40">
        <f t="shared" si="7"/>
        <v>47154</v>
      </c>
      <c r="J195" s="42" t="s">
        <v>268</v>
      </c>
    </row>
    <row r="196" spans="1:10" x14ac:dyDescent="0.25">
      <c r="A196" s="39" t="s">
        <v>184</v>
      </c>
      <c r="B196" s="50" t="s">
        <v>481</v>
      </c>
      <c r="C196" s="39" t="s">
        <v>482</v>
      </c>
      <c r="D196" s="39" t="str">
        <f t="shared" si="6"/>
        <v>Thread Ring Gauge (S-2171-7)</v>
      </c>
      <c r="E196" s="39" t="s">
        <v>76</v>
      </c>
      <c r="F196" s="39" t="s">
        <v>77</v>
      </c>
      <c r="G196" s="40">
        <v>45327</v>
      </c>
      <c r="H196" s="41">
        <v>1827</v>
      </c>
      <c r="I196" s="40">
        <f t="shared" si="7"/>
        <v>47154</v>
      </c>
      <c r="J196" s="42" t="s">
        <v>268</v>
      </c>
    </row>
    <row r="197" spans="1:10" x14ac:dyDescent="0.25">
      <c r="A197" s="39" t="s">
        <v>184</v>
      </c>
      <c r="B197" s="50" t="s">
        <v>483</v>
      </c>
      <c r="C197" s="39" t="s">
        <v>484</v>
      </c>
      <c r="D197" s="39" t="str">
        <f t="shared" si="6"/>
        <v>Thread Ring Gauge (S-2171-8)</v>
      </c>
      <c r="E197" s="39" t="s">
        <v>76</v>
      </c>
      <c r="F197" s="39" t="s">
        <v>77</v>
      </c>
      <c r="G197" s="40">
        <v>45327</v>
      </c>
      <c r="H197" s="41">
        <v>1827</v>
      </c>
      <c r="I197" s="40">
        <f t="shared" si="7"/>
        <v>47154</v>
      </c>
      <c r="J197" s="42" t="s">
        <v>268</v>
      </c>
    </row>
    <row r="198" spans="1:10" x14ac:dyDescent="0.25">
      <c r="A198" s="39" t="s">
        <v>184</v>
      </c>
      <c r="B198" s="50" t="s">
        <v>485</v>
      </c>
      <c r="C198" s="39" t="s">
        <v>486</v>
      </c>
      <c r="D198" s="39" t="str">
        <f t="shared" si="6"/>
        <v>Thread Ring Gauge (S-2171-9)</v>
      </c>
      <c r="E198" s="39" t="s">
        <v>76</v>
      </c>
      <c r="F198" s="39" t="s">
        <v>77</v>
      </c>
      <c r="G198" s="40">
        <v>45327</v>
      </c>
      <c r="H198" s="41">
        <v>1827</v>
      </c>
      <c r="I198" s="40">
        <f t="shared" si="7"/>
        <v>47154</v>
      </c>
      <c r="J198" s="42" t="s">
        <v>268</v>
      </c>
    </row>
    <row r="199" spans="1:10" x14ac:dyDescent="0.25">
      <c r="A199" s="39" t="s">
        <v>184</v>
      </c>
      <c r="B199" s="50" t="s">
        <v>487</v>
      </c>
      <c r="C199" s="39" t="s">
        <v>488</v>
      </c>
      <c r="D199" s="39" t="str">
        <f t="shared" si="6"/>
        <v>Thread Ring Gauge (S-2171-10)</v>
      </c>
      <c r="E199" s="39" t="s">
        <v>76</v>
      </c>
      <c r="F199" s="39" t="s">
        <v>77</v>
      </c>
      <c r="G199" s="40">
        <v>45327</v>
      </c>
      <c r="H199" s="41">
        <v>1827</v>
      </c>
      <c r="I199" s="40">
        <f t="shared" si="7"/>
        <v>47154</v>
      </c>
      <c r="J199" s="42" t="s">
        <v>268</v>
      </c>
    </row>
    <row r="200" spans="1:10" x14ac:dyDescent="0.25">
      <c r="A200" s="39" t="s">
        <v>184</v>
      </c>
      <c r="B200" s="50" t="s">
        <v>489</v>
      </c>
      <c r="C200" s="39" t="s">
        <v>490</v>
      </c>
      <c r="D200" s="39" t="str">
        <f t="shared" si="6"/>
        <v>Thread Ring Gauge (S-2171-11)</v>
      </c>
      <c r="E200" s="39" t="s">
        <v>76</v>
      </c>
      <c r="F200" s="39" t="s">
        <v>77</v>
      </c>
      <c r="G200" s="40">
        <v>45327</v>
      </c>
      <c r="H200" s="41">
        <v>1827</v>
      </c>
      <c r="I200" s="40">
        <f t="shared" si="7"/>
        <v>47154</v>
      </c>
      <c r="J200" s="42" t="s">
        <v>268</v>
      </c>
    </row>
    <row r="201" spans="1:10" x14ac:dyDescent="0.25">
      <c r="A201" s="39" t="s">
        <v>184</v>
      </c>
      <c r="B201" s="50" t="s">
        <v>491</v>
      </c>
      <c r="C201" s="39" t="s">
        <v>492</v>
      </c>
      <c r="D201" s="39" t="str">
        <f t="shared" si="6"/>
        <v>Thread Ring Gauge (S-2171-12)</v>
      </c>
      <c r="E201" s="39" t="s">
        <v>76</v>
      </c>
      <c r="F201" s="39" t="s">
        <v>77</v>
      </c>
      <c r="G201" s="40">
        <v>45327</v>
      </c>
      <c r="H201" s="41">
        <v>1827</v>
      </c>
      <c r="I201" s="40">
        <f t="shared" si="7"/>
        <v>47154</v>
      </c>
      <c r="J201" s="42" t="s">
        <v>268</v>
      </c>
    </row>
    <row r="202" spans="1:10" x14ac:dyDescent="0.25">
      <c r="A202" s="39" t="s">
        <v>184</v>
      </c>
      <c r="B202" s="50" t="s">
        <v>493</v>
      </c>
      <c r="C202" s="39" t="s">
        <v>494</v>
      </c>
      <c r="D202" s="39" t="str">
        <f t="shared" si="6"/>
        <v>Thread Ring Gauge (S-2171-41)</v>
      </c>
      <c r="E202" s="39" t="s">
        <v>76</v>
      </c>
      <c r="F202" s="39" t="s">
        <v>77</v>
      </c>
      <c r="G202" s="40">
        <v>45327</v>
      </c>
      <c r="H202" s="41">
        <v>1827</v>
      </c>
      <c r="I202" s="40">
        <f t="shared" si="7"/>
        <v>47154</v>
      </c>
      <c r="J202" s="42" t="s">
        <v>268</v>
      </c>
    </row>
    <row r="203" spans="1:10" x14ac:dyDescent="0.25">
      <c r="A203" s="39" t="s">
        <v>184</v>
      </c>
      <c r="B203" s="50" t="s">
        <v>495</v>
      </c>
      <c r="C203" s="39" t="s">
        <v>496</v>
      </c>
      <c r="D203" s="39" t="str">
        <f t="shared" si="6"/>
        <v>Thread Ring Gauge (S-2171-42)</v>
      </c>
      <c r="E203" s="39" t="s">
        <v>76</v>
      </c>
      <c r="F203" s="39" t="s">
        <v>77</v>
      </c>
      <c r="G203" s="40">
        <v>45327</v>
      </c>
      <c r="H203" s="41">
        <v>1827</v>
      </c>
      <c r="I203" s="40">
        <f t="shared" si="7"/>
        <v>47154</v>
      </c>
      <c r="J203" s="42" t="s">
        <v>268</v>
      </c>
    </row>
    <row r="204" spans="1:10" x14ac:dyDescent="0.25">
      <c r="A204" s="39" t="s">
        <v>184</v>
      </c>
      <c r="B204" s="50" t="s">
        <v>497</v>
      </c>
      <c r="C204" s="39" t="s">
        <v>498</v>
      </c>
      <c r="D204" s="39" t="str">
        <f t="shared" si="6"/>
        <v>Thread Ring Gauge (S-2171-43)</v>
      </c>
      <c r="E204" s="39" t="s">
        <v>76</v>
      </c>
      <c r="F204" s="39" t="s">
        <v>77</v>
      </c>
      <c r="G204" s="40">
        <v>45327</v>
      </c>
      <c r="H204" s="41">
        <v>1827</v>
      </c>
      <c r="I204" s="40">
        <f t="shared" si="7"/>
        <v>47154</v>
      </c>
      <c r="J204" s="42" t="s">
        <v>268</v>
      </c>
    </row>
    <row r="205" spans="1:10" x14ac:dyDescent="0.25">
      <c r="A205" s="39" t="s">
        <v>184</v>
      </c>
      <c r="B205" s="50" t="s">
        <v>499</v>
      </c>
      <c r="C205" s="39" t="s">
        <v>500</v>
      </c>
      <c r="D205" s="39" t="str">
        <f t="shared" si="6"/>
        <v>Thread Ring Gauge (S-2171-44)</v>
      </c>
      <c r="E205" s="39" t="s">
        <v>76</v>
      </c>
      <c r="F205" s="39" t="s">
        <v>77</v>
      </c>
      <c r="G205" s="40">
        <v>45327</v>
      </c>
      <c r="H205" s="41">
        <v>1827</v>
      </c>
      <c r="I205" s="40">
        <f t="shared" si="7"/>
        <v>47154</v>
      </c>
      <c r="J205" s="42" t="s">
        <v>268</v>
      </c>
    </row>
    <row r="206" spans="1:10" x14ac:dyDescent="0.25">
      <c r="A206" s="39" t="s">
        <v>184</v>
      </c>
      <c r="B206" s="50" t="s">
        <v>501</v>
      </c>
      <c r="C206" s="39" t="s">
        <v>502</v>
      </c>
      <c r="D206" s="39" t="str">
        <f t="shared" si="6"/>
        <v>Thread Ring Gauge (S-2171-67)</v>
      </c>
      <c r="E206" s="39" t="s">
        <v>76</v>
      </c>
      <c r="F206" s="39" t="s">
        <v>77</v>
      </c>
      <c r="G206" s="40">
        <v>45327</v>
      </c>
      <c r="H206" s="41">
        <v>1827</v>
      </c>
      <c r="I206" s="40">
        <f t="shared" si="7"/>
        <v>47154</v>
      </c>
      <c r="J206" s="42" t="s">
        <v>268</v>
      </c>
    </row>
    <row r="207" spans="1:10" x14ac:dyDescent="0.25">
      <c r="A207" s="39" t="s">
        <v>184</v>
      </c>
      <c r="B207" s="50" t="s">
        <v>503</v>
      </c>
      <c r="C207" s="39" t="s">
        <v>504</v>
      </c>
      <c r="D207" s="39" t="str">
        <f t="shared" si="6"/>
        <v>Thread Ring Gauge (S-2171-68)</v>
      </c>
      <c r="E207" s="39" t="s">
        <v>76</v>
      </c>
      <c r="F207" s="39" t="s">
        <v>77</v>
      </c>
      <c r="G207" s="40">
        <v>45327</v>
      </c>
      <c r="H207" s="41">
        <v>1827</v>
      </c>
      <c r="I207" s="40">
        <f t="shared" si="7"/>
        <v>47154</v>
      </c>
      <c r="J207" s="42" t="s">
        <v>268</v>
      </c>
    </row>
    <row r="208" spans="1:10" x14ac:dyDescent="0.25">
      <c r="A208" s="39" t="s">
        <v>184</v>
      </c>
      <c r="B208" s="50" t="s">
        <v>505</v>
      </c>
      <c r="C208" s="39" t="s">
        <v>506</v>
      </c>
      <c r="D208" s="39" t="str">
        <f t="shared" si="6"/>
        <v>Thread Ring Gauge (S-2171-13)</v>
      </c>
      <c r="E208" s="39" t="s">
        <v>76</v>
      </c>
      <c r="F208" s="39" t="s">
        <v>77</v>
      </c>
      <c r="G208" s="40">
        <v>45327</v>
      </c>
      <c r="H208" s="41">
        <v>1827</v>
      </c>
      <c r="I208" s="40">
        <f t="shared" si="7"/>
        <v>47154</v>
      </c>
      <c r="J208" s="42" t="s">
        <v>268</v>
      </c>
    </row>
    <row r="209" spans="1:10" x14ac:dyDescent="0.25">
      <c r="A209" s="39" t="s">
        <v>184</v>
      </c>
      <c r="B209" s="50" t="s">
        <v>507</v>
      </c>
      <c r="C209" s="39" t="s">
        <v>508</v>
      </c>
      <c r="D209" s="39" t="str">
        <f t="shared" si="6"/>
        <v>Thread Ring Gauge (S-2171-14)</v>
      </c>
      <c r="E209" s="39" t="s">
        <v>76</v>
      </c>
      <c r="F209" s="39" t="s">
        <v>77</v>
      </c>
      <c r="G209" s="40">
        <v>45327</v>
      </c>
      <c r="H209" s="41">
        <v>1827</v>
      </c>
      <c r="I209" s="40">
        <f t="shared" si="7"/>
        <v>47154</v>
      </c>
      <c r="J209" s="42" t="s">
        <v>268</v>
      </c>
    </row>
    <row r="210" spans="1:10" x14ac:dyDescent="0.25">
      <c r="A210" s="39" t="s">
        <v>184</v>
      </c>
      <c r="B210" s="50" t="s">
        <v>509</v>
      </c>
      <c r="C210" s="39" t="s">
        <v>510</v>
      </c>
      <c r="D210" s="39" t="str">
        <f t="shared" si="6"/>
        <v>Thread Ring Gauge (S-2171-15)</v>
      </c>
      <c r="E210" s="39" t="s">
        <v>76</v>
      </c>
      <c r="F210" s="39" t="s">
        <v>77</v>
      </c>
      <c r="G210" s="40">
        <v>45327</v>
      </c>
      <c r="H210" s="41">
        <v>1827</v>
      </c>
      <c r="I210" s="40">
        <f t="shared" si="7"/>
        <v>47154</v>
      </c>
      <c r="J210" s="42" t="s">
        <v>268</v>
      </c>
    </row>
    <row r="211" spans="1:10" x14ac:dyDescent="0.25">
      <c r="A211" s="39" t="s">
        <v>184</v>
      </c>
      <c r="B211" s="50" t="s">
        <v>511</v>
      </c>
      <c r="C211" s="39" t="s">
        <v>512</v>
      </c>
      <c r="D211" s="39" t="str">
        <f t="shared" si="6"/>
        <v>Thread Ring Gauge (S-2171-16)</v>
      </c>
      <c r="E211" s="39" t="s">
        <v>76</v>
      </c>
      <c r="F211" s="39" t="s">
        <v>77</v>
      </c>
      <c r="G211" s="40">
        <v>45327</v>
      </c>
      <c r="H211" s="41">
        <v>1827</v>
      </c>
      <c r="I211" s="40">
        <f t="shared" si="7"/>
        <v>47154</v>
      </c>
      <c r="J211" s="42" t="s">
        <v>268</v>
      </c>
    </row>
    <row r="212" spans="1:10" x14ac:dyDescent="0.25">
      <c r="A212" s="39" t="s">
        <v>184</v>
      </c>
      <c r="B212" s="50" t="s">
        <v>513</v>
      </c>
      <c r="C212" s="39" t="s">
        <v>514</v>
      </c>
      <c r="D212" s="39" t="str">
        <f t="shared" si="6"/>
        <v>Thread Ring Gauge (S-2171-49)</v>
      </c>
      <c r="E212" s="39" t="s">
        <v>76</v>
      </c>
      <c r="F212" s="39" t="s">
        <v>77</v>
      </c>
      <c r="G212" s="40">
        <v>45327</v>
      </c>
      <c r="H212" s="41">
        <v>1827</v>
      </c>
      <c r="I212" s="40">
        <f t="shared" si="7"/>
        <v>47154</v>
      </c>
      <c r="J212" s="42" t="s">
        <v>268</v>
      </c>
    </row>
    <row r="213" spans="1:10" x14ac:dyDescent="0.25">
      <c r="A213" s="39" t="s">
        <v>184</v>
      </c>
      <c r="B213" s="50" t="s">
        <v>515</v>
      </c>
      <c r="C213" s="39" t="s">
        <v>516</v>
      </c>
      <c r="D213" s="39" t="str">
        <f t="shared" si="6"/>
        <v>Thread Ring Gauge (S-2171-50)</v>
      </c>
      <c r="E213" s="39" t="s">
        <v>76</v>
      </c>
      <c r="F213" s="39" t="s">
        <v>77</v>
      </c>
      <c r="G213" s="40">
        <v>45327</v>
      </c>
      <c r="H213" s="41">
        <v>1827</v>
      </c>
      <c r="I213" s="40">
        <f t="shared" si="7"/>
        <v>47154</v>
      </c>
      <c r="J213" s="42" t="s">
        <v>268</v>
      </c>
    </row>
    <row r="214" spans="1:10" x14ac:dyDescent="0.25">
      <c r="A214" s="39" t="s">
        <v>184</v>
      </c>
      <c r="B214" s="50" t="s">
        <v>517</v>
      </c>
      <c r="C214" s="39" t="s">
        <v>518</v>
      </c>
      <c r="D214" s="39" t="str">
        <f t="shared" si="6"/>
        <v>Thread Ring Gauge (S-2171-51)</v>
      </c>
      <c r="E214" s="39" t="s">
        <v>76</v>
      </c>
      <c r="F214" s="39" t="s">
        <v>77</v>
      </c>
      <c r="G214" s="40">
        <v>45327</v>
      </c>
      <c r="H214" s="41">
        <v>1827</v>
      </c>
      <c r="I214" s="40">
        <f t="shared" si="7"/>
        <v>47154</v>
      </c>
      <c r="J214" s="42" t="s">
        <v>268</v>
      </c>
    </row>
    <row r="215" spans="1:10" x14ac:dyDescent="0.25">
      <c r="A215" s="39" t="s">
        <v>184</v>
      </c>
      <c r="B215" s="50" t="s">
        <v>519</v>
      </c>
      <c r="C215" s="39" t="s">
        <v>520</v>
      </c>
      <c r="D215" s="39" t="str">
        <f t="shared" si="6"/>
        <v>Thread Ring Gauge (S-2171-52)</v>
      </c>
      <c r="E215" s="39" t="s">
        <v>76</v>
      </c>
      <c r="F215" s="39" t="s">
        <v>77</v>
      </c>
      <c r="G215" s="40">
        <v>45327</v>
      </c>
      <c r="H215" s="41">
        <v>1827</v>
      </c>
      <c r="I215" s="40">
        <f t="shared" si="7"/>
        <v>47154</v>
      </c>
      <c r="J215" s="42" t="s">
        <v>268</v>
      </c>
    </row>
    <row r="216" spans="1:10" x14ac:dyDescent="0.25">
      <c r="A216" s="39" t="s">
        <v>521</v>
      </c>
      <c r="B216" s="50" t="s">
        <v>522</v>
      </c>
      <c r="C216" s="39" t="s">
        <v>523</v>
      </c>
      <c r="D216" s="39" t="str">
        <f t="shared" si="6"/>
        <v>V-Blocks  (S-2029)</v>
      </c>
      <c r="E216" s="39" t="s">
        <v>76</v>
      </c>
      <c r="F216" s="39" t="s">
        <v>77</v>
      </c>
      <c r="G216" s="40">
        <v>45327</v>
      </c>
      <c r="H216" s="41">
        <v>1827</v>
      </c>
      <c r="I216" s="40">
        <f t="shared" si="7"/>
        <v>47154</v>
      </c>
      <c r="J216" s="42" t="s">
        <v>268</v>
      </c>
    </row>
  </sheetData>
  <conditionalFormatting sqref="I2:I216">
    <cfRule type="cellIs" dxfId="4" priority="2" operator="lessThanOrEqual">
      <formula>TODAY()</formula>
    </cfRule>
    <cfRule type="timePeriod" dxfId="3" priority="3" timePeriod="thisMonth">
      <formula>AND(MONTH(I2)=MONTH(TODAY()),YEAR(I2)=YEAR(TODAY()))</formula>
    </cfRule>
  </conditionalFormatting>
  <conditionalFormatting sqref="J2:J216">
    <cfRule type="containsText" dxfId="2" priority="1" operator="containsText" text="OUT FOR CALIBRATION">
      <formula>NOT(ISERROR(SEARCH("OUT FOR CALIBRATION",J2)))</formula>
    </cfRule>
    <cfRule type="containsText" dxfId="1" priority="4" operator="containsText" text="NOT COMPLETE">
      <formula>NOT(ISERROR(SEARCH("NOT COMPLETE",J2)))</formula>
    </cfRule>
    <cfRule type="containsText" dxfId="0" priority="5" operator="containsText" text="COMPLETE">
      <formula>NOT(ISERROR(SEARCH("COMPLETE",J2)))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B7719-8007-48CA-9AF9-DF9D843DA027}">
  <sheetPr codeName="Sheet7"/>
  <dimension ref="B2:O35"/>
  <sheetViews>
    <sheetView workbookViewId="0">
      <selection activeCell="B14" sqref="B14"/>
    </sheetView>
  </sheetViews>
  <sheetFormatPr defaultRowHeight="15" x14ac:dyDescent="0.25"/>
  <cols>
    <col min="1" max="1" width="9.140625" style="60"/>
    <col min="2" max="2" width="20.85546875" style="60" bestFit="1" customWidth="1"/>
    <col min="3" max="3" width="10.5703125" style="60" customWidth="1"/>
    <col min="4" max="4" width="10.140625" style="60" customWidth="1"/>
    <col min="5" max="5" width="28" style="61" bestFit="1" customWidth="1"/>
    <col min="6" max="6" width="16.5703125" style="60" bestFit="1" customWidth="1"/>
    <col min="7" max="7" width="13.5703125" style="60" bestFit="1" customWidth="1"/>
    <col min="8" max="8" width="9.140625" style="60"/>
    <col min="9" max="9" width="12.7109375" style="60" bestFit="1" customWidth="1"/>
    <col min="10" max="10" width="10.28515625" style="60" bestFit="1" customWidth="1"/>
    <col min="11" max="11" width="9.140625" style="60"/>
    <col min="12" max="12" width="12.85546875" style="60" bestFit="1" customWidth="1"/>
    <col min="13" max="13" width="20.85546875" style="60" bestFit="1" customWidth="1"/>
    <col min="14" max="14" width="27.85546875" style="60" bestFit="1" customWidth="1"/>
    <col min="15" max="15" width="59.28515625" style="60" bestFit="1" customWidth="1"/>
    <col min="16" max="16384" width="9.140625" style="60"/>
  </cols>
  <sheetData>
    <row r="2" spans="2:15" x14ac:dyDescent="0.25">
      <c r="B2" s="83" t="s">
        <v>769</v>
      </c>
      <c r="C2" s="82" t="s">
        <v>773</v>
      </c>
      <c r="D2" s="82"/>
      <c r="E2" s="83" t="s">
        <v>770</v>
      </c>
      <c r="F2" s="83" t="s">
        <v>771</v>
      </c>
      <c r="G2" s="85" t="s">
        <v>772</v>
      </c>
      <c r="I2" s="60" t="s">
        <v>888</v>
      </c>
      <c r="J2" s="60" t="s">
        <v>889</v>
      </c>
      <c r="K2" s="60" t="s">
        <v>887</v>
      </c>
    </row>
    <row r="3" spans="2:15" x14ac:dyDescent="0.25">
      <c r="B3" s="84"/>
      <c r="C3" s="66" t="s">
        <v>774</v>
      </c>
      <c r="D3" s="66" t="s">
        <v>775</v>
      </c>
      <c r="E3" s="84"/>
      <c r="F3" s="84"/>
      <c r="G3" s="86"/>
      <c r="I3" s="60" t="s">
        <v>893</v>
      </c>
      <c r="J3" s="60" t="s">
        <v>886</v>
      </c>
      <c r="K3" s="60" t="s">
        <v>894</v>
      </c>
      <c r="L3" s="60" t="s">
        <v>895</v>
      </c>
      <c r="M3" s="60" t="s">
        <v>786</v>
      </c>
      <c r="N3" s="60" t="s">
        <v>897</v>
      </c>
    </row>
    <row r="4" spans="2:15" x14ac:dyDescent="0.25">
      <c r="B4" s="68" t="s">
        <v>253</v>
      </c>
      <c r="C4" s="68" t="s">
        <v>781</v>
      </c>
      <c r="D4" s="62">
        <v>0.02</v>
      </c>
      <c r="E4" s="71" t="s">
        <v>782</v>
      </c>
      <c r="F4" s="68" t="s">
        <v>776</v>
      </c>
      <c r="G4" s="67" t="s">
        <v>777</v>
      </c>
      <c r="J4" s="60" t="s">
        <v>898</v>
      </c>
      <c r="K4" s="60" t="s">
        <v>894</v>
      </c>
      <c r="L4" s="60" t="s">
        <v>896</v>
      </c>
    </row>
    <row r="5" spans="2:15" x14ac:dyDescent="0.25">
      <c r="B5" s="69"/>
      <c r="C5" s="69"/>
      <c r="D5" s="63"/>
      <c r="E5" s="72" t="s">
        <v>778</v>
      </c>
      <c r="F5" s="69"/>
      <c r="G5" s="63"/>
    </row>
    <row r="6" spans="2:15" x14ac:dyDescent="0.25">
      <c r="B6" s="69"/>
      <c r="C6" s="69"/>
      <c r="D6" s="63"/>
      <c r="E6" s="72" t="s">
        <v>779</v>
      </c>
      <c r="F6" s="69"/>
      <c r="G6" s="63"/>
    </row>
    <row r="7" spans="2:15" x14ac:dyDescent="0.25">
      <c r="B7" s="70"/>
      <c r="C7" s="70"/>
      <c r="D7" s="64"/>
      <c r="E7" s="73" t="s">
        <v>780</v>
      </c>
      <c r="F7" s="70"/>
      <c r="G7" s="64"/>
      <c r="M7" s="65"/>
    </row>
    <row r="8" spans="2:15" x14ac:dyDescent="0.25">
      <c r="B8" s="74" t="s">
        <v>783</v>
      </c>
      <c r="C8" s="75"/>
      <c r="D8" s="75"/>
      <c r="E8" s="76"/>
      <c r="F8" s="75"/>
      <c r="G8" s="75"/>
    </row>
    <row r="9" spans="2:15" x14ac:dyDescent="0.25">
      <c r="B9" s="60" t="s">
        <v>784</v>
      </c>
      <c r="I9" s="60" t="s">
        <v>890</v>
      </c>
      <c r="J9" s="60" t="s">
        <v>892</v>
      </c>
      <c r="K9" s="60" t="s">
        <v>894</v>
      </c>
      <c r="L9" s="60" t="s">
        <v>895</v>
      </c>
      <c r="M9" s="60" t="s">
        <v>911</v>
      </c>
      <c r="O9" s="60" t="s">
        <v>912</v>
      </c>
    </row>
    <row r="12" spans="2:15" x14ac:dyDescent="0.25">
      <c r="B12" s="60" t="s">
        <v>791</v>
      </c>
      <c r="E12" s="78" t="s">
        <v>914</v>
      </c>
    </row>
    <row r="13" spans="2:15" x14ac:dyDescent="0.25">
      <c r="E13" s="61" t="s">
        <v>913</v>
      </c>
    </row>
    <row r="14" spans="2:15" x14ac:dyDescent="0.25">
      <c r="B14" s="60" t="s">
        <v>790</v>
      </c>
      <c r="I14" s="60" t="s">
        <v>891</v>
      </c>
      <c r="J14" s="60" t="s">
        <v>892</v>
      </c>
    </row>
    <row r="16" spans="2:15" x14ac:dyDescent="0.25">
      <c r="B16" s="60" t="s">
        <v>794</v>
      </c>
    </row>
    <row r="17" spans="2:2" x14ac:dyDescent="0.25">
      <c r="B17" s="60" t="s">
        <v>785</v>
      </c>
    </row>
    <row r="20" spans="2:2" x14ac:dyDescent="0.25">
      <c r="B20" s="60" t="s">
        <v>786</v>
      </c>
    </row>
    <row r="24" spans="2:2" x14ac:dyDescent="0.25">
      <c r="B24" s="60" t="s">
        <v>787</v>
      </c>
    </row>
    <row r="27" spans="2:2" x14ac:dyDescent="0.25">
      <c r="B27" s="60" t="s">
        <v>788</v>
      </c>
    </row>
    <row r="29" spans="2:2" x14ac:dyDescent="0.25">
      <c r="B29" s="60" t="s">
        <v>789</v>
      </c>
    </row>
    <row r="31" spans="2:2" x14ac:dyDescent="0.25">
      <c r="B31" s="60" t="s">
        <v>200</v>
      </c>
    </row>
    <row r="34" spans="2:2" x14ac:dyDescent="0.25">
      <c r="B34" s="60" t="s">
        <v>792</v>
      </c>
    </row>
    <row r="35" spans="2:2" x14ac:dyDescent="0.25">
      <c r="B35" s="60" t="s">
        <v>793</v>
      </c>
    </row>
  </sheetData>
  <mergeCells count="5">
    <mergeCell ref="C2:D2"/>
    <mergeCell ref="B2:B3"/>
    <mergeCell ref="E2:E3"/>
    <mergeCell ref="F2:F3"/>
    <mergeCell ref="G2:G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F8B9E-408A-44BE-9B03-802D59056B9D}">
  <sheetPr codeName="Sheet5"/>
  <dimension ref="C2:F35"/>
  <sheetViews>
    <sheetView topLeftCell="A10" workbookViewId="0">
      <selection activeCell="F17" sqref="F17"/>
    </sheetView>
  </sheetViews>
  <sheetFormatPr defaultRowHeight="15" x14ac:dyDescent="0.25"/>
  <cols>
    <col min="3" max="3" width="43.7109375" bestFit="1" customWidth="1"/>
    <col min="4" max="4" width="24.7109375" bestFit="1" customWidth="1"/>
    <col min="6" max="6" width="26.85546875" bestFit="1" customWidth="1"/>
  </cols>
  <sheetData>
    <row r="2" spans="3:6" x14ac:dyDescent="0.25">
      <c r="C2" t="s">
        <v>675</v>
      </c>
      <c r="E2" t="s">
        <v>684</v>
      </c>
    </row>
    <row r="3" spans="3:6" x14ac:dyDescent="0.25">
      <c r="C3" t="s">
        <v>699</v>
      </c>
    </row>
    <row r="4" spans="3:6" x14ac:dyDescent="0.25">
      <c r="C4" t="s">
        <v>680</v>
      </c>
    </row>
    <row r="5" spans="3:6" x14ac:dyDescent="0.25">
      <c r="C5" t="s">
        <v>681</v>
      </c>
      <c r="E5" t="s">
        <v>682</v>
      </c>
    </row>
    <row r="6" spans="3:6" x14ac:dyDescent="0.25">
      <c r="C6" t="s">
        <v>685</v>
      </c>
    </row>
    <row r="7" spans="3:6" x14ac:dyDescent="0.25">
      <c r="C7" t="s">
        <v>686</v>
      </c>
    </row>
    <row r="14" spans="3:6" x14ac:dyDescent="0.25">
      <c r="C14" t="s">
        <v>920</v>
      </c>
      <c r="F14" t="s">
        <v>921</v>
      </c>
    </row>
    <row r="15" spans="3:6" x14ac:dyDescent="0.25">
      <c r="F15" t="s">
        <v>922</v>
      </c>
    </row>
    <row r="17" spans="3:4" x14ac:dyDescent="0.25">
      <c r="C17" t="s">
        <v>676</v>
      </c>
    </row>
    <row r="18" spans="3:4" x14ac:dyDescent="0.25">
      <c r="C18" t="s">
        <v>677</v>
      </c>
    </row>
    <row r="19" spans="3:4" x14ac:dyDescent="0.25">
      <c r="C19" t="s">
        <v>698</v>
      </c>
    </row>
    <row r="20" spans="3:4" x14ac:dyDescent="0.25">
      <c r="C20" t="s">
        <v>679</v>
      </c>
      <c r="D20" t="s">
        <v>918</v>
      </c>
    </row>
    <row r="21" spans="3:4" x14ac:dyDescent="0.25">
      <c r="C21" t="s">
        <v>678</v>
      </c>
      <c r="D21" t="s">
        <v>919</v>
      </c>
    </row>
    <row r="22" spans="3:4" x14ac:dyDescent="0.25">
      <c r="C22" t="s">
        <v>697</v>
      </c>
    </row>
    <row r="25" spans="3:4" x14ac:dyDescent="0.25">
      <c r="C25" t="s">
        <v>681</v>
      </c>
      <c r="D25" t="s">
        <v>916</v>
      </c>
    </row>
    <row r="26" spans="3:4" x14ac:dyDescent="0.25">
      <c r="C26" t="s">
        <v>680</v>
      </c>
    </row>
    <row r="27" spans="3:4" x14ac:dyDescent="0.25">
      <c r="C27" t="s">
        <v>685</v>
      </c>
    </row>
    <row r="31" spans="3:4" x14ac:dyDescent="0.25">
      <c r="C31" t="s">
        <v>683</v>
      </c>
    </row>
    <row r="35" spans="3:3" x14ac:dyDescent="0.25">
      <c r="C35" t="s">
        <v>917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Sep. 2025</vt:lpstr>
      <vt:lpstr>Oct. 2025</vt:lpstr>
      <vt:lpstr>Nov. 2025</vt:lpstr>
      <vt:lpstr>Tool</vt:lpstr>
      <vt:lpstr>Details</vt:lpstr>
      <vt:lpstr>Standard</vt:lpstr>
      <vt:lpstr>Manufacturing Process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2025-11-14T21:27:23Z</dcterms:modified>
</cp:coreProperties>
</file>