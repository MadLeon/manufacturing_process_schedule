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deaa2ad160c427e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e\Desktop\Working on\"/>
    </mc:Choice>
  </mc:AlternateContent>
  <xr:revisionPtr revIDLastSave="0" documentId="13_ncr:1_{672D5C76-DAA9-468A-817C-38B222D983C9}" xr6:coauthVersionLast="47" xr6:coauthVersionMax="47" xr10:uidLastSave="{00000000-0000-0000-0000-000000000000}"/>
  <bookViews>
    <workbookView xWindow="28680" yWindow="-15" windowWidth="29040" windowHeight="15720" xr2:uid="{00000000-000D-0000-FFFF-FFFF00000000}"/>
  </bookViews>
  <sheets>
    <sheet name="F05-01 (1)" sheetId="12" r:id="rId1"/>
    <sheet name="Data" sheetId="11" state="hidden" r:id="rId2"/>
  </sheets>
  <functionGroups builtInGroupCount="19"/>
  <definedNames>
    <definedName name="_xlnm.Print_Area" localSheetId="0">'F05-01 (1)'!$A$1:$I$59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0" i="11" l="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</calcChain>
</file>

<file path=xl/sharedStrings.xml><?xml version="1.0" encoding="utf-8"?>
<sst xmlns="http://schemas.openxmlformats.org/spreadsheetml/2006/main" count="849" uniqueCount="526">
  <si>
    <t xml:space="preserve">     Yes       No</t>
  </si>
  <si>
    <t>Accepted:</t>
  </si>
  <si>
    <t>Customer:</t>
  </si>
  <si>
    <t>Date:</t>
  </si>
  <si>
    <t>Description:</t>
  </si>
  <si>
    <t>Dimension</t>
  </si>
  <si>
    <t>DIMENSION INSPECTION REPORT</t>
  </si>
  <si>
    <t xml:space="preserve">Drawing </t>
  </si>
  <si>
    <t>Error From</t>
  </si>
  <si>
    <t>Location</t>
  </si>
  <si>
    <t>Material:</t>
  </si>
  <si>
    <t>Nominal</t>
  </si>
  <si>
    <t>O.E. No:</t>
  </si>
  <si>
    <t>Position or</t>
  </si>
  <si>
    <t>QTY Inspected:</t>
  </si>
  <si>
    <t>QTY Ordered:</t>
  </si>
  <si>
    <t>RECORD TECHNOLOGY &amp; DEVELOPMENT</t>
  </si>
  <si>
    <t>Remarks</t>
  </si>
  <si>
    <t>Signature:</t>
  </si>
  <si>
    <t>JOB No:/Serial:</t>
  </si>
  <si>
    <t>P.O. No.:</t>
  </si>
  <si>
    <t>Remark:</t>
  </si>
  <si>
    <t>Symbols</t>
  </si>
  <si>
    <t>Desc.</t>
  </si>
  <si>
    <t>©</t>
  </si>
  <si>
    <t>copy right</t>
  </si>
  <si>
    <t>√</t>
  </si>
  <si>
    <t>square root</t>
  </si>
  <si>
    <t>∫</t>
  </si>
  <si>
    <t>integral</t>
  </si>
  <si>
    <t>≈</t>
  </si>
  <si>
    <t>almost equal to</t>
  </si>
  <si>
    <t>◊</t>
  </si>
  <si>
    <t>lozonge</t>
  </si>
  <si>
    <t>∆</t>
  </si>
  <si>
    <t>increment</t>
  </si>
  <si>
    <t>№</t>
  </si>
  <si>
    <t>numero</t>
  </si>
  <si>
    <t>θ</t>
  </si>
  <si>
    <t>theta</t>
  </si>
  <si>
    <t>Ω</t>
  </si>
  <si>
    <t>omega</t>
  </si>
  <si>
    <t>Tolerance</t>
  </si>
  <si>
    <t xml:space="preserve"> </t>
  </si>
  <si>
    <t>Part/DWG No./Rev.:</t>
  </si>
  <si>
    <t>Upper</t>
  </si>
  <si>
    <t>Lower</t>
  </si>
  <si>
    <t>Measurement Unit:</t>
  </si>
  <si>
    <t>F05-01 Rev. # 10, Mar. 26, 2024</t>
  </si>
  <si>
    <t>®</t>
  </si>
  <si>
    <t>registered</t>
  </si>
  <si>
    <t>™</t>
  </si>
  <si>
    <t>trademark</t>
  </si>
  <si>
    <t>±</t>
  </si>
  <si>
    <t>plus-minus</t>
  </si>
  <si>
    <t>≠</t>
  </si>
  <si>
    <t>not equal to</t>
  </si>
  <si>
    <t>≤</t>
  </si>
  <si>
    <t>Less than</t>
  </si>
  <si>
    <t>≥</t>
  </si>
  <si>
    <t>greater than</t>
  </si>
  <si>
    <t>Ø</t>
  </si>
  <si>
    <t>diameter</t>
  </si>
  <si>
    <t>°</t>
  </si>
  <si>
    <t>degree</t>
  </si>
  <si>
    <t>π</t>
  </si>
  <si>
    <t>PI</t>
  </si>
  <si>
    <t>†</t>
  </si>
  <si>
    <t>dagger</t>
  </si>
  <si>
    <t>‡</t>
  </si>
  <si>
    <t>double dagger</t>
  </si>
  <si>
    <t>‰</t>
  </si>
  <si>
    <t>per mille</t>
  </si>
  <si>
    <t>℅</t>
  </si>
  <si>
    <t>care of</t>
  </si>
  <si>
    <t>↧</t>
  </si>
  <si>
    <t>depth</t>
  </si>
  <si>
    <t>∞</t>
  </si>
  <si>
    <t>infinity</t>
  </si>
  <si>
    <t>℗</t>
  </si>
  <si>
    <t>sound recording right</t>
  </si>
  <si>
    <t>℠</t>
  </si>
  <si>
    <t>service mark</t>
  </si>
  <si>
    <t>↔</t>
  </si>
  <si>
    <t>left-right</t>
  </si>
  <si>
    <t>↕</t>
  </si>
  <si>
    <t>up-down</t>
  </si>
  <si>
    <t>↖</t>
  </si>
  <si>
    <t>NW</t>
  </si>
  <si>
    <t>↗</t>
  </si>
  <si>
    <t>NE</t>
  </si>
  <si>
    <t>↘</t>
  </si>
  <si>
    <t>SE</t>
  </si>
  <si>
    <t>↙</t>
  </si>
  <si>
    <t>SW</t>
  </si>
  <si>
    <t>-</t>
  </si>
  <si>
    <t>⌵</t>
  </si>
  <si>
    <t>Countersink</t>
  </si>
  <si>
    <t>⌴</t>
  </si>
  <si>
    <t>Counterbore</t>
  </si>
  <si>
    <t>.003</t>
  </si>
  <si>
    <t>Customers</t>
  </si>
  <si>
    <t>ATS</t>
  </si>
  <si>
    <t>Measurement Unit</t>
  </si>
  <si>
    <t>MM</t>
  </si>
  <si>
    <t>INCH</t>
  </si>
  <si>
    <t>1</t>
  </si>
  <si>
    <t>Table No</t>
  </si>
  <si>
    <t>OVER</t>
  </si>
  <si>
    <t>TO</t>
  </si>
  <si>
    <t>FRAC OR WHOLE</t>
  </si>
  <si>
    <t>1 PLC DEC</t>
  </si>
  <si>
    <t>2 PLC DEC</t>
  </si>
  <si>
    <t>3 PLC DEC</t>
  </si>
  <si>
    <t>6</t>
  </si>
  <si>
    <t>24</t>
  </si>
  <si>
    <t>Angles</t>
  </si>
  <si>
    <t>0.5</t>
  </si>
  <si>
    <t>.06</t>
  </si>
  <si>
    <t>.03</t>
  </si>
  <si>
    <t>.01</t>
  </si>
  <si>
    <t>.005</t>
  </si>
  <si>
    <t>.02</t>
  </si>
  <si>
    <t>.04</t>
  </si>
  <si>
    <t>.12</t>
  </si>
  <si>
    <t>.05</t>
  </si>
  <si>
    <t>.008</t>
  </si>
  <si>
    <t>.010</t>
  </si>
  <si>
    <t>Inspectors</t>
  </si>
  <si>
    <t>Franco</t>
  </si>
  <si>
    <t>Devang</t>
  </si>
  <si>
    <t>Symbol</t>
  </si>
  <si>
    <t>C</t>
  </si>
  <si>
    <t>R</t>
  </si>
  <si>
    <t>☐</t>
  </si>
  <si>
    <t>2x °</t>
  </si>
  <si>
    <t>2x Ø</t>
  </si>
  <si>
    <t>2x C</t>
  </si>
  <si>
    <t>2x R</t>
  </si>
  <si>
    <t>2x ☐</t>
  </si>
  <si>
    <t>2x ↧</t>
  </si>
  <si>
    <t>2x ⌵</t>
  </si>
  <si>
    <t>2x ⌴</t>
  </si>
  <si>
    <t>2x</t>
  </si>
  <si>
    <t>4x</t>
  </si>
  <si>
    <t>4x °</t>
  </si>
  <si>
    <t>4x Ø</t>
  </si>
  <si>
    <t>4x C</t>
  </si>
  <si>
    <t>4x R</t>
  </si>
  <si>
    <t>4x ☐</t>
  </si>
  <si>
    <t>4x ↧</t>
  </si>
  <si>
    <t>4x ⌵</t>
  </si>
  <si>
    <t>4x ⌴</t>
  </si>
  <si>
    <t>.030</t>
  </si>
  <si>
    <t>.5</t>
  </si>
  <si>
    <t>⌴Ø</t>
  </si>
  <si>
    <t>2x ⌴Ø</t>
  </si>
  <si>
    <t>4x ⌴Ø</t>
  </si>
  <si>
    <t>Tool</t>
  </si>
  <si>
    <t>Keyence IMS (S-2157-1)</t>
  </si>
  <si>
    <t>Faro Arm Quantum (SP-5105)</t>
  </si>
  <si>
    <t>Height Gauge (S-2005)</t>
  </si>
  <si>
    <t>Thread Plug Gauge</t>
  </si>
  <si>
    <t>.875-14 UNF-2B</t>
  </si>
  <si>
    <t>S-2121-2</t>
  </si>
  <si>
    <t>1.000-12 UNF-2B</t>
  </si>
  <si>
    <t>S-2121-3</t>
  </si>
  <si>
    <t xml:space="preserve">1.000-14 UNS-2B </t>
  </si>
  <si>
    <t>S-1212</t>
  </si>
  <si>
    <t>1.2500-12 UNF-2B</t>
  </si>
  <si>
    <t>S-2154</t>
  </si>
  <si>
    <t>3/8-24 UNF-3B</t>
  </si>
  <si>
    <t>S-2093-1</t>
  </si>
  <si>
    <t>8-32 UNC-3B</t>
  </si>
  <si>
    <t>S-2093-33</t>
  </si>
  <si>
    <t>1.500-6 UNC-2B</t>
  </si>
  <si>
    <t>S-2121-8</t>
  </si>
  <si>
    <t>1/2-20 UNF-2B</t>
  </si>
  <si>
    <t>S-2121-10</t>
  </si>
  <si>
    <t>3/8-16 UNC-3B</t>
  </si>
  <si>
    <t>S-2093-5</t>
  </si>
  <si>
    <t>S-2093-4</t>
  </si>
  <si>
    <t>5/8-11 UNC-2B</t>
  </si>
  <si>
    <t>S-2121-4</t>
  </si>
  <si>
    <t>7/16-14 UNC-3B</t>
  </si>
  <si>
    <t>S-2093-6</t>
  </si>
  <si>
    <t>7/8-9 UNC-2B</t>
  </si>
  <si>
    <t>S-2121-5</t>
  </si>
  <si>
    <t>.1640-36 UNF-2B</t>
  </si>
  <si>
    <t>S-2121-16</t>
  </si>
  <si>
    <t>.164-32-UNC-3B</t>
  </si>
  <si>
    <t>S-2093-32</t>
  </si>
  <si>
    <t>1.000-8 UNC-2B</t>
  </si>
  <si>
    <t>S-2121-6</t>
  </si>
  <si>
    <t>3/4-10 UNC-2B</t>
  </si>
  <si>
    <t>S-2121-15</t>
  </si>
  <si>
    <t>5/8-18 UNF-2B</t>
  </si>
  <si>
    <t>S-2121-1</t>
  </si>
  <si>
    <t>M16 x 2.0 6H</t>
  </si>
  <si>
    <t>S-2117-1</t>
  </si>
  <si>
    <t>M20 x 2.5 6H</t>
  </si>
  <si>
    <t>S-2117-2</t>
  </si>
  <si>
    <t>M24 x 3.0 6H</t>
  </si>
  <si>
    <t>S-2117-3</t>
  </si>
  <si>
    <t>M3 x 0.5 6H</t>
  </si>
  <si>
    <t>S-2117-9</t>
  </si>
  <si>
    <t>M30 x 3.5 6H</t>
  </si>
  <si>
    <t>S-2117-4</t>
  </si>
  <si>
    <t>.1900-24 UNC-2B</t>
  </si>
  <si>
    <t>S-2121-20</t>
  </si>
  <si>
    <t>.1900-24 UNC-3B</t>
  </si>
  <si>
    <t>S-2093-35</t>
  </si>
  <si>
    <t>.1640-32 STI UNC-3B</t>
  </si>
  <si>
    <t>S-2155-4</t>
  </si>
  <si>
    <t>.1900-32 STI UNF-3B</t>
  </si>
  <si>
    <t>S-2155-5</t>
  </si>
  <si>
    <t>.2500-28 STI UNF-2B</t>
  </si>
  <si>
    <t>S-2155-6</t>
  </si>
  <si>
    <t>.2500-28 STI UNF-3B</t>
  </si>
  <si>
    <t>S-2155-7</t>
  </si>
  <si>
    <t>.2500-28 UNF-3B</t>
  </si>
  <si>
    <t>S-2155-8</t>
  </si>
  <si>
    <t>S-2059-10</t>
  </si>
  <si>
    <t>1/2-20 UNF-3B</t>
  </si>
  <si>
    <t>S-2093-15</t>
  </si>
  <si>
    <t>3/8-24 UNF-2B</t>
  </si>
  <si>
    <t>S-2121-22</t>
  </si>
  <si>
    <t>5/16-24 UNF-3B STI</t>
  </si>
  <si>
    <t>S-2093-14</t>
  </si>
  <si>
    <t>Go Thread Ring Gauge</t>
  </si>
  <si>
    <t>.5625-18 NF2</t>
  </si>
  <si>
    <t>S-2120-3</t>
  </si>
  <si>
    <t>.5625-18 UNF-2A</t>
  </si>
  <si>
    <t>S-2120-2</t>
  </si>
  <si>
    <t>.7500-10 UNC-2A</t>
  </si>
  <si>
    <t>S-2120-11</t>
  </si>
  <si>
    <t>.7500-16 UNF-2A</t>
  </si>
  <si>
    <t>S-2120-10</t>
  </si>
  <si>
    <t>.875-14 UNF-2A</t>
  </si>
  <si>
    <t>S-2120-9</t>
  </si>
  <si>
    <t>.875-9 UNC-2A</t>
  </si>
  <si>
    <t>S-2120-6</t>
  </si>
  <si>
    <t>1.000-12 UNF-2A</t>
  </si>
  <si>
    <t>S-2120-8</t>
  </si>
  <si>
    <t>1.000-8 UNC-2A</t>
  </si>
  <si>
    <t>S-2120-7</t>
  </si>
  <si>
    <t>1.250-7 UNC-2A</t>
  </si>
  <si>
    <t>S-2120-5</t>
  </si>
  <si>
    <t>1.500-6 UNC-2A</t>
  </si>
  <si>
    <t>S-2120-4</t>
  </si>
  <si>
    <t>.1640-36 UNF-2A</t>
  </si>
  <si>
    <t>S-2120-13</t>
  </si>
  <si>
    <t>.2500-20 UNC-3A</t>
  </si>
  <si>
    <t>S-2120-1</t>
  </si>
  <si>
    <t>1.250-7 UNC-2B</t>
  </si>
  <si>
    <t>S-2121-7</t>
  </si>
  <si>
    <t>1/2-13 UNC-3B</t>
  </si>
  <si>
    <t>S-2093-19</t>
  </si>
  <si>
    <t>S-2093-21</t>
  </si>
  <si>
    <t>5/8-11 UNC-2A</t>
  </si>
  <si>
    <t>S-2120-12</t>
  </si>
  <si>
    <t>5/8-11 UNC-3B</t>
  </si>
  <si>
    <t>S-2093-20</t>
  </si>
  <si>
    <t>5/8-18 UNF-3B</t>
  </si>
  <si>
    <t>S-2093-17</t>
  </si>
  <si>
    <t>S-2093-22</t>
  </si>
  <si>
    <t>M12 x 1.75 6H</t>
  </si>
  <si>
    <t>S-2117-10</t>
  </si>
  <si>
    <t>Thread Ring Gauge</t>
  </si>
  <si>
    <t>.5000-20 UNF-3A</t>
  </si>
  <si>
    <t>S-2120-14</t>
  </si>
  <si>
    <t>1/16-27 NPT L1</t>
  </si>
  <si>
    <t>S-2133</t>
  </si>
  <si>
    <t>1-11.5 NPT L1</t>
  </si>
  <si>
    <t>S-2132</t>
  </si>
  <si>
    <t>3/4-14 NPT L1</t>
  </si>
  <si>
    <t>S-2131</t>
  </si>
  <si>
    <t>1"-12 UNF-3B</t>
  </si>
  <si>
    <t>S-2093-18</t>
  </si>
  <si>
    <t>1"-8 UNC-3B</t>
  </si>
  <si>
    <t>S-2093-13</t>
  </si>
  <si>
    <t>1/2-14 NPT</t>
  </si>
  <si>
    <t>S-2137</t>
  </si>
  <si>
    <t>1/4-18 NPT</t>
  </si>
  <si>
    <t>S-2135</t>
  </si>
  <si>
    <t>1/4-20 UNC-3B</t>
  </si>
  <si>
    <t>S-2093-3</t>
  </si>
  <si>
    <t>1/4-28 UNF-3B</t>
  </si>
  <si>
    <t>S-2093-7</t>
  </si>
  <si>
    <t xml:space="preserve">1/8-27 NPT </t>
  </si>
  <si>
    <t>S-2134</t>
  </si>
  <si>
    <t>10-32 UNF-3B</t>
  </si>
  <si>
    <t>S-2093-2</t>
  </si>
  <si>
    <t>3/4-16 UNF-3B</t>
  </si>
  <si>
    <t>S-2093-12</t>
  </si>
  <si>
    <t>3/8-18 NPT</t>
  </si>
  <si>
    <t>S-2136</t>
  </si>
  <si>
    <t>4-40 UNC-3B</t>
  </si>
  <si>
    <t>S-2093-9</t>
  </si>
  <si>
    <t>5-40 UNC-3B</t>
  </si>
  <si>
    <t>S-2093-8</t>
  </si>
  <si>
    <t>6-32 UNC-3B</t>
  </si>
  <si>
    <t>S-2093-11</t>
  </si>
  <si>
    <t>6-40 UNF-3B</t>
  </si>
  <si>
    <t>S-2093-10</t>
  </si>
  <si>
    <t>M10 x 1.5 6H</t>
  </si>
  <si>
    <t>S-2117-6</t>
  </si>
  <si>
    <t>M4 x 0.7 6H</t>
  </si>
  <si>
    <t>S-2117-8</t>
  </si>
  <si>
    <t>M5 x 0.8 6H</t>
  </si>
  <si>
    <t>S-2117-7</t>
  </si>
  <si>
    <t>M6 x 1 6H</t>
  </si>
  <si>
    <t>S-2117-11</t>
  </si>
  <si>
    <t>M8 x 1.25 6H</t>
  </si>
  <si>
    <t>S-2117-5</t>
  </si>
  <si>
    <t>5/16-24 UNF-3B</t>
  </si>
  <si>
    <t>S-2093-24</t>
  </si>
  <si>
    <t>1/2-20 UNF-2A (GO)</t>
  </si>
  <si>
    <t>S-2129</t>
  </si>
  <si>
    <t>5/8-11 UNC-2A (GO)</t>
  </si>
  <si>
    <t>S-2127</t>
  </si>
  <si>
    <t>No Go Thread Ring Gauge</t>
  </si>
  <si>
    <t>5/8-11 UNC-2A (NO GO)</t>
  </si>
  <si>
    <t>S-2128</t>
  </si>
  <si>
    <t>M2 x 0.4 6H</t>
  </si>
  <si>
    <t>S-2117-12</t>
  </si>
  <si>
    <t>1.25-11.5 NPT</t>
  </si>
  <si>
    <t>S-2138</t>
  </si>
  <si>
    <t>9/16-18 UNF-3B</t>
  </si>
  <si>
    <t>S-2093-16</t>
  </si>
  <si>
    <t>1/2-20 UNF-2A (NO GO)</t>
  </si>
  <si>
    <t>S-2130</t>
  </si>
  <si>
    <t>10-24 UNC-3B</t>
  </si>
  <si>
    <t>S-2093-28</t>
  </si>
  <si>
    <t>7/16/20 UNF-2B</t>
  </si>
  <si>
    <t>S-2172</t>
  </si>
  <si>
    <t>1/2-12 UNC-2A NOGO</t>
  </si>
  <si>
    <t>S-2171-46</t>
  </si>
  <si>
    <t>1/2-13 UNC-2A GO</t>
  </si>
  <si>
    <t>S-2171-45</t>
  </si>
  <si>
    <t>1/2-20 UNF-2A GO</t>
  </si>
  <si>
    <t>S-2171-47</t>
  </si>
  <si>
    <t>1/2-20 UNF-2A NOGO</t>
  </si>
  <si>
    <t>S-2171-48</t>
  </si>
  <si>
    <t>1/4-20 UNC-2A GO</t>
  </si>
  <si>
    <t>S-2171-27</t>
  </si>
  <si>
    <t>1/4-20 UNC-2A NOGO</t>
  </si>
  <si>
    <t>S-2171-28</t>
  </si>
  <si>
    <t>1/4-28 UNF-2A GO</t>
  </si>
  <si>
    <t>S-2171-29</t>
  </si>
  <si>
    <t>1/4-28 UNF-2A NOGO</t>
  </si>
  <si>
    <t>S-2171-30</t>
  </si>
  <si>
    <t>1/4-32 UNEF-2A GO</t>
  </si>
  <si>
    <t>S-2171-31</t>
  </si>
  <si>
    <t>1/4-32 UNEF-2A NOGO</t>
  </si>
  <si>
    <t>S-2171-32</t>
  </si>
  <si>
    <t>10-24 UNC-2A GO</t>
  </si>
  <si>
    <t>S-2171-17</t>
  </si>
  <si>
    <t>10-24 UNC-2A NOGO</t>
  </si>
  <si>
    <t>S-2171-18</t>
  </si>
  <si>
    <t>10-32 UNF-2A GO</t>
  </si>
  <si>
    <t>S-2171-19</t>
  </si>
  <si>
    <t>10-32 UNF-2A NOGO</t>
  </si>
  <si>
    <t>S-2171-20</t>
  </si>
  <si>
    <t>11/16-16 UNC-2A GO</t>
  </si>
  <si>
    <t>S-2171-57</t>
  </si>
  <si>
    <t>11/16-16 UNC-2A NOGO</t>
  </si>
  <si>
    <t>S-2171-58</t>
  </si>
  <si>
    <t>1-12 UNF-2A GO</t>
  </si>
  <si>
    <t>S-2171-71</t>
  </si>
  <si>
    <t>1-12 UNF-2A NOGO</t>
  </si>
  <si>
    <t>S-2171-72</t>
  </si>
  <si>
    <t>12-24 UNC-2A GO</t>
  </si>
  <si>
    <t>S-2171-21</t>
  </si>
  <si>
    <t>12-24 UNC-2A NOGO</t>
  </si>
  <si>
    <t>S-2171-22</t>
  </si>
  <si>
    <t>12-28 UNF-2A GO</t>
  </si>
  <si>
    <t>S-2171-23</t>
  </si>
  <si>
    <t>12-28 UNF-2A NOGO</t>
  </si>
  <si>
    <t>S-2171-24</t>
  </si>
  <si>
    <t>12-32 UNEF-2A GO</t>
  </si>
  <si>
    <t>S-2171-25</t>
  </si>
  <si>
    <t>12-32 UNEF-2A NOGO</t>
  </si>
  <si>
    <t>S-2171-26</t>
  </si>
  <si>
    <t>13/16-16 UN-2A GO</t>
  </si>
  <si>
    <t>S-2171-63</t>
  </si>
  <si>
    <t>13/16-16 UN-2A NOGO</t>
  </si>
  <si>
    <t>S-2171-64</t>
  </si>
  <si>
    <t>13/16-20 UNEF-2A GO</t>
  </si>
  <si>
    <t>S-2171-65</t>
  </si>
  <si>
    <t>13/16-20 UNEF-2A NOGO</t>
  </si>
  <si>
    <t>S-2171-66</t>
  </si>
  <si>
    <t>1-8 UNC-2A GO</t>
  </si>
  <si>
    <t>S-2171-69</t>
  </si>
  <si>
    <t>1-8 UNC-2A NOGO</t>
  </si>
  <si>
    <t>S-2171-70</t>
  </si>
  <si>
    <t>3/4-10 UNC-2A GO</t>
  </si>
  <si>
    <t>S-2171-59</t>
  </si>
  <si>
    <t>3/4-10 UNC-2A NOGO</t>
  </si>
  <si>
    <t>S-2171-60</t>
  </si>
  <si>
    <t>3/4-16 UNF-2A GO</t>
  </si>
  <si>
    <t>S-2171-61</t>
  </si>
  <si>
    <t>3/4-16 UNF-2A NOGO</t>
  </si>
  <si>
    <t>S-2171-62</t>
  </si>
  <si>
    <t>3/8-16 UNC-2A GO</t>
  </si>
  <si>
    <t>S-2171-37</t>
  </si>
  <si>
    <t>3/8-16 UNC-2A NOGO</t>
  </si>
  <si>
    <t>S-2171-38</t>
  </si>
  <si>
    <t>3/8-24 UNF-2A GO</t>
  </si>
  <si>
    <t>S-2171-39</t>
  </si>
  <si>
    <t>3/8-24 UNF-2A NOGO</t>
  </si>
  <si>
    <t>S-2171-40</t>
  </si>
  <si>
    <t>4-40 UNC-2A GO</t>
  </si>
  <si>
    <t>S-2171-1</t>
  </si>
  <si>
    <t>4-40 UNC-2A NOGO</t>
  </si>
  <si>
    <t>S-2171-2</t>
  </si>
  <si>
    <t>4-48 UNF-2A GO</t>
  </si>
  <si>
    <t>S-2171-3</t>
  </si>
  <si>
    <t>4-48 UNF-2A NOGO</t>
  </si>
  <si>
    <t>S-2171-4</t>
  </si>
  <si>
    <t>5/16-18 UNC-2A GO</t>
  </si>
  <si>
    <t>S-2171-33</t>
  </si>
  <si>
    <t>5/16-18 UNC-2A NOGO</t>
  </si>
  <si>
    <t>S-2171-34</t>
  </si>
  <si>
    <t>5/16-24 UNF-2A GO</t>
  </si>
  <si>
    <t>S-2171-35</t>
  </si>
  <si>
    <t>5/16-24 UNF-2A NOGO</t>
  </si>
  <si>
    <t>S-2171-36</t>
  </si>
  <si>
    <t>5/8-11 UNC-2A GO</t>
  </si>
  <si>
    <t>S-2171-53</t>
  </si>
  <si>
    <t>5/8-11 UNC-2A NOGO</t>
  </si>
  <si>
    <t>S-2171-54</t>
  </si>
  <si>
    <t>5/8-18 UNF-2A GO</t>
  </si>
  <si>
    <t>S-2171-55</t>
  </si>
  <si>
    <t>5/8-18 UNF-2A NOGO</t>
  </si>
  <si>
    <t>S-2171-56</t>
  </si>
  <si>
    <t>5-40 UNC-2A GO</t>
  </si>
  <si>
    <t>S-2171-5</t>
  </si>
  <si>
    <t>5-40 UNC-2A NOGO</t>
  </si>
  <si>
    <t>S-2171-6</t>
  </si>
  <si>
    <t>5-44 UNF-2A GO</t>
  </si>
  <si>
    <t>S-2171-7</t>
  </si>
  <si>
    <t>5-44 UNF-2A NOGO</t>
  </si>
  <si>
    <t>S-2171-8</t>
  </si>
  <si>
    <t>6-32 UNC-2A GO</t>
  </si>
  <si>
    <t>S-2171-9</t>
  </si>
  <si>
    <t>6-32 UNC-2A NOGO</t>
  </si>
  <si>
    <t>S-2171-10</t>
  </si>
  <si>
    <t>6-40 UNF-2A GO</t>
  </si>
  <si>
    <t>S-2171-11</t>
  </si>
  <si>
    <t>6-40 UNF-2A NOGO</t>
  </si>
  <si>
    <t>S-2171-12</t>
  </si>
  <si>
    <t>7/16-14 UNC-2A GO</t>
  </si>
  <si>
    <t>S-2171-41</t>
  </si>
  <si>
    <t>7/16-14 UNC-2A NOGO</t>
  </si>
  <si>
    <t>S-2171-42</t>
  </si>
  <si>
    <t>7/16-20 UNF-2A GO</t>
  </si>
  <si>
    <t>S-2171-43</t>
  </si>
  <si>
    <t>7/16-20 UNF-2A NOGO</t>
  </si>
  <si>
    <t>S-2171-44</t>
  </si>
  <si>
    <t>7/8-9 UNC-2A GO</t>
  </si>
  <si>
    <t>S-2171-67</t>
  </si>
  <si>
    <t>7/8-9 UNC-2A NOGO</t>
  </si>
  <si>
    <t>S-2171-68</t>
  </si>
  <si>
    <t>8-32 UNC-2A GO</t>
  </si>
  <si>
    <t>S-2171-13</t>
  </si>
  <si>
    <t>8-32 UNC-2A NOGO</t>
  </si>
  <si>
    <t>S-2171-14</t>
  </si>
  <si>
    <t>8-36 UNF-2A GO</t>
  </si>
  <si>
    <t>S-2171-15</t>
  </si>
  <si>
    <t>8-36 UNF-2A NOGO</t>
  </si>
  <si>
    <t>S-2171-16</t>
  </si>
  <si>
    <t>9/16-12 UNC-2A GO</t>
  </si>
  <si>
    <t>S-2171-49</t>
  </si>
  <si>
    <t>9/16-12 UNC-2A NOGO</t>
  </si>
  <si>
    <t>S-2171-50</t>
  </si>
  <si>
    <t>9/16-18 UNF-2A GO</t>
  </si>
  <si>
    <t>S-2171-51</t>
  </si>
  <si>
    <t>9/16-18 UNF-2A NOGO</t>
  </si>
  <si>
    <t>S-2171-52</t>
  </si>
  <si>
    <t>Gauge</t>
    <phoneticPr fontId="12" type="noConversion"/>
  </si>
  <si>
    <t>3/4-10 UNC-3B</t>
    <phoneticPr fontId="12" type="noConversion"/>
  </si>
  <si>
    <t>5/16-18 UNC-3B</t>
    <phoneticPr fontId="12" type="noConversion"/>
  </si>
  <si>
    <t>1/16</t>
  </si>
  <si>
    <t>1/8</t>
  </si>
  <si>
    <t>Vernier Caliper (S-2144)</t>
  </si>
  <si>
    <t>Roughness Tester (S-2141)</t>
  </si>
  <si>
    <t>Digital Depth Caliper (S-2150)</t>
  </si>
  <si>
    <t>Pin Gauge</t>
  </si>
  <si>
    <t>Micrometer</t>
  </si>
  <si>
    <t xml:space="preserve">Actual </t>
  </si>
  <si>
    <t>Accept (A)</t>
  </si>
  <si>
    <t>Reject (R)</t>
  </si>
  <si>
    <t>CANDU</t>
  </si>
  <si>
    <t>INCHES</t>
  </si>
  <si>
    <t>DIMENSION</t>
  </si>
  <si>
    <t>FRAC/ WHOLE</t>
  </si>
  <si>
    <t>TOLERANCE FOR DIMENSION WHEN EXPRESS IN</t>
  </si>
  <si>
    <t>CANDU - DETAILED</t>
  </si>
  <si>
    <t>CANDU - GENERAL 1</t>
  </si>
  <si>
    <t>CANDU - GENERAL 2</t>
  </si>
  <si>
    <t>.020</t>
  </si>
  <si>
    <t>1/2</t>
  </si>
  <si>
    <t>ASME</t>
  </si>
  <si>
    <t>ASME Y-14.5 (2009)</t>
  </si>
  <si>
    <t>Table Name</t>
  </si>
  <si>
    <t>KINETRICS</t>
  </si>
  <si>
    <t>Page 1 of 1</t>
  </si>
  <si>
    <t>Heat No:</t>
  </si>
  <si>
    <t>KINECTRICS</t>
  </si>
  <si>
    <t>25</t>
  </si>
  <si>
    <t>150</t>
  </si>
  <si>
    <t>610</t>
  </si>
  <si>
    <t>0.75</t>
  </si>
  <si>
    <t>1.5</t>
  </si>
  <si>
    <t>3</t>
  </si>
  <si>
    <t>0.25</t>
  </si>
  <si>
    <t>0.50</t>
  </si>
  <si>
    <t>0.08</t>
  </si>
  <si>
    <t>0.13</t>
  </si>
  <si>
    <t>0.20</t>
  </si>
  <si>
    <t>KINECTRICS - MM</t>
  </si>
  <si>
    <t/>
  </si>
  <si>
    <t>⌵Ø</t>
  </si>
  <si>
    <t>2x ⌵Ø</t>
  </si>
  <si>
    <t>4x ⌵Ø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</si>
</sst>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(&quot;$&quot;* #,##0_);_(&quot;$&quot;* \(#,##0\);_(&quot;$&quot;* &quot;-&quot;_);_(@_)"/>
    <numFmt numFmtId="164" formatCode="_-&quot;$&quot;* #,##0_-;\-&quot;$&quot;* #,##0_-;_-&quot;$&quot;* &quot;-&quot;_-;_-@_-"/>
    <numFmt numFmtId="165" formatCode="0.0000"/>
  </numFmts>
  <fonts count="14">
    <font>
      <sz val="10"/>
      <name val="Arial"/>
    </font>
    <font>
      <sz val="12"/>
      <name val="Times New Roman"/>
      <family val="1"/>
    </font>
    <font>
      <b/>
      <sz val="12"/>
      <name val="Times New Roman"/>
      <family val="1"/>
    </font>
    <font>
      <b/>
      <u/>
      <sz val="16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6"/>
      <name val="Arial"/>
      <family val="2"/>
    </font>
    <font>
      <b/>
      <u/>
      <sz val="10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2"/>
      <color theme="9" tint="-0.249977111117893"/>
      <name val="Times New Roman"/>
      <family val="1"/>
    </font>
    <font>
      <sz val="9"/>
      <name val="宋体"/>
      <family val="3"/>
      <charset val="134"/>
    </font>
    <font>
      <b/>
      <sz val="1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9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AEEF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6">
    <xf numFmtId="0" fontId="0" fillId="0" borderId="0"/>
    <xf numFmtId="4" fontId="6" fillId="0" borderId="0"/>
    <xf numFmtId="3" fontId="6" fillId="0" borderId="0"/>
    <xf numFmtId="42" fontId="6" fillId="0" borderId="0"/>
    <xf numFmtId="0" fontId="6" fillId="0" borderId="0"/>
    <xf numFmtId="164" fontId="6" fillId="0" borderId="0"/>
  </cellStyleXfs>
  <cellXfs count="85">
    <xf numFmtId="0" fontId="0" fillId="0" borderId="0" xfId="0"/>
    <xf numFmtId="0" fontId="6" fillId="2" borderId="2" xfId="1" applyNumberFormat="1" applyFill="1" applyBorder="1"/>
    <xf numFmtId="0" fontId="6" fillId="2" borderId="0" xfId="1" applyNumberFormat="1" applyFill="1"/>
    <xf numFmtId="0" fontId="1" fillId="2" borderId="4" xfId="1" applyNumberFormat="1" applyFont="1" applyFill="1" applyBorder="1"/>
    <xf numFmtId="0" fontId="1" fillId="2" borderId="0" xfId="1" applyNumberFormat="1" applyFont="1" applyFill="1"/>
    <xf numFmtId="0" fontId="2" fillId="2" borderId="0" xfId="1" applyNumberFormat="1" applyFont="1" applyFill="1"/>
    <xf numFmtId="0" fontId="5" fillId="2" borderId="5" xfId="1" applyNumberFormat="1" applyFont="1" applyFill="1" applyBorder="1" applyAlignment="1">
      <alignment horizontal="right"/>
    </xf>
    <xf numFmtId="0" fontId="1" fillId="2" borderId="6" xfId="1" applyNumberFormat="1" applyFont="1" applyFill="1" applyBorder="1"/>
    <xf numFmtId="0" fontId="1" fillId="2" borderId="7" xfId="1" applyNumberFormat="1" applyFont="1" applyFill="1" applyBorder="1"/>
    <xf numFmtId="0" fontId="2" fillId="2" borderId="7" xfId="1" applyNumberFormat="1" applyFont="1" applyFill="1" applyBorder="1"/>
    <xf numFmtId="0" fontId="6" fillId="2" borderId="7" xfId="1" applyNumberFormat="1" applyFill="1" applyBorder="1"/>
    <xf numFmtId="0" fontId="6" fillId="2" borderId="2" xfId="1" applyNumberFormat="1" applyFill="1" applyBorder="1" applyAlignment="1">
      <alignment horizontal="center"/>
    </xf>
    <xf numFmtId="0" fontId="6" fillId="2" borderId="0" xfId="1" applyNumberFormat="1" applyFill="1" applyAlignment="1">
      <alignment horizontal="center"/>
    </xf>
    <xf numFmtId="0" fontId="1" fillId="2" borderId="7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7" fillId="2" borderId="3" xfId="1" applyNumberFormat="1" applyFont="1" applyFill="1" applyBorder="1" applyAlignment="1">
      <alignment horizontal="right"/>
    </xf>
    <xf numFmtId="0" fontId="5" fillId="0" borderId="0" xfId="1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9" xfId="1" applyNumberFormat="1" applyFont="1" applyBorder="1" applyAlignment="1">
      <alignment horizontal="center" vertical="center"/>
    </xf>
    <xf numFmtId="0" fontId="5" fillId="0" borderId="12" xfId="1" applyNumberFormat="1" applyFont="1" applyBorder="1" applyAlignment="1">
      <alignment horizontal="center" vertical="center"/>
    </xf>
    <xf numFmtId="49" fontId="5" fillId="4" borderId="12" xfId="1" applyNumberFormat="1" applyFont="1" applyFill="1" applyBorder="1" applyAlignment="1">
      <alignment horizontal="center" vertical="center"/>
    </xf>
    <xf numFmtId="0" fontId="8" fillId="0" borderId="0" xfId="1" applyNumberFormat="1" applyFont="1" applyAlignment="1">
      <alignment horizontal="center"/>
    </xf>
    <xf numFmtId="0" fontId="5" fillId="0" borderId="0" xfId="0" applyFont="1" applyProtection="1">
      <protection locked="0"/>
    </xf>
    <xf numFmtId="49" fontId="5" fillId="0" borderId="15" xfId="1" applyNumberFormat="1" applyFont="1" applyBorder="1" applyAlignment="1" applyProtection="1">
      <alignment horizontal="center"/>
      <protection locked="0"/>
    </xf>
    <xf numFmtId="49" fontId="5" fillId="0" borderId="17" xfId="1" applyNumberFormat="1" applyFont="1" applyBorder="1" applyAlignment="1" applyProtection="1">
      <alignment horizontal="center"/>
      <protection locked="0"/>
    </xf>
    <xf numFmtId="49" fontId="5" fillId="0" borderId="13" xfId="0" applyNumberFormat="1" applyFont="1" applyBorder="1" applyAlignment="1" applyProtection="1">
      <alignment horizontal="left"/>
      <protection locked="0"/>
    </xf>
    <xf numFmtId="49" fontId="5" fillId="0" borderId="20" xfId="1" applyNumberFormat="1" applyFont="1" applyBorder="1" applyAlignment="1" applyProtection="1">
      <alignment horizontal="left"/>
      <protection locked="0"/>
    </xf>
    <xf numFmtId="49" fontId="5" fillId="0" borderId="21" xfId="1" applyNumberFormat="1" applyFont="1" applyBorder="1" applyAlignment="1" applyProtection="1">
      <alignment horizontal="left"/>
      <protection locked="0"/>
    </xf>
    <xf numFmtId="0" fontId="11" fillId="0" borderId="15" xfId="0" applyFont="1" applyBorder="1" applyAlignment="1">
      <alignment horizontal="center"/>
    </xf>
    <xf numFmtId="49" fontId="9" fillId="0" borderId="22" xfId="0" applyNumberFormat="1" applyFont="1" applyBorder="1" applyAlignment="1" applyProtection="1">
      <alignment horizontal="right"/>
      <protection locked="0"/>
    </xf>
    <xf numFmtId="0" fontId="5" fillId="2" borderId="8" xfId="1" applyNumberFormat="1" applyFont="1" applyFill="1" applyBorder="1" applyAlignment="1">
      <alignment horizontal="right"/>
    </xf>
    <xf numFmtId="0" fontId="10" fillId="0" borderId="16" xfId="0" applyFont="1" applyBorder="1" applyAlignment="1">
      <alignment horizontal="center"/>
    </xf>
    <xf numFmtId="49" fontId="5" fillId="0" borderId="0" xfId="1" applyNumberFormat="1" applyFont="1" applyAlignment="1" applyProtection="1">
      <alignment horizontal="right"/>
      <protection locked="0"/>
    </xf>
    <xf numFmtId="49" fontId="5" fillId="0" borderId="0" xfId="1" applyNumberFormat="1" applyFont="1" applyAlignment="1" applyProtection="1">
      <alignment horizontal="left"/>
      <protection locked="0"/>
    </xf>
    <xf numFmtId="49" fontId="5" fillId="0" borderId="0" xfId="1" applyNumberFormat="1" applyFont="1" applyAlignment="1" applyProtection="1">
      <alignment horizontal="center"/>
      <protection locked="0"/>
    </xf>
    <xf numFmtId="165" fontId="5" fillId="0" borderId="0" xfId="1" applyNumberFormat="1" applyFont="1" applyAlignment="1">
      <alignment horizontal="center"/>
    </xf>
    <xf numFmtId="0" fontId="10" fillId="0" borderId="18" xfId="0" applyFont="1" applyBorder="1" applyAlignment="1">
      <alignment horizontal="center"/>
    </xf>
    <xf numFmtId="0" fontId="6" fillId="2" borderId="1" xfId="1" applyNumberFormat="1" applyFill="1" applyBorder="1" applyAlignment="1">
      <alignment horizontal="right"/>
    </xf>
    <xf numFmtId="1" fontId="5" fillId="0" borderId="15" xfId="1" applyNumberFormat="1" applyFont="1" applyBorder="1" applyAlignment="1">
      <alignment horizontal="center"/>
    </xf>
    <xf numFmtId="1" fontId="5" fillId="0" borderId="17" xfId="1" applyNumberFormat="1" applyFont="1" applyBorder="1" applyAlignment="1" applyProtection="1">
      <alignment horizontal="center"/>
      <protection locked="0"/>
    </xf>
    <xf numFmtId="0" fontId="11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49" fontId="5" fillId="0" borderId="0" xfId="0" applyNumberFormat="1" applyFont="1"/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49" fontId="5" fillId="0" borderId="22" xfId="1" applyNumberFormat="1" applyFont="1" applyBorder="1" applyAlignment="1" applyProtection="1">
      <alignment horizontal="right"/>
      <protection locked="0"/>
    </xf>
    <xf numFmtId="49" fontId="5" fillId="0" borderId="2" xfId="0" applyNumberFormat="1" applyFont="1" applyBorder="1"/>
    <xf numFmtId="49" fontId="5" fillId="0" borderId="3" xfId="0" applyNumberFormat="1" applyFont="1" applyBorder="1"/>
    <xf numFmtId="49" fontId="5" fillId="0" borderId="25" xfId="0" applyNumberFormat="1" applyFont="1" applyBorder="1" applyAlignment="1">
      <alignment horizontal="center"/>
    </xf>
    <xf numFmtId="49" fontId="5" fillId="0" borderId="25" xfId="0" applyNumberFormat="1" applyFont="1" applyBorder="1"/>
    <xf numFmtId="49" fontId="5" fillId="0" borderId="1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10" xfId="0" applyNumberFormat="1" applyFont="1" applyBorder="1"/>
    <xf numFmtId="49" fontId="5" fillId="0" borderId="26" xfId="0" applyNumberFormat="1" applyFont="1" applyBorder="1"/>
    <xf numFmtId="49" fontId="5" fillId="0" borderId="11" xfId="0" applyNumberFormat="1" applyFont="1" applyBorder="1"/>
    <xf numFmtId="49" fontId="5" fillId="0" borderId="26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0" fontId="5" fillId="0" borderId="25" xfId="0" applyFont="1" applyBorder="1" applyAlignment="1" applyProtection="1">
      <alignment horizontal="center"/>
      <protection locked="0"/>
    </xf>
    <xf numFmtId="0" fontId="5" fillId="0" borderId="0" xfId="1" applyNumberFormat="1" applyFont="1" applyAlignment="1">
      <alignment horizontal="right" vertical="center"/>
    </xf>
    <xf numFmtId="0" fontId="0" fillId="0" borderId="0" xfId="0" applyAlignment="1">
      <alignment vertical="center"/>
    </xf>
    <xf numFmtId="49" fontId="5" fillId="0" borderId="23" xfId="1" applyNumberFormat="1" applyFont="1" applyBorder="1" applyAlignment="1" applyProtection="1">
      <alignment horizontal="right"/>
      <protection locked="0"/>
    </xf>
    <xf numFmtId="49" fontId="13" fillId="5" borderId="27" xfId="1" applyNumberFormat="1" applyFont="1" applyFill="1" applyBorder="1" applyAlignment="1" applyProtection="1">
      <alignment horizontal="center"/>
      <protection locked="0"/>
    </xf>
    <xf numFmtId="49" fontId="13" fillId="5" borderId="19" xfId="1" applyNumberFormat="1" applyFont="1" applyFill="1" applyBorder="1" applyAlignment="1" applyProtection="1">
      <alignment horizontal="center"/>
      <protection locked="0"/>
    </xf>
    <xf numFmtId="49" fontId="13" fillId="5" borderId="28" xfId="1" applyNumberFormat="1" applyFont="1" applyFill="1" applyBorder="1" applyAlignment="1" applyProtection="1">
      <alignment horizontal="center"/>
      <protection locked="0"/>
    </xf>
    <xf numFmtId="49" fontId="5" fillId="0" borderId="14" xfId="1" applyNumberFormat="1" applyFont="1" applyBorder="1" applyAlignment="1" applyProtection="1">
      <alignment horizontal="left" vertical="center" wrapText="1"/>
      <protection locked="0"/>
    </xf>
    <xf numFmtId="49" fontId="5" fillId="0" borderId="14" xfId="1" applyNumberFormat="1" applyFont="1" applyBorder="1" applyAlignment="1" applyProtection="1">
      <alignment horizontal="left" vertical="center"/>
      <protection locked="0"/>
    </xf>
    <xf numFmtId="0" fontId="5" fillId="0" borderId="14" xfId="1" applyNumberFormat="1" applyFont="1" applyBorder="1" applyAlignment="1" applyProtection="1">
      <alignment horizontal="left" vertical="center"/>
      <protection locked="0"/>
    </xf>
    <xf numFmtId="49" fontId="5" fillId="0" borderId="14" xfId="1" applyNumberFormat="1" applyFont="1" applyBorder="1" applyAlignment="1" applyProtection="1">
      <alignment horizontal="left"/>
      <protection locked="0"/>
    </xf>
    <xf numFmtId="0" fontId="5" fillId="0" borderId="1" xfId="1" applyNumberFormat="1" applyFont="1" applyBorder="1" applyAlignment="1">
      <alignment horizontal="center" vertical="center"/>
    </xf>
    <xf numFmtId="0" fontId="5" fillId="0" borderId="3" xfId="1" applyNumberFormat="1" applyFont="1" applyBorder="1" applyAlignment="1">
      <alignment horizontal="center" vertical="center"/>
    </xf>
    <xf numFmtId="0" fontId="5" fillId="3" borderId="10" xfId="1" applyNumberFormat="1" applyFont="1" applyFill="1" applyBorder="1" applyAlignment="1">
      <alignment horizontal="center" vertical="center"/>
    </xf>
    <xf numFmtId="0" fontId="5" fillId="3" borderId="11" xfId="1" applyNumberFormat="1" applyFont="1" applyFill="1" applyBorder="1" applyAlignment="1">
      <alignment horizontal="center" vertical="center"/>
    </xf>
    <xf numFmtId="0" fontId="5" fillId="0" borderId="6" xfId="1" applyNumberFormat="1" applyFont="1" applyBorder="1" applyAlignment="1">
      <alignment horizontal="center" vertical="center"/>
    </xf>
    <xf numFmtId="0" fontId="5" fillId="0" borderId="8" xfId="1" applyNumberFormat="1" applyFont="1" applyBorder="1" applyAlignment="1">
      <alignment horizontal="center" vertical="center"/>
    </xf>
    <xf numFmtId="0" fontId="3" fillId="2" borderId="4" xfId="1" applyNumberFormat="1" applyFont="1" applyFill="1" applyBorder="1" applyAlignment="1">
      <alignment horizontal="center"/>
    </xf>
    <xf numFmtId="0" fontId="3" fillId="2" borderId="0" xfId="1" applyNumberFormat="1" applyFont="1" applyFill="1" applyAlignment="1">
      <alignment horizontal="center"/>
    </xf>
    <xf numFmtId="0" fontId="3" fillId="2" borderId="5" xfId="1" applyNumberFormat="1" applyFont="1" applyFill="1" applyBorder="1" applyAlignment="1">
      <alignment horizontal="center"/>
    </xf>
    <xf numFmtId="0" fontId="4" fillId="2" borderId="4" xfId="1" applyNumberFormat="1" applyFont="1" applyFill="1" applyBorder="1" applyAlignment="1">
      <alignment horizontal="center"/>
    </xf>
    <xf numFmtId="0" fontId="4" fillId="2" borderId="0" xfId="1" applyNumberFormat="1" applyFont="1" applyFill="1" applyAlignment="1">
      <alignment horizontal="center"/>
    </xf>
    <xf numFmtId="0" fontId="4" fillId="2" borderId="5" xfId="1" applyNumberFormat="1" applyFont="1" applyFill="1" applyBorder="1" applyAlignment="1">
      <alignment horizontal="center"/>
    </xf>
    <xf numFmtId="49" fontId="5" fillId="0" borderId="19" xfId="1" applyNumberFormat="1" applyFont="1" applyBorder="1" applyAlignment="1" applyProtection="1">
      <alignment horizontal="left"/>
      <protection locked="0"/>
    </xf>
    <xf numFmtId="49" fontId="5" fillId="0" borderId="14" xfId="0" applyNumberFormat="1" applyFont="1" applyBorder="1" applyAlignment="1" applyProtection="1">
      <alignment horizontal="left"/>
      <protection locked="0"/>
    </xf>
    <xf numFmtId="49" fontId="5" fillId="0" borderId="25" xfId="0" applyNumberFormat="1" applyFont="1" applyBorder="1" applyAlignment="1">
      <alignment horizontal="center"/>
    </xf>
  </cellXfs>
  <cellStyles count="6">
    <cellStyle name="Comma" xfId="1" builtinId="3"/>
    <cellStyle name="Comma0" xfId="2" xr:uid="{00000000-0005-0000-0000-000001000000}"/>
    <cellStyle name="Currency0" xfId="3" xr:uid="{00000000-0005-0000-0000-000002000000}"/>
    <cellStyle name="Currency0 2" xfId="5" xr:uid="{00000000-0005-0000-0000-000003000000}"/>
    <cellStyle name="Normal" xfId="0" builtinId="0"/>
    <cellStyle name="Normal 2" xfId="4" xr:uid="{00000000-0005-0000-0000-000005000000}"/>
  </cellStyles>
  <dxfs count="43"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mruColors>
      <color rgb="FFFFFFF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40180</xdr:colOff>
      <xdr:row>58</xdr:row>
      <xdr:rowOff>19816</xdr:rowOff>
    </xdr:from>
    <xdr:to>
      <xdr:col>2</xdr:col>
      <xdr:colOff>154480</xdr:colOff>
      <xdr:row>58</xdr:row>
      <xdr:rowOff>162691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FDC79BD-200F-4D6B-A7C7-BBF5888C2D94}"/>
            </a:ext>
          </a:extLst>
        </xdr:cNvPr>
        <xdr:cNvSpPr>
          <a:spLocks noChangeArrowheads="1"/>
        </xdr:cNvSpPr>
      </xdr:nvSpPr>
      <xdr:spPr bwMode="auto">
        <a:xfrm>
          <a:off x="1707055" y="11306941"/>
          <a:ext cx="114300" cy="142875"/>
        </a:xfrm>
        <a:prstGeom prst="rect">
          <a:avLst/>
        </a:prstGeom>
        <a:solidFill>
          <a:schemeClr val="tx1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446857</xdr:colOff>
      <xdr:row>58</xdr:row>
      <xdr:rowOff>19817</xdr:rowOff>
    </xdr:from>
    <xdr:to>
      <xdr:col>2</xdr:col>
      <xdr:colOff>561157</xdr:colOff>
      <xdr:row>58</xdr:row>
      <xdr:rowOff>162692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2A0C68A-2728-4EF9-AFF9-B0802A553F47}"/>
            </a:ext>
          </a:extLst>
        </xdr:cNvPr>
        <xdr:cNvSpPr>
          <a:spLocks noChangeArrowheads="1"/>
        </xdr:cNvSpPr>
      </xdr:nvSpPr>
      <xdr:spPr bwMode="auto">
        <a:xfrm>
          <a:off x="2113732" y="11306942"/>
          <a:ext cx="114300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/>
            <a:t> </a:t>
          </a:r>
        </a:p>
      </xdr:txBody>
    </xdr:sp>
    <xdr:clientData/>
  </xdr:twoCellAnchor>
  <xdr:twoCellAnchor>
    <xdr:from>
      <xdr:col>2</xdr:col>
      <xdr:colOff>446857</xdr:colOff>
      <xdr:row>58</xdr:row>
      <xdr:rowOff>19817</xdr:rowOff>
    </xdr:from>
    <xdr:to>
      <xdr:col>2</xdr:col>
      <xdr:colOff>561157</xdr:colOff>
      <xdr:row>58</xdr:row>
      <xdr:rowOff>162692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4DDFE59-EE4B-409C-A637-BD7E04245538}"/>
            </a:ext>
          </a:extLst>
        </xdr:cNvPr>
        <xdr:cNvSpPr>
          <a:spLocks noChangeArrowheads="1"/>
        </xdr:cNvSpPr>
      </xdr:nvSpPr>
      <xdr:spPr bwMode="auto">
        <a:xfrm>
          <a:off x="2113732" y="11306942"/>
          <a:ext cx="114300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/>
            <a:t>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507462</xdr:colOff>
      <xdr:row>2</xdr:row>
      <xdr:rowOff>48768</xdr:rowOff>
    </xdr:to>
    <xdr:pic>
      <xdr:nvPicPr>
        <xdr:cNvPr id="2" name="DevangSig">
          <a:extLst>
            <a:ext uri="{FF2B5EF4-FFF2-40B4-BE49-F238E27FC236}">
              <a16:creationId xmlns:a16="http://schemas.microsoft.com/office/drawing/2014/main" id="{44D3AFA3-E191-4A20-A311-7FB479059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8376" cy="429768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3</xdr:row>
      <xdr:rowOff>132115</xdr:rowOff>
    </xdr:from>
    <xdr:to>
      <xdr:col>2</xdr:col>
      <xdr:colOff>341587</xdr:colOff>
      <xdr:row>5</xdr:row>
      <xdr:rowOff>183931</xdr:rowOff>
    </xdr:to>
    <xdr:pic>
      <xdr:nvPicPr>
        <xdr:cNvPr id="3" name="FrancoSig" descr="Franco Signature w stamp.jpg">
          <a:extLst>
            <a:ext uri="{FF2B5EF4-FFF2-40B4-BE49-F238E27FC236}">
              <a16:creationId xmlns:a16="http://schemas.microsoft.com/office/drawing/2014/main" id="{4290C137-E935-4D90-A635-58520DD83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" y="703615"/>
          <a:ext cx="1553890" cy="4328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CCC20-7B00-4F56-8CAD-3AB6CC2BA863}">
  <sheetPr codeName="Sheet2">
    <pageSetUpPr fitToPage="1"/>
  </sheetPr>
  <dimension ref="A1:P79"/>
  <sheetViews>
    <sheetView tabSelected="1" view="pageBreakPreview" zoomScale="130" zoomScaleNormal="130" zoomScaleSheetLayoutView="130" workbookViewId="0">
      <selection activeCell="C23" sqref="C23"/>
    </sheetView>
  </sheetViews>
  <sheetFormatPr defaultColWidth="9.28515625" defaultRowHeight="12.75"/>
  <cols>
    <col min="1" max="1" width="8.5703125" customWidth="1"/>
    <col min="2" max="2" width="16.42578125" customWidth="1"/>
    <col min="3" max="3" width="18.7109375" customWidth="1"/>
    <col min="4" max="4" width="8.7109375" customWidth="1"/>
    <col min="5" max="5" width="8" customWidth="1"/>
    <col min="6" max="6" width="14.42578125" customWidth="1"/>
    <col min="7" max="7" width="12.7109375" customWidth="1"/>
    <col min="8" max="8" width="9.42578125" style="14" customWidth="1"/>
    <col min="9" max="9" width="25.28515625" customWidth="1"/>
    <col min="10" max="10" width="3" customWidth="1"/>
    <col min="11" max="11" width="13.85546875" customWidth="1"/>
    <col min="12" max="12" width="19" bestFit="1" customWidth="1"/>
    <col min="13" max="13" width="15.7109375" bestFit="1" customWidth="1"/>
    <col min="14" max="16" width="9.85546875" bestFit="1" customWidth="1"/>
  </cols>
  <sheetData>
    <row r="1" spans="1:16">
      <c r="A1" s="39"/>
      <c r="B1" s="1"/>
      <c r="C1" s="1"/>
      <c r="D1" s="1"/>
      <c r="E1" s="1"/>
      <c r="F1" s="1"/>
      <c r="G1" s="1"/>
      <c r="H1" s="11"/>
      <c r="I1" s="15" t="s">
        <v>48</v>
      </c>
    </row>
    <row r="2" spans="1:16" ht="20.25">
      <c r="A2" s="76" t="s">
        <v>16</v>
      </c>
      <c r="B2" s="77"/>
      <c r="C2" s="77"/>
      <c r="D2" s="77"/>
      <c r="E2" s="77"/>
      <c r="F2" s="77"/>
      <c r="G2" s="77"/>
      <c r="H2" s="77"/>
      <c r="I2" s="78"/>
    </row>
    <row r="3" spans="1:16" ht="18.75">
      <c r="A3" s="79" t="s">
        <v>6</v>
      </c>
      <c r="B3" s="80"/>
      <c r="C3" s="80"/>
      <c r="D3" s="80"/>
      <c r="E3" s="80"/>
      <c r="F3" s="80"/>
      <c r="G3" s="80"/>
      <c r="H3" s="80"/>
      <c r="I3" s="81"/>
    </row>
    <row r="4" spans="1:16" ht="15.75">
      <c r="A4" s="3"/>
      <c r="B4" s="4"/>
      <c r="C4" s="4"/>
      <c r="D4" s="4"/>
      <c r="E4" s="5"/>
      <c r="F4" s="2"/>
      <c r="G4" s="4"/>
      <c r="H4" s="12"/>
      <c r="I4" s="6"/>
    </row>
    <row r="5" spans="1:16" ht="15.75">
      <c r="A5" s="7"/>
      <c r="B5" s="8"/>
      <c r="C5" s="8"/>
      <c r="D5" s="8"/>
      <c r="E5" s="9"/>
      <c r="F5" s="10"/>
      <c r="G5" s="8"/>
      <c r="H5" s="13"/>
      <c r="I5" s="32" t="s">
        <v>507</v>
      </c>
    </row>
    <row r="6" spans="1:16">
      <c r="A6" s="16"/>
      <c r="B6" s="16" t="s">
        <v>2</v>
      </c>
      <c r="C6" s="82"/>
      <c r="D6" s="82"/>
      <c r="E6" s="82"/>
      <c r="F6" s="82"/>
      <c r="G6" s="16" t="s">
        <v>19</v>
      </c>
      <c r="H6" s="82"/>
      <c r="I6" s="82"/>
    </row>
    <row r="7" spans="1:16">
      <c r="A7" s="17"/>
      <c r="B7" s="17" t="s">
        <v>44</v>
      </c>
      <c r="C7" s="83"/>
      <c r="D7" s="83"/>
      <c r="E7" s="83"/>
      <c r="F7" s="83"/>
      <c r="G7" s="16" t="s">
        <v>12</v>
      </c>
      <c r="H7" s="69"/>
      <c r="I7" s="69"/>
    </row>
    <row r="8" spans="1:16">
      <c r="A8" s="16"/>
      <c r="B8" s="16" t="s">
        <v>4</v>
      </c>
      <c r="C8" s="69"/>
      <c r="D8" s="69"/>
      <c r="E8" s="69"/>
      <c r="F8" s="69"/>
      <c r="G8" s="16" t="s">
        <v>20</v>
      </c>
      <c r="H8" s="69"/>
      <c r="I8" s="69"/>
    </row>
    <row r="9" spans="1:16">
      <c r="A9" s="16"/>
      <c r="B9" s="16" t="s">
        <v>10</v>
      </c>
      <c r="C9" s="69"/>
      <c r="D9" s="69"/>
      <c r="E9" s="69"/>
      <c r="F9" s="69"/>
      <c r="G9" s="16" t="s">
        <v>15</v>
      </c>
      <c r="H9" s="69"/>
      <c r="I9" s="69"/>
    </row>
    <row r="10" spans="1:16" s="61" customFormat="1" ht="12.75" customHeight="1">
      <c r="A10" s="60"/>
      <c r="B10" s="60" t="s">
        <v>508</v>
      </c>
      <c r="C10" s="66"/>
      <c r="D10" s="67"/>
      <c r="E10" s="67"/>
      <c r="F10" s="67"/>
      <c r="G10" s="60" t="s">
        <v>14</v>
      </c>
      <c r="H10" s="67" t="s">
        <v>522</v>
      </c>
      <c r="I10" s="68"/>
      <c r="K10"/>
      <c r="L10"/>
      <c r="M10"/>
      <c r="N10"/>
      <c r="O10"/>
      <c r="P10"/>
    </row>
    <row r="11" spans="1:16">
      <c r="A11" s="16"/>
      <c r="B11" s="16" t="s">
        <v>47</v>
      </c>
      <c r="C11" s="69"/>
      <c r="D11" s="69"/>
      <c r="E11" s="69"/>
      <c r="F11" s="69"/>
      <c r="G11" s="16" t="s">
        <v>21</v>
      </c>
      <c r="H11" s="69" t="s">
        <v>95</v>
      </c>
      <c r="I11" s="69"/>
    </row>
    <row r="12" spans="1:16">
      <c r="A12" s="18"/>
      <c r="B12" s="18"/>
      <c r="C12" s="18"/>
      <c r="D12" s="18"/>
      <c r="E12" s="18"/>
      <c r="F12" s="18"/>
      <c r="G12" s="18"/>
      <c r="H12" s="19"/>
      <c r="I12" s="18"/>
    </row>
    <row r="13" spans="1:16">
      <c r="A13" s="70" t="s">
        <v>7</v>
      </c>
      <c r="B13" s="71"/>
      <c r="C13" s="20" t="s">
        <v>13</v>
      </c>
      <c r="D13" s="72" t="s">
        <v>42</v>
      </c>
      <c r="E13" s="73"/>
      <c r="F13" s="20" t="s">
        <v>490</v>
      </c>
      <c r="G13" s="20" t="s">
        <v>8</v>
      </c>
      <c r="H13" s="20" t="s">
        <v>491</v>
      </c>
      <c r="I13" s="20" t="s">
        <v>17</v>
      </c>
      <c r="K13" s="23" t="s">
        <v>505</v>
      </c>
      <c r="L13" s="59"/>
    </row>
    <row r="14" spans="1:16">
      <c r="A14" s="74" t="s">
        <v>5</v>
      </c>
      <c r="B14" s="75"/>
      <c r="C14" s="21" t="s">
        <v>9</v>
      </c>
      <c r="D14" s="22" t="s">
        <v>45</v>
      </c>
      <c r="E14" s="22" t="s">
        <v>46</v>
      </c>
      <c r="F14" s="21" t="s">
        <v>5</v>
      </c>
      <c r="G14" s="21" t="s">
        <v>11</v>
      </c>
      <c r="H14" s="21" t="s">
        <v>492</v>
      </c>
      <c r="I14" s="21"/>
      <c r="K14" s="23" t="s">
        <v>22</v>
      </c>
      <c r="L14" s="23" t="s">
        <v>23</v>
      </c>
    </row>
    <row r="15" spans="1:16" ht="15.75" customHeight="1">
      <c r="A15" s="63" t="s">
        <v>522</v>
      </c>
      <c r="B15" s="64"/>
      <c r="C15" s="64"/>
      <c r="D15" s="64"/>
      <c r="E15" s="64"/>
      <c r="F15" s="64"/>
      <c r="G15" s="64"/>
      <c r="H15" s="64"/>
      <c r="I15" s="65"/>
      <c r="K15" s="31" t="s">
        <v>24</v>
      </c>
      <c r="L15" s="24" t="s">
        <v>25</v>
      </c>
      <c r="M15" s="31"/>
      <c r="N15" s="24"/>
    </row>
    <row r="16" spans="1:16" ht="15.75">
      <c r="A16" s="47"/>
      <c r="B16" s="28"/>
      <c r="C16" s="25"/>
      <c r="D16" s="25"/>
      <c r="E16" s="25"/>
      <c r="F16" s="25"/>
      <c r="G16" s="40"/>
      <c r="H16" s="30"/>
      <c r="I16" s="33"/>
      <c r="K16" s="31" t="s">
        <v>49</v>
      </c>
      <c r="L16" s="24" t="s">
        <v>50</v>
      </c>
      <c r="M16" s="31"/>
      <c r="N16" s="24"/>
    </row>
    <row r="17" spans="1:14" ht="15.75">
      <c r="A17" s="47"/>
      <c r="B17" s="28"/>
      <c r="C17" s="25"/>
      <c r="D17" s="25"/>
      <c r="E17" s="25"/>
      <c r="F17" s="25"/>
      <c r="G17" s="40"/>
      <c r="H17" s="30"/>
      <c r="I17" s="33"/>
      <c r="K17" s="31" t="s">
        <v>51</v>
      </c>
      <c r="L17" s="24" t="s">
        <v>52</v>
      </c>
      <c r="M17" s="31"/>
      <c r="N17" s="24"/>
    </row>
    <row r="18" spans="1:14" ht="15.75">
      <c r="A18" s="47"/>
      <c r="B18" s="28"/>
      <c r="C18" s="25"/>
      <c r="D18" s="25"/>
      <c r="E18" s="25"/>
      <c r="F18" s="25"/>
      <c r="G18" s="40"/>
      <c r="H18" s="30"/>
      <c r="I18" s="33"/>
      <c r="K18" s="31" t="s">
        <v>53</v>
      </c>
      <c r="L18" s="24" t="s">
        <v>54</v>
      </c>
      <c r="M18" s="31"/>
      <c r="N18" s="24"/>
    </row>
    <row r="19" spans="1:14" ht="15.75">
      <c r="A19" s="47"/>
      <c r="B19" s="28"/>
      <c r="C19" s="25"/>
      <c r="D19" s="25"/>
      <c r="E19" s="25"/>
      <c r="F19" s="25"/>
      <c r="G19" s="40"/>
      <c r="H19" s="30"/>
      <c r="I19" s="33"/>
      <c r="K19" s="31" t="s">
        <v>55</v>
      </c>
      <c r="L19" s="24" t="s">
        <v>56</v>
      </c>
      <c r="M19" s="31"/>
      <c r="N19" s="24"/>
    </row>
    <row r="20" spans="1:14" ht="15.75">
      <c r="A20" s="47"/>
      <c r="B20" s="28"/>
      <c r="C20" s="25"/>
      <c r="D20" s="25"/>
      <c r="E20" s="25"/>
      <c r="F20" s="25"/>
      <c r="G20" s="40"/>
      <c r="H20" s="30"/>
      <c r="I20" s="33"/>
      <c r="K20" s="31" t="s">
        <v>57</v>
      </c>
      <c r="L20" s="24" t="s">
        <v>58</v>
      </c>
      <c r="M20" s="31"/>
      <c r="N20" s="24"/>
    </row>
    <row r="21" spans="1:14" ht="15.75">
      <c r="A21" s="47"/>
      <c r="B21" s="28"/>
      <c r="C21" s="25"/>
      <c r="D21" s="25"/>
      <c r="E21" s="25"/>
      <c r="F21" s="25"/>
      <c r="G21" s="40"/>
      <c r="H21" s="30"/>
      <c r="I21" s="33"/>
      <c r="K21" s="31" t="s">
        <v>59</v>
      </c>
      <c r="L21" s="24" t="s">
        <v>60</v>
      </c>
      <c r="M21" s="31"/>
      <c r="N21" s="24"/>
    </row>
    <row r="22" spans="1:14" ht="15.75">
      <c r="A22" s="47"/>
      <c r="B22" s="28"/>
      <c r="C22" s="25"/>
      <c r="D22" s="25"/>
      <c r="E22" s="25"/>
      <c r="F22" s="25"/>
      <c r="G22" s="40"/>
      <c r="H22" s="30"/>
      <c r="I22" s="33"/>
      <c r="K22" s="31" t="s">
        <v>77</v>
      </c>
      <c r="L22" s="24" t="s">
        <v>78</v>
      </c>
      <c r="M22" s="31"/>
      <c r="N22" s="24"/>
    </row>
    <row r="23" spans="1:14" ht="15.75">
      <c r="A23" s="47"/>
      <c r="B23" s="28"/>
      <c r="C23" s="25"/>
      <c r="D23" s="25"/>
      <c r="E23" s="25"/>
      <c r="F23" s="25"/>
      <c r="G23" s="40"/>
      <c r="H23" s="30"/>
      <c r="I23" s="33"/>
      <c r="K23" s="31" t="s">
        <v>61</v>
      </c>
      <c r="L23" s="24" t="s">
        <v>62</v>
      </c>
      <c r="M23" s="31"/>
      <c r="N23" s="24"/>
    </row>
    <row r="24" spans="1:14" ht="15.75">
      <c r="A24" s="47"/>
      <c r="B24" s="28"/>
      <c r="C24" s="25"/>
      <c r="D24" s="25"/>
      <c r="E24" s="25"/>
      <c r="F24" s="25"/>
      <c r="G24" s="40"/>
      <c r="H24" s="30"/>
      <c r="I24" s="33"/>
      <c r="K24" s="31" t="s">
        <v>63</v>
      </c>
      <c r="L24" s="24" t="s">
        <v>64</v>
      </c>
      <c r="M24" s="31"/>
      <c r="N24" s="24"/>
    </row>
    <row r="25" spans="1:14" ht="15.75">
      <c r="A25" s="47"/>
      <c r="B25" s="28"/>
      <c r="C25" s="25"/>
      <c r="D25" s="25"/>
      <c r="E25" s="25"/>
      <c r="F25" s="25"/>
      <c r="G25" s="40"/>
      <c r="H25" s="30"/>
      <c r="I25" s="33"/>
      <c r="K25" s="31" t="s">
        <v>65</v>
      </c>
      <c r="L25" s="24" t="s">
        <v>66</v>
      </c>
      <c r="M25" s="31"/>
      <c r="N25" s="24"/>
    </row>
    <row r="26" spans="1:14" ht="15.75">
      <c r="A26" s="47"/>
      <c r="B26" s="28"/>
      <c r="C26" s="25"/>
      <c r="D26" s="25"/>
      <c r="E26" s="25"/>
      <c r="F26" s="25"/>
      <c r="G26" s="40"/>
      <c r="H26" s="30"/>
      <c r="I26" s="33"/>
      <c r="K26" s="31" t="s">
        <v>67</v>
      </c>
      <c r="L26" s="24" t="s">
        <v>68</v>
      </c>
      <c r="M26" s="31"/>
      <c r="N26" s="24"/>
    </row>
    <row r="27" spans="1:14" ht="15.75">
      <c r="A27" s="47"/>
      <c r="B27" s="28"/>
      <c r="C27" s="25"/>
      <c r="D27" s="25"/>
      <c r="E27" s="25"/>
      <c r="F27" s="25"/>
      <c r="G27" s="40"/>
      <c r="H27" s="30"/>
      <c r="I27" s="33"/>
      <c r="K27" s="31" t="s">
        <v>69</v>
      </c>
      <c r="L27" s="24" t="s">
        <v>70</v>
      </c>
      <c r="M27" s="31"/>
      <c r="N27" s="24"/>
    </row>
    <row r="28" spans="1:14" ht="15.75">
      <c r="A28" s="47"/>
      <c r="B28" s="28"/>
      <c r="C28" s="25"/>
      <c r="D28" s="25"/>
      <c r="E28" s="25"/>
      <c r="F28" s="25"/>
      <c r="G28" s="40"/>
      <c r="H28" s="30"/>
      <c r="I28" s="33"/>
      <c r="K28" s="31" t="s">
        <v>71</v>
      </c>
      <c r="L28" s="24" t="s">
        <v>72</v>
      </c>
      <c r="M28" s="31"/>
      <c r="N28" s="24"/>
    </row>
    <row r="29" spans="1:14" ht="15.75">
      <c r="A29" s="47"/>
      <c r="B29" s="28"/>
      <c r="C29" s="25"/>
      <c r="D29" s="25"/>
      <c r="E29" s="25"/>
      <c r="F29" s="25"/>
      <c r="G29" s="40"/>
      <c r="H29" s="30"/>
      <c r="I29" s="33"/>
      <c r="K29" s="31" t="s">
        <v>73</v>
      </c>
      <c r="L29" s="24" t="s">
        <v>74</v>
      </c>
      <c r="M29" s="31"/>
      <c r="N29" s="24"/>
    </row>
    <row r="30" spans="1:14" ht="15.75">
      <c r="A30" s="47"/>
      <c r="B30" s="28"/>
      <c r="C30" s="25"/>
      <c r="D30" s="25"/>
      <c r="E30" s="25"/>
      <c r="F30" s="25"/>
      <c r="G30" s="40"/>
      <c r="H30" s="30"/>
      <c r="I30" s="33"/>
      <c r="K30" s="31" t="s">
        <v>79</v>
      </c>
      <c r="L30" s="24" t="s">
        <v>80</v>
      </c>
      <c r="M30" s="31"/>
      <c r="N30" s="24"/>
    </row>
    <row r="31" spans="1:14" ht="15.75">
      <c r="A31" s="47"/>
      <c r="B31" s="28"/>
      <c r="C31" s="25"/>
      <c r="D31" s="25"/>
      <c r="E31" s="25"/>
      <c r="F31" s="25"/>
      <c r="G31" s="40"/>
      <c r="H31" s="30"/>
      <c r="I31" s="33"/>
      <c r="K31" s="31" t="s">
        <v>81</v>
      </c>
      <c r="L31" s="24" t="s">
        <v>82</v>
      </c>
      <c r="M31" s="31"/>
      <c r="N31" s="24"/>
    </row>
    <row r="32" spans="1:14" ht="15.75">
      <c r="A32" s="47"/>
      <c r="B32" s="28"/>
      <c r="C32" s="25"/>
      <c r="D32" s="25"/>
      <c r="E32" s="25"/>
      <c r="F32" s="25"/>
      <c r="G32" s="40"/>
      <c r="H32" s="30"/>
      <c r="I32" s="33"/>
      <c r="K32" s="31" t="s">
        <v>83</v>
      </c>
      <c r="L32" s="24" t="s">
        <v>84</v>
      </c>
    </row>
    <row r="33" spans="1:12" ht="15.75">
      <c r="A33" s="47"/>
      <c r="B33" s="28"/>
      <c r="C33" s="25"/>
      <c r="D33" s="25"/>
      <c r="E33" s="25"/>
      <c r="F33" s="25"/>
      <c r="G33" s="40"/>
      <c r="H33" s="30"/>
      <c r="I33" s="33"/>
      <c r="K33" s="31" t="s">
        <v>85</v>
      </c>
      <c r="L33" s="24" t="s">
        <v>86</v>
      </c>
    </row>
    <row r="34" spans="1:12" ht="15.75">
      <c r="A34" s="47"/>
      <c r="B34" s="28"/>
      <c r="C34" s="25"/>
      <c r="D34" s="25"/>
      <c r="E34" s="25"/>
      <c r="F34" s="25"/>
      <c r="G34" s="40"/>
      <c r="H34" s="30"/>
      <c r="I34" s="33"/>
      <c r="K34" s="31" t="s">
        <v>87</v>
      </c>
      <c r="L34" s="24" t="s">
        <v>88</v>
      </c>
    </row>
    <row r="35" spans="1:12" ht="15.75">
      <c r="A35" s="47"/>
      <c r="B35" s="28"/>
      <c r="C35" s="25"/>
      <c r="D35" s="25"/>
      <c r="E35" s="25"/>
      <c r="F35" s="25"/>
      <c r="G35" s="40"/>
      <c r="H35" s="30"/>
      <c r="I35" s="33"/>
      <c r="K35" s="31" t="s">
        <v>89</v>
      </c>
      <c r="L35" s="24" t="s">
        <v>90</v>
      </c>
    </row>
    <row r="36" spans="1:12" ht="15.75">
      <c r="A36" s="47"/>
      <c r="B36" s="28"/>
      <c r="C36" s="25"/>
      <c r="D36" s="25"/>
      <c r="E36" s="25"/>
      <c r="F36" s="25"/>
      <c r="G36" s="40"/>
      <c r="H36" s="30"/>
      <c r="I36" s="33"/>
      <c r="K36" s="31" t="s">
        <v>91</v>
      </c>
      <c r="L36" s="24" t="s">
        <v>92</v>
      </c>
    </row>
    <row r="37" spans="1:12" ht="15.75">
      <c r="A37" s="47"/>
      <c r="B37" s="28"/>
      <c r="C37" s="25"/>
      <c r="D37" s="25"/>
      <c r="E37" s="25"/>
      <c r="F37" s="25"/>
      <c r="G37" s="40"/>
      <c r="H37" s="30"/>
      <c r="I37" s="33"/>
      <c r="K37" s="31" t="s">
        <v>93</v>
      </c>
      <c r="L37" s="24" t="s">
        <v>94</v>
      </c>
    </row>
    <row r="38" spans="1:12" ht="15.75">
      <c r="A38" s="47"/>
      <c r="B38" s="28"/>
      <c r="C38" s="25"/>
      <c r="D38" s="25"/>
      <c r="E38" s="25"/>
      <c r="F38" s="25"/>
      <c r="G38" s="40"/>
      <c r="H38" s="30"/>
      <c r="I38" s="33"/>
      <c r="K38" s="31" t="s">
        <v>26</v>
      </c>
      <c r="L38" s="24" t="s">
        <v>27</v>
      </c>
    </row>
    <row r="39" spans="1:12" ht="15.75">
      <c r="A39" s="47"/>
      <c r="B39" s="28"/>
      <c r="C39" s="25"/>
      <c r="D39" s="25"/>
      <c r="E39" s="25"/>
      <c r="F39" s="25"/>
      <c r="G39" s="40"/>
      <c r="H39" s="30"/>
      <c r="I39" s="33"/>
      <c r="K39" s="31" t="s">
        <v>28</v>
      </c>
      <c r="L39" s="24" t="s">
        <v>29</v>
      </c>
    </row>
    <row r="40" spans="1:12" ht="15.75">
      <c r="A40" s="47"/>
      <c r="B40" s="28"/>
      <c r="C40" s="25"/>
      <c r="D40" s="25"/>
      <c r="E40" s="25"/>
      <c r="F40" s="25"/>
      <c r="G40" s="40"/>
      <c r="H40" s="30"/>
      <c r="I40" s="33"/>
      <c r="K40" s="31" t="s">
        <v>30</v>
      </c>
      <c r="L40" s="24" t="s">
        <v>31</v>
      </c>
    </row>
    <row r="41" spans="1:12" ht="15.75">
      <c r="A41" s="47"/>
      <c r="B41" s="28"/>
      <c r="C41" s="25"/>
      <c r="D41" s="25"/>
      <c r="E41" s="25"/>
      <c r="F41" s="25"/>
      <c r="G41" s="40"/>
      <c r="H41" s="30"/>
      <c r="I41" s="33"/>
      <c r="K41" s="31" t="s">
        <v>32</v>
      </c>
      <c r="L41" s="24" t="s">
        <v>33</v>
      </c>
    </row>
    <row r="42" spans="1:12" ht="15.75">
      <c r="A42" s="47"/>
      <c r="B42" s="28"/>
      <c r="C42" s="25"/>
      <c r="D42" s="25"/>
      <c r="E42" s="25"/>
      <c r="F42" s="25"/>
      <c r="G42" s="40"/>
      <c r="H42" s="30"/>
      <c r="I42" s="33"/>
      <c r="K42" s="31" t="s">
        <v>34</v>
      </c>
      <c r="L42" s="24" t="s">
        <v>35</v>
      </c>
    </row>
    <row r="43" spans="1:12" ht="15.75">
      <c r="A43" s="47"/>
      <c r="B43" s="28"/>
      <c r="C43" s="25"/>
      <c r="D43" s="25"/>
      <c r="E43" s="25"/>
      <c r="F43" s="25"/>
      <c r="G43" s="40"/>
      <c r="H43" s="30"/>
      <c r="I43" s="33"/>
      <c r="K43" s="31" t="s">
        <v>36</v>
      </c>
      <c r="L43" s="24" t="s">
        <v>37</v>
      </c>
    </row>
    <row r="44" spans="1:12" ht="15.75">
      <c r="A44" s="47"/>
      <c r="B44" s="28"/>
      <c r="C44" s="25"/>
      <c r="D44" s="25"/>
      <c r="E44" s="25"/>
      <c r="F44" s="25"/>
      <c r="G44" s="40"/>
      <c r="H44" s="30"/>
      <c r="I44" s="33"/>
      <c r="K44" s="31" t="s">
        <v>38</v>
      </c>
      <c r="L44" s="24" t="s">
        <v>39</v>
      </c>
    </row>
    <row r="45" spans="1:12" ht="15.75">
      <c r="A45" s="47"/>
      <c r="B45" s="28"/>
      <c r="C45" s="25"/>
      <c r="D45" s="25"/>
      <c r="E45" s="25"/>
      <c r="F45" s="25"/>
      <c r="G45" s="40"/>
      <c r="H45" s="30"/>
      <c r="I45" s="33"/>
      <c r="K45" s="31" t="s">
        <v>40</v>
      </c>
      <c r="L45" s="24" t="s">
        <v>41</v>
      </c>
    </row>
    <row r="46" spans="1:12" ht="15.75">
      <c r="A46" s="47"/>
      <c r="B46" s="28"/>
      <c r="C46" s="25"/>
      <c r="D46" s="25"/>
      <c r="E46" s="25"/>
      <c r="F46" s="25"/>
      <c r="G46" s="40"/>
      <c r="H46" s="30"/>
      <c r="I46" s="33"/>
      <c r="K46" s="31" t="s">
        <v>75</v>
      </c>
      <c r="L46" s="24" t="s">
        <v>76</v>
      </c>
    </row>
    <row r="47" spans="1:12" ht="15.75">
      <c r="A47" s="47"/>
      <c r="B47" s="28"/>
      <c r="C47" s="25"/>
      <c r="D47" s="25"/>
      <c r="E47" s="25"/>
      <c r="F47" s="25"/>
      <c r="G47" s="40"/>
      <c r="H47" s="30"/>
      <c r="I47" s="33"/>
      <c r="K47" s="31" t="s">
        <v>96</v>
      </c>
      <c r="L47" s="24" t="s">
        <v>97</v>
      </c>
    </row>
    <row r="48" spans="1:12" ht="15.75">
      <c r="A48" s="47"/>
      <c r="B48" s="28"/>
      <c r="C48" s="25"/>
      <c r="D48" s="25"/>
      <c r="E48" s="25"/>
      <c r="F48" s="25"/>
      <c r="G48" s="40"/>
      <c r="H48" s="30"/>
      <c r="I48" s="33"/>
      <c r="K48" s="31" t="s">
        <v>98</v>
      </c>
      <c r="L48" s="24" t="s">
        <v>99</v>
      </c>
    </row>
    <row r="49" spans="1:12" ht="15.75">
      <c r="A49" s="47"/>
      <c r="B49" s="28"/>
      <c r="C49" s="25"/>
      <c r="D49" s="25"/>
      <c r="E49" s="25"/>
      <c r="F49" s="25"/>
      <c r="G49" s="40"/>
      <c r="H49" s="30"/>
      <c r="I49" s="33"/>
      <c r="K49" s="31"/>
      <c r="L49" s="24"/>
    </row>
    <row r="50" spans="1:12" ht="15.75">
      <c r="A50" s="47"/>
      <c r="B50" s="28"/>
      <c r="C50" s="25"/>
      <c r="D50" s="25"/>
      <c r="E50" s="25"/>
      <c r="F50" s="25"/>
      <c r="G50" s="40"/>
      <c r="H50" s="30"/>
      <c r="I50" s="33"/>
      <c r="K50" s="31"/>
      <c r="L50" s="24"/>
    </row>
    <row r="51" spans="1:12" ht="15.75">
      <c r="A51" s="47"/>
      <c r="B51" s="28"/>
      <c r="C51" s="25"/>
      <c r="D51" s="25"/>
      <c r="E51" s="25"/>
      <c r="F51" s="25"/>
      <c r="G51" s="40"/>
      <c r="H51" s="30"/>
      <c r="I51" s="33"/>
      <c r="K51" s="31"/>
      <c r="L51" s="24"/>
    </row>
    <row r="52" spans="1:12" ht="15.75">
      <c r="A52" s="47"/>
      <c r="B52" s="28"/>
      <c r="C52" s="25"/>
      <c r="D52" s="25"/>
      <c r="E52" s="25"/>
      <c r="F52" s="25"/>
      <c r="G52" s="40"/>
      <c r="H52" s="30"/>
      <c r="I52" s="33"/>
      <c r="K52" s="31"/>
      <c r="L52" s="24"/>
    </row>
    <row r="53" spans="1:12" ht="15.75">
      <c r="A53" s="47"/>
      <c r="B53" s="28"/>
      <c r="C53" s="25"/>
      <c r="D53" s="25"/>
      <c r="E53" s="25"/>
      <c r="F53" s="25"/>
      <c r="G53" s="40"/>
      <c r="H53" s="30"/>
      <c r="I53" s="33"/>
      <c r="K53" s="31"/>
      <c r="L53" s="24"/>
    </row>
    <row r="54" spans="1:12" ht="15.75">
      <c r="A54" s="47"/>
      <c r="B54" s="28"/>
      <c r="C54" s="25"/>
      <c r="D54" s="25"/>
      <c r="E54" s="25"/>
      <c r="F54" s="25"/>
      <c r="G54" s="40"/>
      <c r="H54" s="30"/>
      <c r="I54" s="33"/>
      <c r="K54" s="31"/>
      <c r="L54" s="24"/>
    </row>
    <row r="55" spans="1:12" ht="15.75">
      <c r="A55" s="47"/>
      <c r="B55" s="28"/>
      <c r="C55" s="25"/>
      <c r="D55" s="25"/>
      <c r="E55" s="25"/>
      <c r="F55" s="25"/>
      <c r="G55" s="40"/>
      <c r="H55" s="30"/>
      <c r="I55" s="33"/>
      <c r="K55" s="31"/>
      <c r="L55" s="24"/>
    </row>
    <row r="56" spans="1:12" ht="15.75">
      <c r="A56" s="62"/>
      <c r="B56" s="29"/>
      <c r="C56" s="26"/>
      <c r="D56" s="26"/>
      <c r="E56" s="26"/>
      <c r="F56" s="26"/>
      <c r="G56" s="41"/>
      <c r="H56" s="42"/>
      <c r="I56" s="38"/>
      <c r="K56" s="31"/>
      <c r="L56" s="24"/>
    </row>
    <row r="57" spans="1:12" ht="15">
      <c r="A57" s="34"/>
      <c r="B57" s="35"/>
      <c r="C57" s="36"/>
      <c r="D57" s="36"/>
      <c r="E57" s="36"/>
      <c r="F57" s="36"/>
      <c r="G57" s="37"/>
      <c r="H57" s="43"/>
      <c r="I57" s="35"/>
      <c r="K57" s="31"/>
      <c r="L57" s="24"/>
    </row>
    <row r="58" spans="1:12" ht="15">
      <c r="A58" s="18"/>
      <c r="B58" s="18"/>
      <c r="C58" s="18"/>
      <c r="D58" s="18"/>
      <c r="E58" s="18" t="s">
        <v>43</v>
      </c>
      <c r="F58" s="18"/>
      <c r="G58" s="18"/>
      <c r="I58" s="18"/>
      <c r="K58" s="31"/>
      <c r="L58" s="24"/>
    </row>
    <row r="59" spans="1:12" ht="15">
      <c r="A59" s="18" t="s">
        <v>1</v>
      </c>
      <c r="B59" s="18"/>
      <c r="C59" s="18" t="s">
        <v>0</v>
      </c>
      <c r="D59" s="18"/>
      <c r="E59" s="17" t="s">
        <v>3</v>
      </c>
      <c r="F59" s="27"/>
      <c r="G59" s="17" t="s">
        <v>18</v>
      </c>
      <c r="H59" s="19"/>
      <c r="K59" s="31"/>
      <c r="L59" s="24"/>
    </row>
    <row r="60" spans="1:12" ht="15">
      <c r="A60" s="18"/>
      <c r="B60" s="18"/>
      <c r="C60" s="18"/>
      <c r="D60" s="18"/>
      <c r="E60" s="18"/>
      <c r="F60" s="18"/>
      <c r="G60" s="18"/>
      <c r="H60" s="19"/>
      <c r="I60" s="18"/>
      <c r="K60" s="31"/>
      <c r="L60" s="24"/>
    </row>
    <row r="61" spans="1:12" ht="15">
      <c r="K61" s="31"/>
      <c r="L61" s="24"/>
    </row>
    <row r="62" spans="1:12" ht="15">
      <c r="K62" s="31"/>
      <c r="L62" s="24"/>
    </row>
    <row r="63" spans="1:12" ht="15">
      <c r="K63" s="31"/>
      <c r="L63" s="24"/>
    </row>
    <row r="64" spans="1:12" ht="15">
      <c r="K64" s="31"/>
      <c r="L64" s="24"/>
    </row>
    <row r="65" spans="11:12" ht="15">
      <c r="K65" s="31"/>
      <c r="L65" s="24"/>
    </row>
    <row r="66" spans="11:12" ht="15">
      <c r="K66" s="31"/>
      <c r="L66" s="24"/>
    </row>
    <row r="67" spans="11:12" ht="15">
      <c r="K67" s="31"/>
      <c r="L67" s="24"/>
    </row>
    <row r="68" spans="11:12" ht="15">
      <c r="K68" s="31"/>
      <c r="L68" s="24"/>
    </row>
    <row r="69" spans="11:12" ht="15">
      <c r="K69" s="31"/>
      <c r="L69" s="24"/>
    </row>
    <row r="70" spans="11:12" ht="15">
      <c r="K70" s="31"/>
      <c r="L70" s="24"/>
    </row>
    <row r="71" spans="11:12" ht="15">
      <c r="K71" s="31"/>
      <c r="L71" s="24"/>
    </row>
    <row r="72" spans="11:12" ht="15">
      <c r="K72" s="31"/>
      <c r="L72" s="24"/>
    </row>
    <row r="73" spans="11:12" ht="15">
      <c r="K73" s="31"/>
      <c r="L73" s="24"/>
    </row>
    <row r="74" spans="11:12" ht="15">
      <c r="K74" s="31"/>
      <c r="L74" s="24"/>
    </row>
    <row r="75" spans="11:12" ht="15">
      <c r="K75" s="31"/>
      <c r="L75" s="24"/>
    </row>
    <row r="76" spans="11:12" ht="15">
      <c r="K76" s="31"/>
      <c r="L76" s="24"/>
    </row>
    <row r="77" spans="11:12" ht="15">
      <c r="K77" s="31"/>
      <c r="L77" s="24"/>
    </row>
    <row r="78" spans="11:12" ht="15">
      <c r="K78" s="31"/>
      <c r="L78" s="24"/>
    </row>
    <row r="79" spans="11:12">
      <c r="K79" s="18"/>
      <c r="L79" s="18"/>
    </row>
  </sheetData>
  <sheetProtection selectLockedCells="1"/>
  <mergeCells count="18">
    <mergeCell ref="A2:I2"/>
    <mergeCell ref="A3:I3"/>
    <mergeCell ref="C6:F6"/>
    <mergeCell ref="H6:I6"/>
    <mergeCell ref="C7:F7"/>
    <mergeCell ref="H7:I7"/>
    <mergeCell ref="C8:F8"/>
    <mergeCell ref="H8:I8"/>
    <mergeCell ref="C9:F9"/>
    <mergeCell ref="H9:I9"/>
    <mergeCell ref="A14:B14"/>
    <mergeCell ref="A15:I15"/>
    <mergeCell ref="C10:F10"/>
    <mergeCell ref="H10:I10"/>
    <mergeCell ref="C11:F11"/>
    <mergeCell ref="H11:I11"/>
    <mergeCell ref="A13:B13"/>
    <mergeCell ref="D13:E13"/>
  </mergeCells>
  <conditionalFormatting sqref="H56">
    <cfRule type="expression" dxfId="42" priority="4">
      <formula>ISERROR(H56:H76)</formula>
    </cfRule>
    <cfRule type="beginsWith" dxfId="41" priority="5" operator="beginsWith" text="R">
      <formula>LEFT(H56,1)="R"</formula>
    </cfRule>
    <cfRule type="expression" dxfId="40" priority="6">
      <formula>ISERROR(H56:H98)</formula>
    </cfRule>
    <cfRule type="beginsWith" dxfId="39" priority="7" operator="beginsWith" text="R">
      <formula>LEFT(H56,1)="R"</formula>
    </cfRule>
    <cfRule type="expression" dxfId="38" priority="8">
      <formula>ISERROR(H56:H96)</formula>
    </cfRule>
    <cfRule type="expression" dxfId="37" priority="9">
      <formula>ISERROR(H56:H100)</formula>
    </cfRule>
    <cfRule type="beginsWith" dxfId="36" priority="10" operator="beginsWith" text="R">
      <formula>LEFT(H56,1)="R"</formula>
    </cfRule>
    <cfRule type="expression" dxfId="35" priority="11">
      <formula>ISERROR(H56:H84)</formula>
    </cfRule>
    <cfRule type="beginsWith" dxfId="34" priority="12" operator="beginsWith" text="R">
      <formula>LEFT(H56,1)="R"</formula>
    </cfRule>
    <cfRule type="expression" dxfId="33" priority="13">
      <formula>ISERROR(H56:H81)</formula>
    </cfRule>
    <cfRule type="beginsWith" dxfId="32" priority="14" operator="beginsWith" text="R">
      <formula>LEFT(H56,1)="R"</formula>
    </cfRule>
    <cfRule type="expression" dxfId="31" priority="15">
      <formula>ISERROR(H56:H86)</formula>
    </cfRule>
    <cfRule type="beginsWith" dxfId="30" priority="16" operator="beginsWith" text="R">
      <formula>LEFT(H56,1)="R"</formula>
    </cfRule>
    <cfRule type="expression" dxfId="29" priority="17">
      <formula>ISERROR(H56:H80)</formula>
    </cfRule>
    <cfRule type="beginsWith" dxfId="28" priority="18" operator="beginsWith" text="R">
      <formula>LEFT(H56,1)="R"</formula>
    </cfRule>
    <cfRule type="expression" dxfId="27" priority="19">
      <formula>ISERROR(H56:H78)</formula>
    </cfRule>
    <cfRule type="beginsWith" dxfId="26" priority="20" operator="beginsWith" text="R">
      <formula>LEFT(H56,1)="R"</formula>
    </cfRule>
    <cfRule type="expression" dxfId="25" priority="21">
      <formula>ISERROR(H56:H79)</formula>
    </cfRule>
    <cfRule type="expression" dxfId="24" priority="22">
      <formula>ISERROR(H56:H93)</formula>
    </cfRule>
    <cfRule type="beginsWith" dxfId="23" priority="23" operator="beginsWith" text="R">
      <formula>LEFT(H56,1)="R"</formula>
    </cfRule>
    <cfRule type="expression" dxfId="22" priority="24">
      <formula>ISERROR(H56:H90)</formula>
    </cfRule>
    <cfRule type="expression" dxfId="21" priority="25">
      <formula>ISERROR(H56:H85)</formula>
    </cfRule>
    <cfRule type="expression" dxfId="20" priority="26">
      <formula>ISERROR(H56:H83)</formula>
    </cfRule>
    <cfRule type="expression" dxfId="19" priority="27">
      <formula>ISERROR(H56:H89)</formula>
    </cfRule>
    <cfRule type="beginsWith" dxfId="18" priority="28" operator="beginsWith" text="R">
      <formula>LEFT(H56,1)="R"</formula>
    </cfRule>
    <cfRule type="expression" dxfId="17" priority="29">
      <formula>ISERROR(H56:H99)</formula>
    </cfRule>
    <cfRule type="expression" dxfId="16" priority="30">
      <formula>ISERROR(H56:H97)</formula>
    </cfRule>
    <cfRule type="beginsWith" dxfId="15" priority="31" operator="beginsWith" text="R">
      <formula>LEFT(H56,1)="R"</formula>
    </cfRule>
    <cfRule type="expression" dxfId="14" priority="32">
      <formula>ISERROR(H56:H96)</formula>
    </cfRule>
    <cfRule type="beginsWith" dxfId="13" priority="33" operator="beginsWith" text="R">
      <formula>LEFT(H56,1)="R"</formula>
    </cfRule>
    <cfRule type="expression" dxfId="12" priority="34">
      <formula>ISERROR(H56:H94)</formula>
    </cfRule>
    <cfRule type="beginsWith" dxfId="11" priority="35" operator="beginsWith" text="R">
      <formula>LEFT(H56,1)="R"</formula>
    </cfRule>
    <cfRule type="expression" dxfId="10" priority="36">
      <formula>ISERROR(H56:H95)</formula>
    </cfRule>
    <cfRule type="beginsWith" dxfId="9" priority="37" operator="beginsWith" text="R">
      <formula>LEFT(H56,1)="R"</formula>
    </cfRule>
    <cfRule type="expression" dxfId="8" priority="38">
      <formula>ISERROR(H56:H98)</formula>
    </cfRule>
    <cfRule type="expression" dxfId="7" priority="39">
      <formula>ISERROR(H56:H82)</formula>
    </cfRule>
    <cfRule type="expression" dxfId="6" priority="40">
      <formula>ISERROR(H56:H92)</formula>
    </cfRule>
    <cfRule type="beginsWith" dxfId="5" priority="41" operator="beginsWith" text="R">
      <formula>LEFT(H56,1)="R"</formula>
    </cfRule>
    <cfRule type="expression" dxfId="4" priority="42">
      <formula>ISERROR(H56:H91)</formula>
    </cfRule>
    <cfRule type="expression" dxfId="3" priority="43">
      <formula>ISERROR(H56:H89)</formula>
    </cfRule>
  </conditionalFormatting>
  <conditionalFormatting sqref="H56">
    <cfRule type="beginsWith" dxfId="2" priority="3" operator="beginsWith" text="R">
      <formula>LEFT(H56,1)="R"</formula>
    </cfRule>
  </conditionalFormatting>
  <conditionalFormatting sqref="H16:H55">
    <cfRule type="beginsWith" dxfId="1" priority="1" operator="beginsWith" text="R">
      <formula>LEFT(H16,1)="R"</formula>
    </cfRule>
  </conditionalFormatting>
  <conditionalFormatting sqref="H16:H55">
    <cfRule type="expression" dxfId="0" priority="2">
      <formula>ISERROR(H16:H55)</formula>
    </cfRule>
  </conditionalFormatting>
  <printOptions horizontalCentered="1" verticalCentered="1"/>
  <pageMargins left="0" right="0" top="0" bottom="0" header="0.51181102362204722" footer="0.51181102362204722"/>
  <pageSetup scale="86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15E0A2A-800B-4D76-9EB7-07FF327BB814}">
          <x14:formula1>
            <xm:f>Data!$D$2:$D$4</xm:f>
          </x14:formula1>
          <xm:sqref>C6:F6</xm:sqref>
        </x14:dataValidation>
        <x14:dataValidation type="list" allowBlank="1" showInputMessage="1" showErrorMessage="1" xr:uid="{EB885D74-AA54-4224-BE6D-7E2CAFD1B457}">
          <x14:formula1>
            <xm:f>Data!$F$2:$F$7</xm:f>
          </x14:formula1>
          <xm:sqref>L13</xm:sqref>
        </x14:dataValidation>
        <x14:dataValidation type="list" allowBlank="1" showInputMessage="1" showErrorMessage="1" xr:uid="{8D39281C-CBAF-4AE2-8C07-27F9EBFD0B38}">
          <x14:formula1>
            <xm:f>Data!$E$2:$E$3</xm:f>
          </x14:formula1>
          <xm:sqref>C11:F11</xm:sqref>
        </x14:dataValidation>
        <x14:dataValidation type="list" allowBlank="1" showInputMessage="1" showErrorMessage="1" xr:uid="{EB87F4CE-C2CE-4BBE-AAD0-055230589605}">
          <x14:formula1>
            <xm:f>Data!$A$12:$A$13</xm:f>
          </x14:formula1>
          <xm:sqref>H57</xm:sqref>
        </x14:dataValidation>
        <x14:dataValidation type="list" allowBlank="1" showInputMessage="1" showErrorMessage="1" xr:uid="{A57645DD-D4C7-4E41-BD5A-979DEFA912DC}">
          <x14:formula1>
            <xm:f>Data!$E$6:$E$37</xm:f>
          </x14:formula1>
          <xm:sqref>A16:A56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10DE3-9AAC-483A-864B-3ACE46CF54B9}">
  <sheetPr codeName="Sheet3"/>
  <dimension ref="A1:R160"/>
  <sheetViews>
    <sheetView topLeftCell="A19" zoomScale="145" zoomScaleNormal="145" workbookViewId="0">
      <selection activeCell="E38" sqref="E38"/>
    </sheetView>
  </sheetViews>
  <sheetFormatPr defaultRowHeight="15" customHeight="1"/>
  <cols>
    <col min="1" max="3" width="9.140625" style="18"/>
    <col min="4" max="4" width="10" style="18" bestFit="1" customWidth="1"/>
    <col min="5" max="5" width="16.28515625" style="18" bestFit="1" customWidth="1"/>
    <col min="6" max="6" width="19" style="18" bestFit="1" customWidth="1"/>
    <col min="7" max="8" width="9.140625" style="18"/>
    <col min="9" max="9" width="16.85546875" style="18" bestFit="1" customWidth="1"/>
    <col min="10" max="12" width="10.5703125" style="18" bestFit="1" customWidth="1"/>
    <col min="13" max="13" width="9.140625" style="18"/>
    <col min="14" max="14" width="24.140625" style="18" bestFit="1" customWidth="1"/>
    <col min="15" max="15" width="28.7109375" style="18" bestFit="1" customWidth="1"/>
    <col min="16" max="16" width="28.28515625" style="18" bestFit="1" customWidth="1"/>
    <col min="17" max="17" width="9.5703125" style="18" bestFit="1" customWidth="1"/>
    <col min="18" max="18" width="35.5703125" style="18" bestFit="1" customWidth="1"/>
    <col min="19" max="16384" width="9.140625" style="18"/>
  </cols>
  <sheetData>
    <row r="1" spans="1:18" ht="15" customHeight="1">
      <c r="D1" s="18" t="s">
        <v>101</v>
      </c>
      <c r="E1" s="18" t="s">
        <v>103</v>
      </c>
      <c r="F1" s="18" t="s">
        <v>107</v>
      </c>
      <c r="G1" s="51" t="s">
        <v>102</v>
      </c>
      <c r="H1" s="51" t="s">
        <v>494</v>
      </c>
      <c r="I1" s="48"/>
      <c r="J1" s="48"/>
      <c r="K1" s="48"/>
      <c r="L1" s="49"/>
      <c r="N1" s="18" t="s">
        <v>158</v>
      </c>
      <c r="O1" s="18" t="s">
        <v>480</v>
      </c>
    </row>
    <row r="2" spans="1:18" ht="15" customHeight="1">
      <c r="D2" s="18" t="s">
        <v>493</v>
      </c>
      <c r="E2" s="18" t="s">
        <v>104</v>
      </c>
      <c r="F2" s="18" t="s">
        <v>102</v>
      </c>
      <c r="G2" s="84" t="s">
        <v>495</v>
      </c>
      <c r="H2" s="84"/>
      <c r="I2" s="84" t="s">
        <v>497</v>
      </c>
      <c r="J2" s="84"/>
      <c r="K2" s="84"/>
      <c r="L2" s="84"/>
      <c r="N2" s="46" t="s">
        <v>160</v>
      </c>
      <c r="O2" s="18" t="s">
        <v>162</v>
      </c>
      <c r="P2" s="18" t="s">
        <v>163</v>
      </c>
      <c r="Q2" s="18" t="s">
        <v>164</v>
      </c>
      <c r="R2" s="18" t="str">
        <f t="shared" ref="R2:R48" si="0">O2 &amp; " (" &amp; Q2 &amp; ")"</f>
        <v>Thread Plug Gauge (S-2121-2)</v>
      </c>
    </row>
    <row r="3" spans="1:18" ht="15" customHeight="1">
      <c r="D3" s="18" t="s">
        <v>102</v>
      </c>
      <c r="E3" s="18" t="s">
        <v>105</v>
      </c>
      <c r="F3" s="18" t="s">
        <v>498</v>
      </c>
      <c r="G3" s="50" t="s">
        <v>108</v>
      </c>
      <c r="H3" s="50" t="s">
        <v>109</v>
      </c>
      <c r="I3" s="50" t="s">
        <v>110</v>
      </c>
      <c r="J3" s="50" t="s">
        <v>111</v>
      </c>
      <c r="K3" s="50" t="s">
        <v>112</v>
      </c>
      <c r="L3" s="50" t="s">
        <v>113</v>
      </c>
      <c r="N3" s="18" t="s">
        <v>159</v>
      </c>
      <c r="O3" s="18" t="s">
        <v>162</v>
      </c>
      <c r="P3" s="18" t="s">
        <v>165</v>
      </c>
      <c r="Q3" s="18" t="s">
        <v>166</v>
      </c>
      <c r="R3" s="18" t="str">
        <f t="shared" si="0"/>
        <v>Thread Plug Gauge (S-2121-3)</v>
      </c>
    </row>
    <row r="4" spans="1:18" ht="15" customHeight="1">
      <c r="D4" s="18" t="s">
        <v>506</v>
      </c>
      <c r="F4" s="18" t="s">
        <v>499</v>
      </c>
      <c r="G4" s="50" t="s">
        <v>95</v>
      </c>
      <c r="H4" s="50">
        <v>1</v>
      </c>
      <c r="I4" s="50">
        <v>6.25E-2</v>
      </c>
      <c r="J4" s="50" t="s">
        <v>123</v>
      </c>
      <c r="K4" s="50" t="s">
        <v>120</v>
      </c>
      <c r="L4" s="50" t="s">
        <v>100</v>
      </c>
      <c r="N4" s="18" t="s">
        <v>161</v>
      </c>
      <c r="O4" s="18" t="s">
        <v>162</v>
      </c>
      <c r="P4" s="18" t="s">
        <v>167</v>
      </c>
      <c r="Q4" s="18" t="s">
        <v>168</v>
      </c>
      <c r="R4" s="18" t="str">
        <f t="shared" si="0"/>
        <v>Thread Plug Gauge (S-1212)</v>
      </c>
    </row>
    <row r="5" spans="1:18" ht="15" customHeight="1">
      <c r="E5" s="18" t="s">
        <v>131</v>
      </c>
      <c r="F5" s="18" t="s">
        <v>500</v>
      </c>
      <c r="G5" s="50" t="s">
        <v>106</v>
      </c>
      <c r="H5" s="50" t="s">
        <v>114</v>
      </c>
      <c r="I5" s="50">
        <v>6.25E-2</v>
      </c>
      <c r="J5" s="50" t="s">
        <v>123</v>
      </c>
      <c r="K5" s="50" t="s">
        <v>122</v>
      </c>
      <c r="L5" s="50" t="s">
        <v>121</v>
      </c>
      <c r="N5" s="18" t="s">
        <v>485</v>
      </c>
      <c r="O5" s="18" t="s">
        <v>162</v>
      </c>
      <c r="P5" s="18" t="s">
        <v>169</v>
      </c>
      <c r="Q5" s="18" t="s">
        <v>170</v>
      </c>
      <c r="R5" s="18" t="str">
        <f t="shared" si="0"/>
        <v>Thread Plug Gauge (S-2154)</v>
      </c>
    </row>
    <row r="6" spans="1:18" ht="15" customHeight="1">
      <c r="E6" s="18" t="s">
        <v>63</v>
      </c>
      <c r="F6" s="18" t="s">
        <v>504</v>
      </c>
      <c r="G6" s="50" t="s">
        <v>114</v>
      </c>
      <c r="H6" s="50" t="s">
        <v>115</v>
      </c>
      <c r="I6" s="50">
        <v>6.25E-2</v>
      </c>
      <c r="J6" s="50" t="s">
        <v>118</v>
      </c>
      <c r="K6" s="50" t="s">
        <v>119</v>
      </c>
      <c r="L6" s="50" t="s">
        <v>126</v>
      </c>
      <c r="N6" s="18" t="s">
        <v>486</v>
      </c>
      <c r="O6" s="18" t="s">
        <v>162</v>
      </c>
      <c r="P6" s="18" t="s">
        <v>171</v>
      </c>
      <c r="Q6" s="18" t="s">
        <v>172</v>
      </c>
      <c r="R6" s="18" t="str">
        <f t="shared" si="0"/>
        <v>Thread Plug Gauge (S-2093-1)</v>
      </c>
    </row>
    <row r="7" spans="1:18" ht="15" customHeight="1">
      <c r="E7" s="18" t="s">
        <v>61</v>
      </c>
      <c r="F7" s="18" t="s">
        <v>521</v>
      </c>
      <c r="G7" s="53" t="s">
        <v>115</v>
      </c>
      <c r="H7" s="53" t="s">
        <v>95</v>
      </c>
      <c r="I7" s="50">
        <v>6.25E-2</v>
      </c>
      <c r="J7" s="53" t="s">
        <v>124</v>
      </c>
      <c r="K7" s="53" t="s">
        <v>125</v>
      </c>
      <c r="L7" s="53" t="s">
        <v>127</v>
      </c>
      <c r="N7" s="18" t="s">
        <v>487</v>
      </c>
      <c r="O7" s="18" t="s">
        <v>162</v>
      </c>
      <c r="P7" s="18" t="s">
        <v>173</v>
      </c>
      <c r="Q7" s="18" t="s">
        <v>174</v>
      </c>
      <c r="R7" s="18" t="str">
        <f t="shared" si="0"/>
        <v>Thread Plug Gauge (S-2093-33)</v>
      </c>
    </row>
    <row r="8" spans="1:18" ht="15" customHeight="1">
      <c r="E8" s="18" t="s">
        <v>132</v>
      </c>
      <c r="G8" s="52" t="s">
        <v>116</v>
      </c>
      <c r="H8" s="58"/>
      <c r="I8" s="57" t="s">
        <v>117</v>
      </c>
      <c r="J8" s="54"/>
      <c r="K8" s="55"/>
      <c r="L8" s="56"/>
      <c r="N8" s="18" t="s">
        <v>488</v>
      </c>
      <c r="O8" s="18" t="s">
        <v>162</v>
      </c>
      <c r="P8" s="18" t="s">
        <v>175</v>
      </c>
      <c r="Q8" s="18" t="s">
        <v>176</v>
      </c>
      <c r="R8" s="18" t="str">
        <f t="shared" si="0"/>
        <v>Thread Plug Gauge (S-2121-8)</v>
      </c>
    </row>
    <row r="9" spans="1:18" ht="15" customHeight="1">
      <c r="E9" s="18" t="s">
        <v>133</v>
      </c>
      <c r="G9" s="44"/>
      <c r="H9" s="44"/>
      <c r="I9" s="44"/>
      <c r="J9" s="44"/>
      <c r="K9" s="44"/>
      <c r="L9" s="44"/>
      <c r="N9" s="18" t="s">
        <v>489</v>
      </c>
      <c r="O9" s="18" t="s">
        <v>162</v>
      </c>
      <c r="P9" s="18" t="s">
        <v>177</v>
      </c>
      <c r="Q9" s="18" t="s">
        <v>178</v>
      </c>
      <c r="R9" s="18" t="str">
        <f t="shared" si="0"/>
        <v>Thread Plug Gauge (S-2121-10)</v>
      </c>
    </row>
    <row r="10" spans="1:18" ht="15" customHeight="1">
      <c r="E10" s="18" t="s">
        <v>134</v>
      </c>
      <c r="G10" s="51" t="s">
        <v>493</v>
      </c>
      <c r="H10" s="51" t="s">
        <v>494</v>
      </c>
      <c r="I10" s="48"/>
      <c r="J10" s="48"/>
      <c r="K10" s="48"/>
      <c r="L10" s="49"/>
      <c r="O10" s="18" t="s">
        <v>162</v>
      </c>
      <c r="P10" s="18" t="s">
        <v>179</v>
      </c>
      <c r="Q10" s="18" t="s">
        <v>180</v>
      </c>
      <c r="R10" s="18" t="str">
        <f t="shared" si="0"/>
        <v>Thread Plug Gauge (S-2093-5)</v>
      </c>
    </row>
    <row r="11" spans="1:18" ht="15" customHeight="1">
      <c r="A11" s="18" t="s">
        <v>128</v>
      </c>
      <c r="E11" s="18" t="s">
        <v>75</v>
      </c>
      <c r="G11" s="84" t="s">
        <v>495</v>
      </c>
      <c r="H11" s="84"/>
      <c r="I11" s="84" t="s">
        <v>497</v>
      </c>
      <c r="J11" s="84"/>
      <c r="K11" s="84"/>
      <c r="L11" s="84"/>
      <c r="O11" s="18" t="s">
        <v>162</v>
      </c>
      <c r="P11" s="18" t="s">
        <v>482</v>
      </c>
      <c r="Q11" s="18" t="s">
        <v>181</v>
      </c>
      <c r="R11" s="18" t="str">
        <f t="shared" si="0"/>
        <v>Thread Plug Gauge (S-2093-4)</v>
      </c>
    </row>
    <row r="12" spans="1:18" ht="15" customHeight="1">
      <c r="A12" s="18" t="s">
        <v>129</v>
      </c>
      <c r="E12" s="18" t="s">
        <v>96</v>
      </c>
      <c r="G12" s="50" t="s">
        <v>108</v>
      </c>
      <c r="H12" s="50" t="s">
        <v>109</v>
      </c>
      <c r="I12" s="50" t="s">
        <v>496</v>
      </c>
      <c r="J12" s="50" t="s">
        <v>111</v>
      </c>
      <c r="K12" s="50" t="s">
        <v>112</v>
      </c>
      <c r="L12" s="50" t="s">
        <v>113</v>
      </c>
      <c r="O12" s="18" t="s">
        <v>162</v>
      </c>
      <c r="P12" s="18" t="s">
        <v>182</v>
      </c>
      <c r="Q12" s="18" t="s">
        <v>183</v>
      </c>
      <c r="R12" s="18" t="str">
        <f t="shared" si="0"/>
        <v>Thread Plug Gauge (S-2121-4)</v>
      </c>
    </row>
    <row r="13" spans="1:18" ht="15" customHeight="1">
      <c r="A13" s="18" t="s">
        <v>130</v>
      </c>
      <c r="E13" s="18" t="s">
        <v>98</v>
      </c>
      <c r="G13" s="50" t="s">
        <v>95</v>
      </c>
      <c r="H13" s="50" t="s">
        <v>106</v>
      </c>
      <c r="I13" s="50" t="s">
        <v>483</v>
      </c>
      <c r="J13" s="50" t="s">
        <v>123</v>
      </c>
      <c r="K13" s="50" t="s">
        <v>120</v>
      </c>
      <c r="L13" s="50" t="s">
        <v>100</v>
      </c>
      <c r="O13" s="18" t="s">
        <v>162</v>
      </c>
      <c r="P13" s="18" t="s">
        <v>184</v>
      </c>
      <c r="Q13" s="18" t="s">
        <v>185</v>
      </c>
      <c r="R13" s="18" t="str">
        <f t="shared" si="0"/>
        <v>Thread Plug Gauge (S-2093-6)</v>
      </c>
    </row>
    <row r="14" spans="1:18" ht="15" customHeight="1">
      <c r="E14" s="18" t="s">
        <v>155</v>
      </c>
      <c r="G14" s="50" t="s">
        <v>106</v>
      </c>
      <c r="H14" s="50" t="s">
        <v>114</v>
      </c>
      <c r="I14" s="50" t="s">
        <v>483</v>
      </c>
      <c r="J14" s="50" t="s">
        <v>123</v>
      </c>
      <c r="K14" s="50" t="s">
        <v>122</v>
      </c>
      <c r="L14" s="50" t="s">
        <v>121</v>
      </c>
      <c r="O14" s="18" t="s">
        <v>162</v>
      </c>
      <c r="P14" s="18" t="s">
        <v>186</v>
      </c>
      <c r="Q14" s="18" t="s">
        <v>187</v>
      </c>
      <c r="R14" s="18" t="str">
        <f t="shared" si="0"/>
        <v>Thread Plug Gauge (S-2121-5)</v>
      </c>
    </row>
    <row r="15" spans="1:18" ht="15" customHeight="1">
      <c r="E15" s="18" t="s">
        <v>523</v>
      </c>
      <c r="G15" s="50" t="s">
        <v>114</v>
      </c>
      <c r="H15" s="50" t="s">
        <v>115</v>
      </c>
      <c r="I15" s="50" t="s">
        <v>483</v>
      </c>
      <c r="J15" s="50" t="s">
        <v>118</v>
      </c>
      <c r="K15" s="50" t="s">
        <v>122</v>
      </c>
      <c r="L15" s="50" t="s">
        <v>126</v>
      </c>
      <c r="O15" s="18" t="s">
        <v>162</v>
      </c>
      <c r="P15" s="18" t="s">
        <v>188</v>
      </c>
      <c r="Q15" s="18" t="s">
        <v>189</v>
      </c>
      <c r="R15" s="18" t="str">
        <f t="shared" si="0"/>
        <v>Thread Plug Gauge (S-2121-16)</v>
      </c>
    </row>
    <row r="16" spans="1:18" ht="15" customHeight="1">
      <c r="E16" s="18" t="s">
        <v>143</v>
      </c>
      <c r="G16" s="53" t="s">
        <v>115</v>
      </c>
      <c r="H16" s="53" t="s">
        <v>95</v>
      </c>
      <c r="I16" s="50" t="s">
        <v>484</v>
      </c>
      <c r="J16" s="53" t="s">
        <v>124</v>
      </c>
      <c r="K16" s="53" t="s">
        <v>125</v>
      </c>
      <c r="L16" s="53" t="s">
        <v>127</v>
      </c>
      <c r="O16" s="18" t="s">
        <v>162</v>
      </c>
      <c r="P16" s="18" t="s">
        <v>190</v>
      </c>
      <c r="Q16" s="18" t="s">
        <v>191</v>
      </c>
      <c r="R16" s="18" t="str">
        <f t="shared" si="0"/>
        <v>Thread Plug Gauge (S-2093-32)</v>
      </c>
    </row>
    <row r="17" spans="5:18" ht="15" customHeight="1">
      <c r="E17" s="18" t="s">
        <v>135</v>
      </c>
      <c r="G17" s="52" t="s">
        <v>116</v>
      </c>
      <c r="H17" s="58"/>
      <c r="I17" s="57" t="s">
        <v>106</v>
      </c>
      <c r="J17" s="54"/>
      <c r="K17" s="55"/>
      <c r="L17" s="56"/>
      <c r="O17" s="18" t="s">
        <v>162</v>
      </c>
      <c r="P17" s="18" t="s">
        <v>192</v>
      </c>
      <c r="Q17" s="18" t="s">
        <v>193</v>
      </c>
      <c r="R17" s="18" t="str">
        <f t="shared" si="0"/>
        <v>Thread Plug Gauge (S-2121-6)</v>
      </c>
    </row>
    <row r="18" spans="5:18" ht="15" customHeight="1">
      <c r="E18" s="18" t="s">
        <v>136</v>
      </c>
      <c r="G18" s="45"/>
      <c r="H18" s="45"/>
      <c r="I18" s="44"/>
      <c r="J18" s="44"/>
      <c r="K18" s="44"/>
      <c r="L18" s="44"/>
      <c r="O18" s="18" t="s">
        <v>162</v>
      </c>
      <c r="P18" s="18" t="s">
        <v>194</v>
      </c>
      <c r="Q18" s="18" t="s">
        <v>195</v>
      </c>
      <c r="R18" s="18" t="str">
        <f t="shared" si="0"/>
        <v>Thread Plug Gauge (S-2121-15)</v>
      </c>
    </row>
    <row r="19" spans="5:18" ht="15" customHeight="1">
      <c r="E19" s="18" t="s">
        <v>137</v>
      </c>
      <c r="G19" s="51" t="s">
        <v>493</v>
      </c>
      <c r="H19" s="51" t="s">
        <v>494</v>
      </c>
      <c r="I19" s="48"/>
      <c r="J19" s="48"/>
      <c r="K19" s="48"/>
      <c r="L19" s="49"/>
      <c r="O19" s="18" t="s">
        <v>162</v>
      </c>
      <c r="P19" s="18" t="s">
        <v>196</v>
      </c>
      <c r="Q19" s="18" t="s">
        <v>197</v>
      </c>
      <c r="R19" s="18" t="str">
        <f t="shared" si="0"/>
        <v>Thread Plug Gauge (S-2121-1)</v>
      </c>
    </row>
    <row r="20" spans="5:18" ht="15" customHeight="1">
      <c r="E20" s="18" t="s">
        <v>138</v>
      </c>
      <c r="G20" s="84" t="s">
        <v>495</v>
      </c>
      <c r="H20" s="84"/>
      <c r="I20" s="84" t="s">
        <v>497</v>
      </c>
      <c r="J20" s="84"/>
      <c r="K20" s="84"/>
      <c r="L20" s="84"/>
      <c r="O20" s="18" t="s">
        <v>162</v>
      </c>
      <c r="P20" s="18" t="s">
        <v>198</v>
      </c>
      <c r="Q20" s="18" t="s">
        <v>199</v>
      </c>
      <c r="R20" s="18" t="str">
        <f t="shared" si="0"/>
        <v>Thread Plug Gauge (S-2117-1)</v>
      </c>
    </row>
    <row r="21" spans="5:18" ht="15" customHeight="1">
      <c r="E21" s="18" t="s">
        <v>139</v>
      </c>
      <c r="G21" s="50" t="s">
        <v>108</v>
      </c>
      <c r="H21" s="50" t="s">
        <v>109</v>
      </c>
      <c r="I21" s="50" t="s">
        <v>496</v>
      </c>
      <c r="J21" s="50" t="s">
        <v>111</v>
      </c>
      <c r="K21" s="50" t="s">
        <v>112</v>
      </c>
      <c r="L21" s="50" t="s">
        <v>113</v>
      </c>
      <c r="O21" s="18" t="s">
        <v>162</v>
      </c>
      <c r="P21" s="18" t="s">
        <v>200</v>
      </c>
      <c r="Q21" s="18" t="s">
        <v>201</v>
      </c>
      <c r="R21" s="18" t="str">
        <f t="shared" si="0"/>
        <v>Thread Plug Gauge (S-2117-2)</v>
      </c>
    </row>
    <row r="22" spans="5:18" ht="15" customHeight="1">
      <c r="E22" s="18" t="s">
        <v>140</v>
      </c>
      <c r="G22" s="50" t="s">
        <v>95</v>
      </c>
      <c r="H22" s="50" t="s">
        <v>106</v>
      </c>
      <c r="I22" s="50" t="s">
        <v>118</v>
      </c>
      <c r="J22" s="50" t="s">
        <v>119</v>
      </c>
      <c r="K22" s="50" t="s">
        <v>120</v>
      </c>
      <c r="L22" s="50" t="s">
        <v>121</v>
      </c>
      <c r="O22" s="18" t="s">
        <v>162</v>
      </c>
      <c r="P22" s="18" t="s">
        <v>202</v>
      </c>
      <c r="Q22" s="18" t="s">
        <v>203</v>
      </c>
      <c r="R22" s="18" t="str">
        <f t="shared" si="0"/>
        <v>Thread Plug Gauge (S-2117-3)</v>
      </c>
    </row>
    <row r="23" spans="5:18" ht="15" customHeight="1">
      <c r="E23" s="18" t="s">
        <v>141</v>
      </c>
      <c r="G23" s="50" t="s">
        <v>106</v>
      </c>
      <c r="H23" s="50" t="s">
        <v>114</v>
      </c>
      <c r="I23" s="50" t="s">
        <v>118</v>
      </c>
      <c r="J23" s="50" t="s">
        <v>119</v>
      </c>
      <c r="K23" s="50" t="s">
        <v>120</v>
      </c>
      <c r="L23" s="50" t="s">
        <v>121</v>
      </c>
      <c r="O23" s="18" t="s">
        <v>162</v>
      </c>
      <c r="P23" s="18" t="s">
        <v>204</v>
      </c>
      <c r="Q23" s="18" t="s">
        <v>205</v>
      </c>
      <c r="R23" s="18" t="str">
        <f t="shared" si="0"/>
        <v>Thread Plug Gauge (S-2117-9)</v>
      </c>
    </row>
    <row r="24" spans="5:18" ht="15" customHeight="1">
      <c r="E24" s="18" t="s">
        <v>142</v>
      </c>
      <c r="G24" s="50" t="s">
        <v>114</v>
      </c>
      <c r="H24" s="50" t="s">
        <v>115</v>
      </c>
      <c r="I24" s="50" t="s">
        <v>118</v>
      </c>
      <c r="J24" s="50" t="s">
        <v>119</v>
      </c>
      <c r="K24" s="50" t="s">
        <v>120</v>
      </c>
      <c r="L24" s="50" t="s">
        <v>121</v>
      </c>
      <c r="O24" s="18" t="s">
        <v>162</v>
      </c>
      <c r="P24" s="18" t="s">
        <v>206</v>
      </c>
      <c r="Q24" s="18" t="s">
        <v>207</v>
      </c>
      <c r="R24" s="18" t="str">
        <f t="shared" si="0"/>
        <v>Thread Plug Gauge (S-2117-4)</v>
      </c>
    </row>
    <row r="25" spans="5:18" ht="15" customHeight="1">
      <c r="E25" s="18" t="s">
        <v>156</v>
      </c>
      <c r="G25" s="53" t="s">
        <v>115</v>
      </c>
      <c r="H25" s="53" t="s">
        <v>95</v>
      </c>
      <c r="I25" s="50" t="s">
        <v>118</v>
      </c>
      <c r="J25" s="53" t="s">
        <v>119</v>
      </c>
      <c r="K25" s="53" t="s">
        <v>120</v>
      </c>
      <c r="L25" s="53" t="s">
        <v>121</v>
      </c>
      <c r="O25" s="18" t="s">
        <v>162</v>
      </c>
      <c r="P25" s="18" t="s">
        <v>208</v>
      </c>
      <c r="Q25" s="18" t="s">
        <v>209</v>
      </c>
      <c r="R25" s="18" t="str">
        <f t="shared" si="0"/>
        <v>Thread Plug Gauge (S-2121-20)</v>
      </c>
    </row>
    <row r="26" spans="5:18" ht="15" customHeight="1">
      <c r="E26" s="18" t="s">
        <v>524</v>
      </c>
      <c r="G26" s="52" t="s">
        <v>116</v>
      </c>
      <c r="H26" s="58"/>
      <c r="I26" s="57" t="s">
        <v>106</v>
      </c>
      <c r="J26" s="54"/>
      <c r="K26" s="55"/>
      <c r="L26" s="56"/>
      <c r="O26" s="18" t="s">
        <v>162</v>
      </c>
      <c r="P26" s="18" t="s">
        <v>210</v>
      </c>
      <c r="Q26" s="18" t="s">
        <v>211</v>
      </c>
      <c r="R26" s="18" t="str">
        <f t="shared" si="0"/>
        <v>Thread Plug Gauge (S-2093-35)</v>
      </c>
    </row>
    <row r="27" spans="5:18" ht="15" customHeight="1">
      <c r="E27" s="18" t="s">
        <v>144</v>
      </c>
      <c r="O27" s="18" t="s">
        <v>162</v>
      </c>
      <c r="P27" s="18" t="s">
        <v>212</v>
      </c>
      <c r="Q27" s="18" t="s">
        <v>213</v>
      </c>
      <c r="R27" s="18" t="str">
        <f t="shared" si="0"/>
        <v>Thread Plug Gauge (S-2155-4)</v>
      </c>
    </row>
    <row r="28" spans="5:18" ht="15" customHeight="1">
      <c r="E28" s="18" t="s">
        <v>145</v>
      </c>
      <c r="G28" s="51" t="s">
        <v>493</v>
      </c>
      <c r="H28" s="51" t="s">
        <v>494</v>
      </c>
      <c r="I28" s="48"/>
      <c r="J28" s="48"/>
      <c r="K28" s="48"/>
      <c r="L28" s="49"/>
      <c r="O28" s="18" t="s">
        <v>162</v>
      </c>
      <c r="P28" s="18" t="s">
        <v>214</v>
      </c>
      <c r="Q28" s="18" t="s">
        <v>215</v>
      </c>
      <c r="R28" s="18" t="str">
        <f t="shared" si="0"/>
        <v>Thread Plug Gauge (S-2155-5)</v>
      </c>
    </row>
    <row r="29" spans="5:18" ht="15" customHeight="1">
      <c r="E29" s="18" t="s">
        <v>146</v>
      </c>
      <c r="G29" s="84" t="s">
        <v>495</v>
      </c>
      <c r="H29" s="84"/>
      <c r="I29" s="84" t="s">
        <v>497</v>
      </c>
      <c r="J29" s="84"/>
      <c r="K29" s="84"/>
      <c r="L29" s="84"/>
      <c r="O29" s="18" t="s">
        <v>162</v>
      </c>
      <c r="P29" s="18" t="s">
        <v>216</v>
      </c>
      <c r="Q29" s="18" t="s">
        <v>217</v>
      </c>
      <c r="R29" s="18" t="str">
        <f t="shared" si="0"/>
        <v>Thread Plug Gauge (S-2155-6)</v>
      </c>
    </row>
    <row r="30" spans="5:18" ht="15" customHeight="1">
      <c r="E30" s="18" t="s">
        <v>147</v>
      </c>
      <c r="G30" s="50" t="s">
        <v>108</v>
      </c>
      <c r="H30" s="50" t="s">
        <v>109</v>
      </c>
      <c r="I30" s="50" t="s">
        <v>496</v>
      </c>
      <c r="J30" s="50" t="s">
        <v>111</v>
      </c>
      <c r="K30" s="50" t="s">
        <v>112</v>
      </c>
      <c r="L30" s="50" t="s">
        <v>113</v>
      </c>
      <c r="O30" s="18" t="s">
        <v>162</v>
      </c>
      <c r="P30" s="18" t="s">
        <v>218</v>
      </c>
      <c r="Q30" s="18" t="s">
        <v>219</v>
      </c>
      <c r="R30" s="18" t="str">
        <f t="shared" si="0"/>
        <v>Thread Plug Gauge (S-2155-7)</v>
      </c>
    </row>
    <row r="31" spans="5:18" ht="15" customHeight="1">
      <c r="E31" s="18" t="s">
        <v>148</v>
      </c>
      <c r="G31" s="50" t="s">
        <v>95</v>
      </c>
      <c r="H31" s="50" t="s">
        <v>106</v>
      </c>
      <c r="I31" s="50" t="s">
        <v>118</v>
      </c>
      <c r="J31" s="50" t="s">
        <v>153</v>
      </c>
      <c r="K31" s="50" t="s">
        <v>127</v>
      </c>
      <c r="L31" s="50" t="s">
        <v>121</v>
      </c>
      <c r="O31" s="18" t="s">
        <v>162</v>
      </c>
      <c r="P31" s="18" t="s">
        <v>220</v>
      </c>
      <c r="Q31" s="18" t="s">
        <v>221</v>
      </c>
      <c r="R31" s="18" t="str">
        <f t="shared" si="0"/>
        <v>Thread Plug Gauge (S-2155-8)</v>
      </c>
    </row>
    <row r="32" spans="5:18" ht="15" customHeight="1">
      <c r="E32" s="18" t="s">
        <v>149</v>
      </c>
      <c r="G32" s="50" t="s">
        <v>106</v>
      </c>
      <c r="H32" s="50" t="s">
        <v>114</v>
      </c>
      <c r="I32" s="50" t="s">
        <v>118</v>
      </c>
      <c r="J32" s="50" t="s">
        <v>153</v>
      </c>
      <c r="K32" s="50" t="s">
        <v>127</v>
      </c>
      <c r="L32" s="50" t="s">
        <v>121</v>
      </c>
      <c r="O32" s="18" t="s">
        <v>162</v>
      </c>
      <c r="P32" s="18" t="s">
        <v>177</v>
      </c>
      <c r="Q32" s="18" t="s">
        <v>222</v>
      </c>
      <c r="R32" s="18" t="str">
        <f t="shared" si="0"/>
        <v>Thread Plug Gauge (S-2059-10)</v>
      </c>
    </row>
    <row r="33" spans="5:18" ht="15" customHeight="1">
      <c r="E33" s="18" t="s">
        <v>150</v>
      </c>
      <c r="G33" s="50" t="s">
        <v>114</v>
      </c>
      <c r="H33" s="50" t="s">
        <v>115</v>
      </c>
      <c r="I33" s="50" t="s">
        <v>118</v>
      </c>
      <c r="J33" s="50" t="s">
        <v>153</v>
      </c>
      <c r="K33" s="50" t="s">
        <v>127</v>
      </c>
      <c r="L33" s="50" t="s">
        <v>121</v>
      </c>
      <c r="O33" s="18" t="s">
        <v>162</v>
      </c>
      <c r="P33" s="18" t="s">
        <v>223</v>
      </c>
      <c r="Q33" s="18" t="s">
        <v>224</v>
      </c>
      <c r="R33" s="18" t="str">
        <f t="shared" si="0"/>
        <v>Thread Plug Gauge (S-2093-15)</v>
      </c>
    </row>
    <row r="34" spans="5:18" ht="15" customHeight="1">
      <c r="E34" s="18" t="s">
        <v>151</v>
      </c>
      <c r="G34" s="53" t="s">
        <v>115</v>
      </c>
      <c r="H34" s="53" t="s">
        <v>95</v>
      </c>
      <c r="I34" s="50" t="s">
        <v>118</v>
      </c>
      <c r="J34" s="53" t="s">
        <v>153</v>
      </c>
      <c r="K34" s="53" t="s">
        <v>127</v>
      </c>
      <c r="L34" s="53" t="s">
        <v>121</v>
      </c>
      <c r="O34" s="18" t="s">
        <v>162</v>
      </c>
      <c r="P34" s="18" t="s">
        <v>225</v>
      </c>
      <c r="Q34" s="18" t="s">
        <v>226</v>
      </c>
      <c r="R34" s="18" t="str">
        <f t="shared" si="0"/>
        <v>Thread Plug Gauge (S-2121-22)</v>
      </c>
    </row>
    <row r="35" spans="5:18" ht="15" customHeight="1">
      <c r="E35" s="18" t="s">
        <v>152</v>
      </c>
      <c r="G35" s="52" t="s">
        <v>116</v>
      </c>
      <c r="H35" s="58"/>
      <c r="I35" s="57" t="s">
        <v>154</v>
      </c>
      <c r="J35" s="54"/>
      <c r="K35" s="55"/>
      <c r="L35" s="56"/>
      <c r="O35" s="18" t="s">
        <v>162</v>
      </c>
      <c r="P35" s="18" t="s">
        <v>227</v>
      </c>
      <c r="Q35" s="18" t="s">
        <v>228</v>
      </c>
      <c r="R35" s="18" t="str">
        <f t="shared" si="0"/>
        <v>Thread Plug Gauge (S-2093-14)</v>
      </c>
    </row>
    <row r="36" spans="5:18" ht="15" customHeight="1">
      <c r="E36" s="18" t="s">
        <v>157</v>
      </c>
      <c r="O36" s="18" t="s">
        <v>229</v>
      </c>
      <c r="P36" s="18" t="s">
        <v>230</v>
      </c>
      <c r="Q36" s="18" t="s">
        <v>231</v>
      </c>
      <c r="R36" s="18" t="str">
        <f t="shared" si="0"/>
        <v>Go Thread Ring Gauge (S-2120-3)</v>
      </c>
    </row>
    <row r="37" spans="5:18" ht="15" customHeight="1">
      <c r="E37" s="18" t="s">
        <v>525</v>
      </c>
      <c r="G37" s="51" t="s">
        <v>503</v>
      </c>
      <c r="H37" s="51" t="s">
        <v>494</v>
      </c>
      <c r="I37" s="48"/>
      <c r="J37" s="48"/>
      <c r="K37" s="48"/>
      <c r="L37" s="49"/>
      <c r="O37" s="18" t="s">
        <v>229</v>
      </c>
      <c r="P37" s="18" t="s">
        <v>232</v>
      </c>
      <c r="Q37" s="18" t="s">
        <v>233</v>
      </c>
      <c r="R37" s="18" t="str">
        <f t="shared" si="0"/>
        <v>Go Thread Ring Gauge (S-2120-2)</v>
      </c>
    </row>
    <row r="38" spans="5:18" ht="15" customHeight="1">
      <c r="G38" s="84" t="s">
        <v>495</v>
      </c>
      <c r="H38" s="84"/>
      <c r="I38" s="84" t="s">
        <v>497</v>
      </c>
      <c r="J38" s="84"/>
      <c r="K38" s="84"/>
      <c r="L38" s="84"/>
      <c r="O38" s="18" t="s">
        <v>229</v>
      </c>
      <c r="P38" s="18" t="s">
        <v>234</v>
      </c>
      <c r="Q38" s="18" t="s">
        <v>235</v>
      </c>
      <c r="R38" s="18" t="str">
        <f t="shared" si="0"/>
        <v>Go Thread Ring Gauge (S-2120-11)</v>
      </c>
    </row>
    <row r="39" spans="5:18" ht="15" customHeight="1">
      <c r="G39" s="50" t="s">
        <v>108</v>
      </c>
      <c r="H39" s="50" t="s">
        <v>109</v>
      </c>
      <c r="I39" s="50" t="s">
        <v>496</v>
      </c>
      <c r="J39" s="50" t="s">
        <v>111</v>
      </c>
      <c r="K39" s="50" t="s">
        <v>112</v>
      </c>
      <c r="L39" s="50" t="s">
        <v>113</v>
      </c>
      <c r="O39" s="18" t="s">
        <v>229</v>
      </c>
      <c r="P39" s="18" t="s">
        <v>236</v>
      </c>
      <c r="Q39" s="18" t="s">
        <v>237</v>
      </c>
      <c r="R39" s="18" t="str">
        <f t="shared" si="0"/>
        <v>Go Thread Ring Gauge (S-2120-10)</v>
      </c>
    </row>
    <row r="40" spans="5:18" ht="15" customHeight="1">
      <c r="G40" s="50" t="s">
        <v>95</v>
      </c>
      <c r="H40" s="50" t="s">
        <v>106</v>
      </c>
      <c r="I40" s="50"/>
      <c r="J40" s="50" t="s">
        <v>501</v>
      </c>
      <c r="K40" s="50" t="s">
        <v>127</v>
      </c>
      <c r="L40" s="50" t="s">
        <v>121</v>
      </c>
      <c r="O40" s="18" t="s">
        <v>229</v>
      </c>
      <c r="P40" s="18" t="s">
        <v>238</v>
      </c>
      <c r="Q40" s="18" t="s">
        <v>239</v>
      </c>
      <c r="R40" s="18" t="str">
        <f t="shared" si="0"/>
        <v>Go Thread Ring Gauge (S-2120-9)</v>
      </c>
    </row>
    <row r="41" spans="5:18" ht="15" customHeight="1">
      <c r="G41" s="50" t="s">
        <v>106</v>
      </c>
      <c r="H41" s="50" t="s">
        <v>114</v>
      </c>
      <c r="I41" s="50"/>
      <c r="J41" s="50" t="s">
        <v>501</v>
      </c>
      <c r="K41" s="50" t="s">
        <v>127</v>
      </c>
      <c r="L41" s="50" t="s">
        <v>121</v>
      </c>
      <c r="O41" s="18" t="s">
        <v>229</v>
      </c>
      <c r="P41" s="18" t="s">
        <v>240</v>
      </c>
      <c r="Q41" s="18" t="s">
        <v>241</v>
      </c>
      <c r="R41" s="18" t="str">
        <f t="shared" si="0"/>
        <v>Go Thread Ring Gauge (S-2120-6)</v>
      </c>
    </row>
    <row r="42" spans="5:18" ht="15" customHeight="1">
      <c r="G42" s="50" t="s">
        <v>114</v>
      </c>
      <c r="H42" s="50" t="s">
        <v>115</v>
      </c>
      <c r="I42" s="50"/>
      <c r="J42" s="50" t="s">
        <v>501</v>
      </c>
      <c r="K42" s="50" t="s">
        <v>127</v>
      </c>
      <c r="L42" s="50" t="s">
        <v>121</v>
      </c>
      <c r="O42" s="18" t="s">
        <v>229</v>
      </c>
      <c r="P42" s="18" t="s">
        <v>242</v>
      </c>
      <c r="Q42" s="18" t="s">
        <v>243</v>
      </c>
      <c r="R42" s="18" t="str">
        <f t="shared" si="0"/>
        <v>Go Thread Ring Gauge (S-2120-8)</v>
      </c>
    </row>
    <row r="43" spans="5:18" ht="15" customHeight="1">
      <c r="G43" s="53" t="s">
        <v>115</v>
      </c>
      <c r="H43" s="53" t="s">
        <v>95</v>
      </c>
      <c r="I43" s="50"/>
      <c r="J43" s="53" t="s">
        <v>501</v>
      </c>
      <c r="K43" s="53" t="s">
        <v>127</v>
      </c>
      <c r="L43" s="53" t="s">
        <v>121</v>
      </c>
      <c r="O43" s="18" t="s">
        <v>229</v>
      </c>
      <c r="P43" s="18" t="s">
        <v>244</v>
      </c>
      <c r="Q43" s="18" t="s">
        <v>245</v>
      </c>
      <c r="R43" s="18" t="str">
        <f t="shared" si="0"/>
        <v>Go Thread Ring Gauge (S-2120-7)</v>
      </c>
    </row>
    <row r="44" spans="5:18" ht="15" customHeight="1">
      <c r="G44" s="52" t="s">
        <v>116</v>
      </c>
      <c r="H44" s="58"/>
      <c r="I44" s="57" t="s">
        <v>502</v>
      </c>
      <c r="J44" s="54"/>
      <c r="K44" s="55"/>
      <c r="L44" s="56"/>
      <c r="O44" s="18" t="s">
        <v>229</v>
      </c>
      <c r="P44" s="18" t="s">
        <v>246</v>
      </c>
      <c r="Q44" s="18" t="s">
        <v>247</v>
      </c>
      <c r="R44" s="18" t="str">
        <f t="shared" si="0"/>
        <v>Go Thread Ring Gauge (S-2120-5)</v>
      </c>
    </row>
    <row r="45" spans="5:18" ht="15" customHeight="1">
      <c r="O45" s="18" t="s">
        <v>229</v>
      </c>
      <c r="P45" s="18" t="s">
        <v>248</v>
      </c>
      <c r="Q45" s="18" t="s">
        <v>249</v>
      </c>
      <c r="R45" s="18" t="str">
        <f t="shared" si="0"/>
        <v>Go Thread Ring Gauge (S-2120-4)</v>
      </c>
    </row>
    <row r="46" spans="5:18" ht="15" customHeight="1">
      <c r="G46" s="51" t="s">
        <v>509</v>
      </c>
      <c r="H46" s="51" t="s">
        <v>104</v>
      </c>
      <c r="I46" s="48"/>
      <c r="J46" s="48"/>
      <c r="K46" s="48"/>
      <c r="L46" s="49"/>
      <c r="O46" s="18" t="s">
        <v>162</v>
      </c>
      <c r="P46" s="18" t="s">
        <v>250</v>
      </c>
      <c r="Q46" s="18" t="s">
        <v>251</v>
      </c>
      <c r="R46" s="18" t="str">
        <f t="shared" si="0"/>
        <v>Thread Plug Gauge (S-2120-13)</v>
      </c>
    </row>
    <row r="47" spans="5:18" ht="15" customHeight="1">
      <c r="G47" s="84" t="s">
        <v>495</v>
      </c>
      <c r="H47" s="84"/>
      <c r="I47" s="84" t="s">
        <v>497</v>
      </c>
      <c r="J47" s="84"/>
      <c r="K47" s="84"/>
      <c r="L47" s="84"/>
      <c r="O47" s="18" t="s">
        <v>162</v>
      </c>
      <c r="P47" s="18" t="s">
        <v>252</v>
      </c>
      <c r="Q47" s="18" t="s">
        <v>253</v>
      </c>
      <c r="R47" s="18" t="str">
        <f t="shared" si="0"/>
        <v>Thread Plug Gauge (S-2120-1)</v>
      </c>
    </row>
    <row r="48" spans="5:18" ht="15" customHeight="1">
      <c r="G48" s="50" t="s">
        <v>108</v>
      </c>
      <c r="H48" s="50" t="s">
        <v>109</v>
      </c>
      <c r="I48" s="50" t="s">
        <v>496</v>
      </c>
      <c r="J48" s="50" t="s">
        <v>111</v>
      </c>
      <c r="K48" s="50" t="s">
        <v>112</v>
      </c>
      <c r="L48" s="50" t="s">
        <v>113</v>
      </c>
      <c r="O48" s="18" t="s">
        <v>162</v>
      </c>
      <c r="P48" s="18" t="s">
        <v>254</v>
      </c>
      <c r="Q48" s="18" t="s">
        <v>255</v>
      </c>
      <c r="R48" s="18" t="str">
        <f t="shared" si="0"/>
        <v>Thread Plug Gauge (S-2121-7)</v>
      </c>
    </row>
    <row r="49" spans="7:18" ht="15" customHeight="1">
      <c r="G49" s="50" t="s">
        <v>95</v>
      </c>
      <c r="H49" s="50" t="s">
        <v>510</v>
      </c>
      <c r="I49" s="50" t="s">
        <v>513</v>
      </c>
      <c r="J49" s="50" t="s">
        <v>516</v>
      </c>
      <c r="K49" s="50" t="s">
        <v>518</v>
      </c>
      <c r="L49" s="50"/>
      <c r="O49" s="18" t="s">
        <v>162</v>
      </c>
      <c r="P49" s="18" t="s">
        <v>256</v>
      </c>
      <c r="Q49" s="18" t="s">
        <v>257</v>
      </c>
      <c r="R49" s="18" t="str">
        <f>O49 &amp; " (" &amp; Q49 &amp; ")"</f>
        <v>Thread Plug Gauge (S-2093-19)</v>
      </c>
    </row>
    <row r="50" spans="7:18" ht="15" customHeight="1">
      <c r="G50" s="50" t="s">
        <v>510</v>
      </c>
      <c r="H50" s="50" t="s">
        <v>511</v>
      </c>
      <c r="I50" s="50" t="s">
        <v>513</v>
      </c>
      <c r="J50" s="50" t="s">
        <v>517</v>
      </c>
      <c r="K50" s="50" t="s">
        <v>519</v>
      </c>
      <c r="L50" s="50"/>
      <c r="O50" s="18" t="s">
        <v>162</v>
      </c>
      <c r="P50" s="18" t="s">
        <v>481</v>
      </c>
      <c r="Q50" s="18" t="s">
        <v>258</v>
      </c>
      <c r="R50" s="18" t="str">
        <f t="shared" ref="R50:R59" si="1">O50 &amp; " (" &amp; Q50 &amp; ")"</f>
        <v>Thread Plug Gauge (S-2093-21)</v>
      </c>
    </row>
    <row r="51" spans="7:18" ht="15" customHeight="1">
      <c r="G51" s="50" t="s">
        <v>511</v>
      </c>
      <c r="H51" s="50" t="s">
        <v>512</v>
      </c>
      <c r="I51" s="50" t="s">
        <v>514</v>
      </c>
      <c r="J51" s="50" t="s">
        <v>513</v>
      </c>
      <c r="K51" s="50" t="s">
        <v>520</v>
      </c>
      <c r="L51" s="50"/>
      <c r="O51" s="18" t="s">
        <v>162</v>
      </c>
      <c r="P51" s="18" t="s">
        <v>259</v>
      </c>
      <c r="Q51" s="18" t="s">
        <v>260</v>
      </c>
      <c r="R51" s="18" t="str">
        <f t="shared" si="1"/>
        <v>Thread Plug Gauge (S-2120-12)</v>
      </c>
    </row>
    <row r="52" spans="7:18" ht="15" customHeight="1">
      <c r="G52" s="53" t="s">
        <v>512</v>
      </c>
      <c r="H52" s="53" t="s">
        <v>95</v>
      </c>
      <c r="I52" s="50" t="s">
        <v>515</v>
      </c>
      <c r="J52" s="53" t="s">
        <v>106</v>
      </c>
      <c r="K52" s="53" t="s">
        <v>516</v>
      </c>
      <c r="L52" s="53"/>
      <c r="O52" s="18" t="s">
        <v>162</v>
      </c>
      <c r="P52" s="18" t="s">
        <v>261</v>
      </c>
      <c r="Q52" s="18" t="s">
        <v>262</v>
      </c>
      <c r="R52" s="18" t="str">
        <f t="shared" si="1"/>
        <v>Thread Plug Gauge (S-2093-20)</v>
      </c>
    </row>
    <row r="53" spans="7:18" ht="15" customHeight="1">
      <c r="G53" s="52" t="s">
        <v>116</v>
      </c>
      <c r="H53" s="58"/>
      <c r="I53" s="57" t="s">
        <v>502</v>
      </c>
      <c r="J53" s="54"/>
      <c r="K53" s="55"/>
      <c r="L53" s="56"/>
      <c r="O53" s="18" t="s">
        <v>162</v>
      </c>
      <c r="P53" s="18" t="s">
        <v>263</v>
      </c>
      <c r="Q53" s="18" t="s">
        <v>264</v>
      </c>
      <c r="R53" s="18" t="str">
        <f t="shared" si="1"/>
        <v>Thread Plug Gauge (S-2093-17)</v>
      </c>
    </row>
    <row r="54" spans="7:18" ht="15" customHeight="1">
      <c r="O54" s="18" t="s">
        <v>162</v>
      </c>
      <c r="P54" s="18" t="s">
        <v>186</v>
      </c>
      <c r="Q54" s="18" t="s">
        <v>265</v>
      </c>
      <c r="R54" s="18" t="str">
        <f t="shared" si="1"/>
        <v>Thread Plug Gauge (S-2093-22)</v>
      </c>
    </row>
    <row r="55" spans="7:18" ht="15" customHeight="1">
      <c r="O55" s="18" t="s">
        <v>162</v>
      </c>
      <c r="P55" s="18" t="s">
        <v>266</v>
      </c>
      <c r="Q55" s="18" t="s">
        <v>267</v>
      </c>
      <c r="R55" s="18" t="str">
        <f t="shared" si="1"/>
        <v>Thread Plug Gauge (S-2117-10)</v>
      </c>
    </row>
    <row r="56" spans="7:18" ht="15" customHeight="1">
      <c r="O56" s="18" t="s">
        <v>268</v>
      </c>
      <c r="P56" s="18" t="s">
        <v>269</v>
      </c>
      <c r="Q56" s="18" t="s">
        <v>270</v>
      </c>
      <c r="R56" s="18" t="str">
        <f t="shared" si="1"/>
        <v>Thread Ring Gauge (S-2120-14)</v>
      </c>
    </row>
    <row r="57" spans="7:18" ht="15" customHeight="1">
      <c r="O57" s="18" t="s">
        <v>162</v>
      </c>
      <c r="P57" s="18" t="s">
        <v>271</v>
      </c>
      <c r="Q57" s="18" t="s">
        <v>272</v>
      </c>
      <c r="R57" s="18" t="str">
        <f t="shared" si="1"/>
        <v>Thread Plug Gauge (S-2133)</v>
      </c>
    </row>
    <row r="58" spans="7:18" ht="15" customHeight="1">
      <c r="O58" s="18" t="s">
        <v>162</v>
      </c>
      <c r="P58" s="18" t="s">
        <v>273</v>
      </c>
      <c r="Q58" s="18" t="s">
        <v>274</v>
      </c>
      <c r="R58" s="18" t="str">
        <f t="shared" si="1"/>
        <v>Thread Plug Gauge (S-2132)</v>
      </c>
    </row>
    <row r="59" spans="7:18" ht="15" customHeight="1">
      <c r="O59" s="18" t="s">
        <v>162</v>
      </c>
      <c r="P59" s="18" t="s">
        <v>275</v>
      </c>
      <c r="Q59" s="18" t="s">
        <v>276</v>
      </c>
      <c r="R59" s="18" t="str">
        <f t="shared" si="1"/>
        <v>Thread Plug Gauge (S-2131)</v>
      </c>
    </row>
    <row r="60" spans="7:18" ht="15" customHeight="1">
      <c r="O60" s="18" t="s">
        <v>162</v>
      </c>
      <c r="P60" s="18" t="s">
        <v>277</v>
      </c>
      <c r="Q60" s="18" t="s">
        <v>278</v>
      </c>
      <c r="R60" s="18" t="str">
        <f t="shared" ref="R60:R123" si="2">O60 &amp; " (" &amp; Q60 &amp; ")"</f>
        <v>Thread Plug Gauge (S-2093-18)</v>
      </c>
    </row>
    <row r="61" spans="7:18" ht="15" customHeight="1">
      <c r="O61" s="18" t="s">
        <v>162</v>
      </c>
      <c r="P61" s="18" t="s">
        <v>279</v>
      </c>
      <c r="Q61" s="18" t="s">
        <v>280</v>
      </c>
      <c r="R61" s="18" t="str">
        <f t="shared" si="2"/>
        <v>Thread Plug Gauge (S-2093-13)</v>
      </c>
    </row>
    <row r="62" spans="7:18" ht="15" customHeight="1">
      <c r="O62" s="18" t="s">
        <v>162</v>
      </c>
      <c r="P62" s="18" t="s">
        <v>281</v>
      </c>
      <c r="Q62" s="18" t="s">
        <v>282</v>
      </c>
      <c r="R62" s="18" t="str">
        <f t="shared" si="2"/>
        <v>Thread Plug Gauge (S-2137)</v>
      </c>
    </row>
    <row r="63" spans="7:18" ht="15" customHeight="1">
      <c r="O63" s="18" t="s">
        <v>162</v>
      </c>
      <c r="P63" s="18" t="s">
        <v>283</v>
      </c>
      <c r="Q63" s="18" t="s">
        <v>284</v>
      </c>
      <c r="R63" s="18" t="str">
        <f t="shared" si="2"/>
        <v>Thread Plug Gauge (S-2135)</v>
      </c>
    </row>
    <row r="64" spans="7:18" ht="15" customHeight="1">
      <c r="O64" s="18" t="s">
        <v>162</v>
      </c>
      <c r="P64" s="18" t="s">
        <v>285</v>
      </c>
      <c r="Q64" s="18" t="s">
        <v>286</v>
      </c>
      <c r="R64" s="18" t="str">
        <f t="shared" si="2"/>
        <v>Thread Plug Gauge (S-2093-3)</v>
      </c>
    </row>
    <row r="65" spans="15:18" ht="15" customHeight="1">
      <c r="O65" s="18" t="s">
        <v>162</v>
      </c>
      <c r="P65" s="18" t="s">
        <v>287</v>
      </c>
      <c r="Q65" s="18" t="s">
        <v>288</v>
      </c>
      <c r="R65" s="18" t="str">
        <f t="shared" si="2"/>
        <v>Thread Plug Gauge (S-2093-7)</v>
      </c>
    </row>
    <row r="66" spans="15:18" ht="15" customHeight="1">
      <c r="O66" s="18" t="s">
        <v>162</v>
      </c>
      <c r="P66" s="18" t="s">
        <v>289</v>
      </c>
      <c r="Q66" s="18" t="s">
        <v>290</v>
      </c>
      <c r="R66" s="18" t="str">
        <f t="shared" si="2"/>
        <v>Thread Plug Gauge (S-2134)</v>
      </c>
    </row>
    <row r="67" spans="15:18" ht="15" customHeight="1">
      <c r="O67" s="18" t="s">
        <v>162</v>
      </c>
      <c r="P67" s="18" t="s">
        <v>291</v>
      </c>
      <c r="Q67" s="18" t="s">
        <v>292</v>
      </c>
      <c r="R67" s="18" t="str">
        <f t="shared" si="2"/>
        <v>Thread Plug Gauge (S-2093-2)</v>
      </c>
    </row>
    <row r="68" spans="15:18" ht="15" customHeight="1">
      <c r="O68" s="18" t="s">
        <v>162</v>
      </c>
      <c r="P68" s="18" t="s">
        <v>293</v>
      </c>
      <c r="Q68" s="18" t="s">
        <v>294</v>
      </c>
      <c r="R68" s="18" t="str">
        <f t="shared" si="2"/>
        <v>Thread Plug Gauge (S-2093-12)</v>
      </c>
    </row>
    <row r="69" spans="15:18" ht="15" customHeight="1">
      <c r="O69" s="18" t="s">
        <v>162</v>
      </c>
      <c r="P69" s="18" t="s">
        <v>295</v>
      </c>
      <c r="Q69" s="18" t="s">
        <v>296</v>
      </c>
      <c r="R69" s="18" t="str">
        <f t="shared" si="2"/>
        <v>Thread Plug Gauge (S-2136)</v>
      </c>
    </row>
    <row r="70" spans="15:18" ht="15" customHeight="1">
      <c r="O70" s="18" t="s">
        <v>162</v>
      </c>
      <c r="P70" s="18" t="s">
        <v>297</v>
      </c>
      <c r="Q70" s="18" t="s">
        <v>298</v>
      </c>
      <c r="R70" s="18" t="str">
        <f t="shared" si="2"/>
        <v>Thread Plug Gauge (S-2093-9)</v>
      </c>
    </row>
    <row r="71" spans="15:18" ht="15" customHeight="1">
      <c r="O71" s="18" t="s">
        <v>162</v>
      </c>
      <c r="P71" s="18" t="s">
        <v>299</v>
      </c>
      <c r="Q71" s="18" t="s">
        <v>300</v>
      </c>
      <c r="R71" s="18" t="str">
        <f t="shared" si="2"/>
        <v>Thread Plug Gauge (S-2093-8)</v>
      </c>
    </row>
    <row r="72" spans="15:18" ht="15" customHeight="1">
      <c r="O72" s="18" t="s">
        <v>162</v>
      </c>
      <c r="P72" s="18" t="s">
        <v>301</v>
      </c>
      <c r="Q72" s="18" t="s">
        <v>302</v>
      </c>
      <c r="R72" s="18" t="str">
        <f t="shared" si="2"/>
        <v>Thread Plug Gauge (S-2093-11)</v>
      </c>
    </row>
    <row r="73" spans="15:18" ht="15" customHeight="1">
      <c r="O73" s="18" t="s">
        <v>162</v>
      </c>
      <c r="P73" s="18" t="s">
        <v>303</v>
      </c>
      <c r="Q73" s="18" t="s">
        <v>304</v>
      </c>
      <c r="R73" s="18" t="str">
        <f t="shared" si="2"/>
        <v>Thread Plug Gauge (S-2093-10)</v>
      </c>
    </row>
    <row r="74" spans="15:18" ht="15" customHeight="1">
      <c r="O74" s="18" t="s">
        <v>162</v>
      </c>
      <c r="P74" s="18" t="s">
        <v>305</v>
      </c>
      <c r="Q74" s="18" t="s">
        <v>306</v>
      </c>
      <c r="R74" s="18" t="str">
        <f t="shared" si="2"/>
        <v>Thread Plug Gauge (S-2117-6)</v>
      </c>
    </row>
    <row r="75" spans="15:18" ht="15" customHeight="1">
      <c r="O75" s="18" t="s">
        <v>162</v>
      </c>
      <c r="P75" s="18" t="s">
        <v>307</v>
      </c>
      <c r="Q75" s="18" t="s">
        <v>308</v>
      </c>
      <c r="R75" s="18" t="str">
        <f t="shared" si="2"/>
        <v>Thread Plug Gauge (S-2117-8)</v>
      </c>
    </row>
    <row r="76" spans="15:18" ht="15" customHeight="1">
      <c r="O76" s="18" t="s">
        <v>162</v>
      </c>
      <c r="P76" s="18" t="s">
        <v>309</v>
      </c>
      <c r="Q76" s="18" t="s">
        <v>310</v>
      </c>
      <c r="R76" s="18" t="str">
        <f t="shared" si="2"/>
        <v>Thread Plug Gauge (S-2117-7)</v>
      </c>
    </row>
    <row r="77" spans="15:18" ht="15" customHeight="1">
      <c r="O77" s="18" t="s">
        <v>162</v>
      </c>
      <c r="P77" s="18" t="s">
        <v>311</v>
      </c>
      <c r="Q77" s="18" t="s">
        <v>312</v>
      </c>
      <c r="R77" s="18" t="str">
        <f t="shared" si="2"/>
        <v>Thread Plug Gauge (S-2117-11)</v>
      </c>
    </row>
    <row r="78" spans="15:18" ht="15" customHeight="1">
      <c r="O78" s="18" t="s">
        <v>162</v>
      </c>
      <c r="P78" s="18" t="s">
        <v>313</v>
      </c>
      <c r="Q78" s="18" t="s">
        <v>314</v>
      </c>
      <c r="R78" s="18" t="str">
        <f t="shared" si="2"/>
        <v>Thread Plug Gauge (S-2117-5)</v>
      </c>
    </row>
    <row r="79" spans="15:18" ht="15" customHeight="1">
      <c r="O79" s="18" t="s">
        <v>162</v>
      </c>
      <c r="P79" s="18" t="s">
        <v>315</v>
      </c>
      <c r="Q79" s="18" t="s">
        <v>316</v>
      </c>
      <c r="R79" s="18" t="str">
        <f t="shared" si="2"/>
        <v>Thread Plug Gauge (S-2093-24)</v>
      </c>
    </row>
    <row r="80" spans="15:18" ht="15" customHeight="1">
      <c r="O80" s="18" t="s">
        <v>229</v>
      </c>
      <c r="P80" s="18" t="s">
        <v>317</v>
      </c>
      <c r="Q80" s="18" t="s">
        <v>318</v>
      </c>
      <c r="R80" s="18" t="str">
        <f t="shared" si="2"/>
        <v>Go Thread Ring Gauge (S-2129)</v>
      </c>
    </row>
    <row r="81" spans="15:18" ht="15" customHeight="1">
      <c r="O81" s="18" t="s">
        <v>229</v>
      </c>
      <c r="P81" s="18" t="s">
        <v>319</v>
      </c>
      <c r="Q81" s="18" t="s">
        <v>320</v>
      </c>
      <c r="R81" s="18" t="str">
        <f t="shared" si="2"/>
        <v>Go Thread Ring Gauge (S-2127)</v>
      </c>
    </row>
    <row r="82" spans="15:18" ht="15" customHeight="1">
      <c r="O82" s="18" t="s">
        <v>321</v>
      </c>
      <c r="P82" s="18" t="s">
        <v>322</v>
      </c>
      <c r="Q82" s="18" t="s">
        <v>323</v>
      </c>
      <c r="R82" s="18" t="str">
        <f t="shared" si="2"/>
        <v>No Go Thread Ring Gauge (S-2128)</v>
      </c>
    </row>
    <row r="83" spans="15:18" ht="15" customHeight="1">
      <c r="O83" s="18" t="s">
        <v>162</v>
      </c>
      <c r="P83" s="18" t="s">
        <v>324</v>
      </c>
      <c r="Q83" s="18" t="s">
        <v>325</v>
      </c>
      <c r="R83" s="18" t="str">
        <f t="shared" si="2"/>
        <v>Thread Plug Gauge (S-2117-12)</v>
      </c>
    </row>
    <row r="84" spans="15:18" ht="15" customHeight="1">
      <c r="O84" s="18" t="s">
        <v>162</v>
      </c>
      <c r="P84" s="18" t="s">
        <v>326</v>
      </c>
      <c r="Q84" s="18" t="s">
        <v>327</v>
      </c>
      <c r="R84" s="18" t="str">
        <f t="shared" si="2"/>
        <v>Thread Plug Gauge (S-2138)</v>
      </c>
    </row>
    <row r="85" spans="15:18" ht="15" customHeight="1">
      <c r="O85" s="18" t="s">
        <v>162</v>
      </c>
      <c r="P85" s="18" t="s">
        <v>328</v>
      </c>
      <c r="Q85" s="18" t="s">
        <v>329</v>
      </c>
      <c r="R85" s="18" t="str">
        <f t="shared" si="2"/>
        <v>Thread Plug Gauge (S-2093-16)</v>
      </c>
    </row>
    <row r="86" spans="15:18" ht="15" customHeight="1">
      <c r="O86" s="18" t="s">
        <v>321</v>
      </c>
      <c r="P86" s="18" t="s">
        <v>330</v>
      </c>
      <c r="Q86" s="18" t="s">
        <v>331</v>
      </c>
      <c r="R86" s="18" t="str">
        <f t="shared" si="2"/>
        <v>No Go Thread Ring Gauge (S-2130)</v>
      </c>
    </row>
    <row r="87" spans="15:18" ht="15" customHeight="1">
      <c r="O87" s="18" t="s">
        <v>162</v>
      </c>
      <c r="P87" s="18" t="s">
        <v>332</v>
      </c>
      <c r="Q87" s="18" t="s">
        <v>333</v>
      </c>
      <c r="R87" s="18" t="str">
        <f t="shared" si="2"/>
        <v>Thread Plug Gauge (S-2093-28)</v>
      </c>
    </row>
    <row r="88" spans="15:18" ht="15" customHeight="1">
      <c r="O88" s="18" t="s">
        <v>162</v>
      </c>
      <c r="P88" s="18" t="s">
        <v>334</v>
      </c>
      <c r="Q88" s="18" t="s">
        <v>335</v>
      </c>
      <c r="R88" s="18" t="str">
        <f t="shared" si="2"/>
        <v>Thread Plug Gauge (S-2172)</v>
      </c>
    </row>
    <row r="89" spans="15:18" ht="15" customHeight="1">
      <c r="O89" s="18" t="s">
        <v>268</v>
      </c>
      <c r="P89" s="18" t="s">
        <v>336</v>
      </c>
      <c r="Q89" s="18" t="s">
        <v>337</v>
      </c>
      <c r="R89" s="18" t="str">
        <f t="shared" si="2"/>
        <v>Thread Ring Gauge (S-2171-46)</v>
      </c>
    </row>
    <row r="90" spans="15:18" ht="15" customHeight="1">
      <c r="O90" s="18" t="s">
        <v>268</v>
      </c>
      <c r="P90" s="18" t="s">
        <v>338</v>
      </c>
      <c r="Q90" s="18" t="s">
        <v>339</v>
      </c>
      <c r="R90" s="18" t="str">
        <f t="shared" si="2"/>
        <v>Thread Ring Gauge (S-2171-45)</v>
      </c>
    </row>
    <row r="91" spans="15:18" ht="15" customHeight="1">
      <c r="O91" s="18" t="s">
        <v>268</v>
      </c>
      <c r="P91" s="18" t="s">
        <v>340</v>
      </c>
      <c r="Q91" s="18" t="s">
        <v>341</v>
      </c>
      <c r="R91" s="18" t="str">
        <f t="shared" si="2"/>
        <v>Thread Ring Gauge (S-2171-47)</v>
      </c>
    </row>
    <row r="92" spans="15:18" ht="15" customHeight="1">
      <c r="O92" s="18" t="s">
        <v>268</v>
      </c>
      <c r="P92" s="18" t="s">
        <v>342</v>
      </c>
      <c r="Q92" s="18" t="s">
        <v>343</v>
      </c>
      <c r="R92" s="18" t="str">
        <f t="shared" si="2"/>
        <v>Thread Ring Gauge (S-2171-48)</v>
      </c>
    </row>
    <row r="93" spans="15:18" ht="15" customHeight="1">
      <c r="O93" s="18" t="s">
        <v>268</v>
      </c>
      <c r="P93" s="18" t="s">
        <v>344</v>
      </c>
      <c r="Q93" s="18" t="s">
        <v>345</v>
      </c>
      <c r="R93" s="18" t="str">
        <f t="shared" si="2"/>
        <v>Thread Ring Gauge (S-2171-27)</v>
      </c>
    </row>
    <row r="94" spans="15:18" ht="15" customHeight="1">
      <c r="O94" s="18" t="s">
        <v>268</v>
      </c>
      <c r="P94" s="18" t="s">
        <v>346</v>
      </c>
      <c r="Q94" s="18" t="s">
        <v>347</v>
      </c>
      <c r="R94" s="18" t="str">
        <f t="shared" si="2"/>
        <v>Thread Ring Gauge (S-2171-28)</v>
      </c>
    </row>
    <row r="95" spans="15:18" ht="15" customHeight="1">
      <c r="O95" s="18" t="s">
        <v>268</v>
      </c>
      <c r="P95" s="18" t="s">
        <v>348</v>
      </c>
      <c r="Q95" s="18" t="s">
        <v>349</v>
      </c>
      <c r="R95" s="18" t="str">
        <f t="shared" si="2"/>
        <v>Thread Ring Gauge (S-2171-29)</v>
      </c>
    </row>
    <row r="96" spans="15:18" ht="15" customHeight="1">
      <c r="O96" s="18" t="s">
        <v>268</v>
      </c>
      <c r="P96" s="18" t="s">
        <v>350</v>
      </c>
      <c r="Q96" s="18" t="s">
        <v>351</v>
      </c>
      <c r="R96" s="18" t="str">
        <f t="shared" si="2"/>
        <v>Thread Ring Gauge (S-2171-30)</v>
      </c>
    </row>
    <row r="97" spans="15:18" ht="15" customHeight="1">
      <c r="O97" s="18" t="s">
        <v>268</v>
      </c>
      <c r="P97" s="18" t="s">
        <v>352</v>
      </c>
      <c r="Q97" s="18" t="s">
        <v>353</v>
      </c>
      <c r="R97" s="18" t="str">
        <f t="shared" si="2"/>
        <v>Thread Ring Gauge (S-2171-31)</v>
      </c>
    </row>
    <row r="98" spans="15:18" ht="15" customHeight="1">
      <c r="O98" s="18" t="s">
        <v>268</v>
      </c>
      <c r="P98" s="18" t="s">
        <v>354</v>
      </c>
      <c r="Q98" s="18" t="s">
        <v>355</v>
      </c>
      <c r="R98" s="18" t="str">
        <f t="shared" si="2"/>
        <v>Thread Ring Gauge (S-2171-32)</v>
      </c>
    </row>
    <row r="99" spans="15:18" ht="15" customHeight="1">
      <c r="O99" s="18" t="s">
        <v>268</v>
      </c>
      <c r="P99" s="18" t="s">
        <v>356</v>
      </c>
      <c r="Q99" s="18" t="s">
        <v>357</v>
      </c>
      <c r="R99" s="18" t="str">
        <f t="shared" si="2"/>
        <v>Thread Ring Gauge (S-2171-17)</v>
      </c>
    </row>
    <row r="100" spans="15:18" ht="15" customHeight="1">
      <c r="O100" s="18" t="s">
        <v>268</v>
      </c>
      <c r="P100" s="18" t="s">
        <v>358</v>
      </c>
      <c r="Q100" s="18" t="s">
        <v>359</v>
      </c>
      <c r="R100" s="18" t="str">
        <f t="shared" si="2"/>
        <v>Thread Ring Gauge (S-2171-18)</v>
      </c>
    </row>
    <row r="101" spans="15:18" ht="15" customHeight="1">
      <c r="O101" s="18" t="s">
        <v>268</v>
      </c>
      <c r="P101" s="18" t="s">
        <v>360</v>
      </c>
      <c r="Q101" s="18" t="s">
        <v>361</v>
      </c>
      <c r="R101" s="18" t="str">
        <f t="shared" si="2"/>
        <v>Thread Ring Gauge (S-2171-19)</v>
      </c>
    </row>
    <row r="102" spans="15:18" ht="15" customHeight="1">
      <c r="O102" s="18" t="s">
        <v>268</v>
      </c>
      <c r="P102" s="18" t="s">
        <v>362</v>
      </c>
      <c r="Q102" s="18" t="s">
        <v>363</v>
      </c>
      <c r="R102" s="18" t="str">
        <f t="shared" si="2"/>
        <v>Thread Ring Gauge (S-2171-20)</v>
      </c>
    </row>
    <row r="103" spans="15:18" ht="15" customHeight="1">
      <c r="O103" s="18" t="s">
        <v>268</v>
      </c>
      <c r="P103" s="18" t="s">
        <v>364</v>
      </c>
      <c r="Q103" s="18" t="s">
        <v>365</v>
      </c>
      <c r="R103" s="18" t="str">
        <f t="shared" si="2"/>
        <v>Thread Ring Gauge (S-2171-57)</v>
      </c>
    </row>
    <row r="104" spans="15:18" ht="15" customHeight="1">
      <c r="O104" s="18" t="s">
        <v>268</v>
      </c>
      <c r="P104" s="18" t="s">
        <v>366</v>
      </c>
      <c r="Q104" s="18" t="s">
        <v>367</v>
      </c>
      <c r="R104" s="18" t="str">
        <f t="shared" si="2"/>
        <v>Thread Ring Gauge (S-2171-58)</v>
      </c>
    </row>
    <row r="105" spans="15:18" ht="15" customHeight="1">
      <c r="O105" s="18" t="s">
        <v>268</v>
      </c>
      <c r="P105" s="18" t="s">
        <v>368</v>
      </c>
      <c r="Q105" s="18" t="s">
        <v>369</v>
      </c>
      <c r="R105" s="18" t="str">
        <f t="shared" si="2"/>
        <v>Thread Ring Gauge (S-2171-71)</v>
      </c>
    </row>
    <row r="106" spans="15:18" ht="15" customHeight="1">
      <c r="O106" s="18" t="s">
        <v>268</v>
      </c>
      <c r="P106" s="18" t="s">
        <v>370</v>
      </c>
      <c r="Q106" s="18" t="s">
        <v>371</v>
      </c>
      <c r="R106" s="18" t="str">
        <f t="shared" si="2"/>
        <v>Thread Ring Gauge (S-2171-72)</v>
      </c>
    </row>
    <row r="107" spans="15:18" ht="15" customHeight="1">
      <c r="O107" s="18" t="s">
        <v>268</v>
      </c>
      <c r="P107" s="18" t="s">
        <v>372</v>
      </c>
      <c r="Q107" s="18" t="s">
        <v>373</v>
      </c>
      <c r="R107" s="18" t="str">
        <f t="shared" si="2"/>
        <v>Thread Ring Gauge (S-2171-21)</v>
      </c>
    </row>
    <row r="108" spans="15:18" ht="15" customHeight="1">
      <c r="O108" s="18" t="s">
        <v>268</v>
      </c>
      <c r="P108" s="18" t="s">
        <v>374</v>
      </c>
      <c r="Q108" s="18" t="s">
        <v>375</v>
      </c>
      <c r="R108" s="18" t="str">
        <f t="shared" si="2"/>
        <v>Thread Ring Gauge (S-2171-22)</v>
      </c>
    </row>
    <row r="109" spans="15:18" ht="15" customHeight="1">
      <c r="O109" s="18" t="s">
        <v>268</v>
      </c>
      <c r="P109" s="18" t="s">
        <v>376</v>
      </c>
      <c r="Q109" s="18" t="s">
        <v>377</v>
      </c>
      <c r="R109" s="18" t="str">
        <f t="shared" si="2"/>
        <v>Thread Ring Gauge (S-2171-23)</v>
      </c>
    </row>
    <row r="110" spans="15:18" ht="15" customHeight="1">
      <c r="O110" s="18" t="s">
        <v>268</v>
      </c>
      <c r="P110" s="18" t="s">
        <v>378</v>
      </c>
      <c r="Q110" s="18" t="s">
        <v>379</v>
      </c>
      <c r="R110" s="18" t="str">
        <f t="shared" si="2"/>
        <v>Thread Ring Gauge (S-2171-24)</v>
      </c>
    </row>
    <row r="111" spans="15:18" ht="15" customHeight="1">
      <c r="O111" s="18" t="s">
        <v>268</v>
      </c>
      <c r="P111" s="18" t="s">
        <v>380</v>
      </c>
      <c r="Q111" s="18" t="s">
        <v>381</v>
      </c>
      <c r="R111" s="18" t="str">
        <f t="shared" si="2"/>
        <v>Thread Ring Gauge (S-2171-25)</v>
      </c>
    </row>
    <row r="112" spans="15:18" ht="15" customHeight="1">
      <c r="O112" s="18" t="s">
        <v>268</v>
      </c>
      <c r="P112" s="18" t="s">
        <v>382</v>
      </c>
      <c r="Q112" s="18" t="s">
        <v>383</v>
      </c>
      <c r="R112" s="18" t="str">
        <f t="shared" si="2"/>
        <v>Thread Ring Gauge (S-2171-26)</v>
      </c>
    </row>
    <row r="113" spans="15:18" ht="15" customHeight="1">
      <c r="O113" s="18" t="s">
        <v>268</v>
      </c>
      <c r="P113" s="18" t="s">
        <v>384</v>
      </c>
      <c r="Q113" s="18" t="s">
        <v>385</v>
      </c>
      <c r="R113" s="18" t="str">
        <f t="shared" si="2"/>
        <v>Thread Ring Gauge (S-2171-63)</v>
      </c>
    </row>
    <row r="114" spans="15:18" ht="15" customHeight="1">
      <c r="O114" s="18" t="s">
        <v>268</v>
      </c>
      <c r="P114" s="18" t="s">
        <v>386</v>
      </c>
      <c r="Q114" s="18" t="s">
        <v>387</v>
      </c>
      <c r="R114" s="18" t="str">
        <f t="shared" si="2"/>
        <v>Thread Ring Gauge (S-2171-64)</v>
      </c>
    </row>
    <row r="115" spans="15:18" ht="15" customHeight="1">
      <c r="O115" s="18" t="s">
        <v>268</v>
      </c>
      <c r="P115" s="18" t="s">
        <v>388</v>
      </c>
      <c r="Q115" s="18" t="s">
        <v>389</v>
      </c>
      <c r="R115" s="18" t="str">
        <f t="shared" si="2"/>
        <v>Thread Ring Gauge (S-2171-65)</v>
      </c>
    </row>
    <row r="116" spans="15:18" ht="15" customHeight="1">
      <c r="O116" s="18" t="s">
        <v>268</v>
      </c>
      <c r="P116" s="18" t="s">
        <v>390</v>
      </c>
      <c r="Q116" s="18" t="s">
        <v>391</v>
      </c>
      <c r="R116" s="18" t="str">
        <f t="shared" si="2"/>
        <v>Thread Ring Gauge (S-2171-66)</v>
      </c>
    </row>
    <row r="117" spans="15:18" ht="15" customHeight="1">
      <c r="O117" s="18" t="s">
        <v>268</v>
      </c>
      <c r="P117" s="18" t="s">
        <v>392</v>
      </c>
      <c r="Q117" s="18" t="s">
        <v>393</v>
      </c>
      <c r="R117" s="18" t="str">
        <f t="shared" si="2"/>
        <v>Thread Ring Gauge (S-2171-69)</v>
      </c>
    </row>
    <row r="118" spans="15:18" ht="15" customHeight="1">
      <c r="O118" s="18" t="s">
        <v>268</v>
      </c>
      <c r="P118" s="18" t="s">
        <v>394</v>
      </c>
      <c r="Q118" s="18" t="s">
        <v>395</v>
      </c>
      <c r="R118" s="18" t="str">
        <f t="shared" si="2"/>
        <v>Thread Ring Gauge (S-2171-70)</v>
      </c>
    </row>
    <row r="119" spans="15:18" ht="15" customHeight="1">
      <c r="O119" s="18" t="s">
        <v>268</v>
      </c>
      <c r="P119" s="18" t="s">
        <v>396</v>
      </c>
      <c r="Q119" s="18" t="s">
        <v>397</v>
      </c>
      <c r="R119" s="18" t="str">
        <f t="shared" si="2"/>
        <v>Thread Ring Gauge (S-2171-59)</v>
      </c>
    </row>
    <row r="120" spans="15:18" ht="15" customHeight="1">
      <c r="O120" s="18" t="s">
        <v>268</v>
      </c>
      <c r="P120" s="18" t="s">
        <v>398</v>
      </c>
      <c r="Q120" s="18" t="s">
        <v>399</v>
      </c>
      <c r="R120" s="18" t="str">
        <f t="shared" si="2"/>
        <v>Thread Ring Gauge (S-2171-60)</v>
      </c>
    </row>
    <row r="121" spans="15:18" ht="15" customHeight="1">
      <c r="O121" s="18" t="s">
        <v>268</v>
      </c>
      <c r="P121" s="18" t="s">
        <v>400</v>
      </c>
      <c r="Q121" s="18" t="s">
        <v>401</v>
      </c>
      <c r="R121" s="18" t="str">
        <f t="shared" si="2"/>
        <v>Thread Ring Gauge (S-2171-61)</v>
      </c>
    </row>
    <row r="122" spans="15:18" ht="15" customHeight="1">
      <c r="O122" s="18" t="s">
        <v>268</v>
      </c>
      <c r="P122" s="18" t="s">
        <v>402</v>
      </c>
      <c r="Q122" s="18" t="s">
        <v>403</v>
      </c>
      <c r="R122" s="18" t="str">
        <f t="shared" si="2"/>
        <v>Thread Ring Gauge (S-2171-62)</v>
      </c>
    </row>
    <row r="123" spans="15:18" ht="15" customHeight="1">
      <c r="O123" s="18" t="s">
        <v>268</v>
      </c>
      <c r="P123" s="18" t="s">
        <v>404</v>
      </c>
      <c r="Q123" s="18" t="s">
        <v>405</v>
      </c>
      <c r="R123" s="18" t="str">
        <f t="shared" si="2"/>
        <v>Thread Ring Gauge (S-2171-37)</v>
      </c>
    </row>
    <row r="124" spans="15:18" ht="15" customHeight="1">
      <c r="O124" s="18" t="s">
        <v>268</v>
      </c>
      <c r="P124" s="18" t="s">
        <v>406</v>
      </c>
      <c r="Q124" s="18" t="s">
        <v>407</v>
      </c>
      <c r="R124" s="18" t="str">
        <f t="shared" ref="R124:R160" si="3">O124 &amp; " (" &amp; Q124 &amp; ")"</f>
        <v>Thread Ring Gauge (S-2171-38)</v>
      </c>
    </row>
    <row r="125" spans="15:18" ht="15" customHeight="1">
      <c r="O125" s="18" t="s">
        <v>268</v>
      </c>
      <c r="P125" s="18" t="s">
        <v>408</v>
      </c>
      <c r="Q125" s="18" t="s">
        <v>409</v>
      </c>
      <c r="R125" s="18" t="str">
        <f t="shared" si="3"/>
        <v>Thread Ring Gauge (S-2171-39)</v>
      </c>
    </row>
    <row r="126" spans="15:18" ht="15" customHeight="1">
      <c r="O126" s="18" t="s">
        <v>268</v>
      </c>
      <c r="P126" s="18" t="s">
        <v>410</v>
      </c>
      <c r="Q126" s="18" t="s">
        <v>411</v>
      </c>
      <c r="R126" s="18" t="str">
        <f t="shared" si="3"/>
        <v>Thread Ring Gauge (S-2171-40)</v>
      </c>
    </row>
    <row r="127" spans="15:18" ht="15" customHeight="1">
      <c r="O127" s="18" t="s">
        <v>268</v>
      </c>
      <c r="P127" s="18" t="s">
        <v>412</v>
      </c>
      <c r="Q127" s="18" t="s">
        <v>413</v>
      </c>
      <c r="R127" s="18" t="str">
        <f t="shared" si="3"/>
        <v>Thread Ring Gauge (S-2171-1)</v>
      </c>
    </row>
    <row r="128" spans="15:18" ht="15" customHeight="1">
      <c r="O128" s="18" t="s">
        <v>268</v>
      </c>
      <c r="P128" s="18" t="s">
        <v>414</v>
      </c>
      <c r="Q128" s="18" t="s">
        <v>415</v>
      </c>
      <c r="R128" s="18" t="str">
        <f t="shared" si="3"/>
        <v>Thread Ring Gauge (S-2171-2)</v>
      </c>
    </row>
    <row r="129" spans="15:18" ht="15" customHeight="1">
      <c r="O129" s="18" t="s">
        <v>268</v>
      </c>
      <c r="P129" s="18" t="s">
        <v>416</v>
      </c>
      <c r="Q129" s="18" t="s">
        <v>417</v>
      </c>
      <c r="R129" s="18" t="str">
        <f t="shared" si="3"/>
        <v>Thread Ring Gauge (S-2171-3)</v>
      </c>
    </row>
    <row r="130" spans="15:18" ht="15" customHeight="1">
      <c r="O130" s="18" t="s">
        <v>268</v>
      </c>
      <c r="P130" s="18" t="s">
        <v>418</v>
      </c>
      <c r="Q130" s="18" t="s">
        <v>419</v>
      </c>
      <c r="R130" s="18" t="str">
        <f t="shared" si="3"/>
        <v>Thread Ring Gauge (S-2171-4)</v>
      </c>
    </row>
    <row r="131" spans="15:18" ht="15" customHeight="1">
      <c r="O131" s="18" t="s">
        <v>268</v>
      </c>
      <c r="P131" s="18" t="s">
        <v>420</v>
      </c>
      <c r="Q131" s="18" t="s">
        <v>421</v>
      </c>
      <c r="R131" s="18" t="str">
        <f t="shared" si="3"/>
        <v>Thread Ring Gauge (S-2171-33)</v>
      </c>
    </row>
    <row r="132" spans="15:18" ht="15" customHeight="1">
      <c r="O132" s="18" t="s">
        <v>268</v>
      </c>
      <c r="P132" s="18" t="s">
        <v>422</v>
      </c>
      <c r="Q132" s="18" t="s">
        <v>423</v>
      </c>
      <c r="R132" s="18" t="str">
        <f t="shared" si="3"/>
        <v>Thread Ring Gauge (S-2171-34)</v>
      </c>
    </row>
    <row r="133" spans="15:18" ht="15" customHeight="1">
      <c r="O133" s="18" t="s">
        <v>268</v>
      </c>
      <c r="P133" s="18" t="s">
        <v>424</v>
      </c>
      <c r="Q133" s="18" t="s">
        <v>425</v>
      </c>
      <c r="R133" s="18" t="str">
        <f t="shared" si="3"/>
        <v>Thread Ring Gauge (S-2171-35)</v>
      </c>
    </row>
    <row r="134" spans="15:18" ht="15" customHeight="1">
      <c r="O134" s="18" t="s">
        <v>268</v>
      </c>
      <c r="P134" s="18" t="s">
        <v>426</v>
      </c>
      <c r="Q134" s="18" t="s">
        <v>427</v>
      </c>
      <c r="R134" s="18" t="str">
        <f t="shared" si="3"/>
        <v>Thread Ring Gauge (S-2171-36)</v>
      </c>
    </row>
    <row r="135" spans="15:18" ht="15" customHeight="1">
      <c r="O135" s="18" t="s">
        <v>268</v>
      </c>
      <c r="P135" s="18" t="s">
        <v>428</v>
      </c>
      <c r="Q135" s="18" t="s">
        <v>429</v>
      </c>
      <c r="R135" s="18" t="str">
        <f t="shared" si="3"/>
        <v>Thread Ring Gauge (S-2171-53)</v>
      </c>
    </row>
    <row r="136" spans="15:18" ht="15" customHeight="1">
      <c r="O136" s="18" t="s">
        <v>268</v>
      </c>
      <c r="P136" s="18" t="s">
        <v>430</v>
      </c>
      <c r="Q136" s="18" t="s">
        <v>431</v>
      </c>
      <c r="R136" s="18" t="str">
        <f t="shared" si="3"/>
        <v>Thread Ring Gauge (S-2171-54)</v>
      </c>
    </row>
    <row r="137" spans="15:18" ht="15" customHeight="1">
      <c r="O137" s="18" t="s">
        <v>268</v>
      </c>
      <c r="P137" s="18" t="s">
        <v>432</v>
      </c>
      <c r="Q137" s="18" t="s">
        <v>433</v>
      </c>
      <c r="R137" s="18" t="str">
        <f t="shared" si="3"/>
        <v>Thread Ring Gauge (S-2171-55)</v>
      </c>
    </row>
    <row r="138" spans="15:18" ht="15" customHeight="1">
      <c r="O138" s="18" t="s">
        <v>268</v>
      </c>
      <c r="P138" s="18" t="s">
        <v>434</v>
      </c>
      <c r="Q138" s="18" t="s">
        <v>435</v>
      </c>
      <c r="R138" s="18" t="str">
        <f t="shared" si="3"/>
        <v>Thread Ring Gauge (S-2171-56)</v>
      </c>
    </row>
    <row r="139" spans="15:18" ht="15" customHeight="1">
      <c r="O139" s="18" t="s">
        <v>268</v>
      </c>
      <c r="P139" s="18" t="s">
        <v>436</v>
      </c>
      <c r="Q139" s="18" t="s">
        <v>437</v>
      </c>
      <c r="R139" s="18" t="str">
        <f t="shared" si="3"/>
        <v>Thread Ring Gauge (S-2171-5)</v>
      </c>
    </row>
    <row r="140" spans="15:18" ht="15" customHeight="1">
      <c r="O140" s="18" t="s">
        <v>268</v>
      </c>
      <c r="P140" s="18" t="s">
        <v>438</v>
      </c>
      <c r="Q140" s="18" t="s">
        <v>439</v>
      </c>
      <c r="R140" s="18" t="str">
        <f t="shared" si="3"/>
        <v>Thread Ring Gauge (S-2171-6)</v>
      </c>
    </row>
    <row r="141" spans="15:18" ht="15" customHeight="1">
      <c r="O141" s="18" t="s">
        <v>268</v>
      </c>
      <c r="P141" s="18" t="s">
        <v>440</v>
      </c>
      <c r="Q141" s="18" t="s">
        <v>441</v>
      </c>
      <c r="R141" s="18" t="str">
        <f t="shared" si="3"/>
        <v>Thread Ring Gauge (S-2171-7)</v>
      </c>
    </row>
    <row r="142" spans="15:18" ht="15" customHeight="1">
      <c r="O142" s="18" t="s">
        <v>268</v>
      </c>
      <c r="P142" s="18" t="s">
        <v>442</v>
      </c>
      <c r="Q142" s="18" t="s">
        <v>443</v>
      </c>
      <c r="R142" s="18" t="str">
        <f t="shared" si="3"/>
        <v>Thread Ring Gauge (S-2171-8)</v>
      </c>
    </row>
    <row r="143" spans="15:18" ht="15" customHeight="1">
      <c r="O143" s="18" t="s">
        <v>268</v>
      </c>
      <c r="P143" s="18" t="s">
        <v>444</v>
      </c>
      <c r="Q143" s="18" t="s">
        <v>445</v>
      </c>
      <c r="R143" s="18" t="str">
        <f t="shared" si="3"/>
        <v>Thread Ring Gauge (S-2171-9)</v>
      </c>
    </row>
    <row r="144" spans="15:18" ht="15" customHeight="1">
      <c r="O144" s="18" t="s">
        <v>268</v>
      </c>
      <c r="P144" s="18" t="s">
        <v>446</v>
      </c>
      <c r="Q144" s="18" t="s">
        <v>447</v>
      </c>
      <c r="R144" s="18" t="str">
        <f t="shared" si="3"/>
        <v>Thread Ring Gauge (S-2171-10)</v>
      </c>
    </row>
    <row r="145" spans="15:18" ht="15" customHeight="1">
      <c r="O145" s="18" t="s">
        <v>268</v>
      </c>
      <c r="P145" s="18" t="s">
        <v>448</v>
      </c>
      <c r="Q145" s="18" t="s">
        <v>449</v>
      </c>
      <c r="R145" s="18" t="str">
        <f t="shared" si="3"/>
        <v>Thread Ring Gauge (S-2171-11)</v>
      </c>
    </row>
    <row r="146" spans="15:18" ht="15" customHeight="1">
      <c r="O146" s="18" t="s">
        <v>268</v>
      </c>
      <c r="P146" s="18" t="s">
        <v>450</v>
      </c>
      <c r="Q146" s="18" t="s">
        <v>451</v>
      </c>
      <c r="R146" s="18" t="str">
        <f t="shared" si="3"/>
        <v>Thread Ring Gauge (S-2171-12)</v>
      </c>
    </row>
    <row r="147" spans="15:18" ht="15" customHeight="1">
      <c r="O147" s="18" t="s">
        <v>268</v>
      </c>
      <c r="P147" s="18" t="s">
        <v>452</v>
      </c>
      <c r="Q147" s="18" t="s">
        <v>453</v>
      </c>
      <c r="R147" s="18" t="str">
        <f t="shared" si="3"/>
        <v>Thread Ring Gauge (S-2171-41)</v>
      </c>
    </row>
    <row r="148" spans="15:18" ht="15" customHeight="1">
      <c r="O148" s="18" t="s">
        <v>268</v>
      </c>
      <c r="P148" s="18" t="s">
        <v>454</v>
      </c>
      <c r="Q148" s="18" t="s">
        <v>455</v>
      </c>
      <c r="R148" s="18" t="str">
        <f t="shared" si="3"/>
        <v>Thread Ring Gauge (S-2171-42)</v>
      </c>
    </row>
    <row r="149" spans="15:18" ht="15" customHeight="1">
      <c r="O149" s="18" t="s">
        <v>268</v>
      </c>
      <c r="P149" s="18" t="s">
        <v>456</v>
      </c>
      <c r="Q149" s="18" t="s">
        <v>457</v>
      </c>
      <c r="R149" s="18" t="str">
        <f t="shared" si="3"/>
        <v>Thread Ring Gauge (S-2171-43)</v>
      </c>
    </row>
    <row r="150" spans="15:18" ht="15" customHeight="1">
      <c r="O150" s="18" t="s">
        <v>268</v>
      </c>
      <c r="P150" s="18" t="s">
        <v>458</v>
      </c>
      <c r="Q150" s="18" t="s">
        <v>459</v>
      </c>
      <c r="R150" s="18" t="str">
        <f t="shared" si="3"/>
        <v>Thread Ring Gauge (S-2171-44)</v>
      </c>
    </row>
    <row r="151" spans="15:18" ht="15" customHeight="1">
      <c r="O151" s="18" t="s">
        <v>268</v>
      </c>
      <c r="P151" s="18" t="s">
        <v>460</v>
      </c>
      <c r="Q151" s="18" t="s">
        <v>461</v>
      </c>
      <c r="R151" s="18" t="str">
        <f t="shared" si="3"/>
        <v>Thread Ring Gauge (S-2171-67)</v>
      </c>
    </row>
    <row r="152" spans="15:18" ht="15" customHeight="1">
      <c r="O152" s="18" t="s">
        <v>268</v>
      </c>
      <c r="P152" s="18" t="s">
        <v>462</v>
      </c>
      <c r="Q152" s="18" t="s">
        <v>463</v>
      </c>
      <c r="R152" s="18" t="str">
        <f t="shared" si="3"/>
        <v>Thread Ring Gauge (S-2171-68)</v>
      </c>
    </row>
    <row r="153" spans="15:18" ht="15" customHeight="1">
      <c r="O153" s="18" t="s">
        <v>268</v>
      </c>
      <c r="P153" s="18" t="s">
        <v>464</v>
      </c>
      <c r="Q153" s="18" t="s">
        <v>465</v>
      </c>
      <c r="R153" s="18" t="str">
        <f t="shared" si="3"/>
        <v>Thread Ring Gauge (S-2171-13)</v>
      </c>
    </row>
    <row r="154" spans="15:18" ht="15" customHeight="1">
      <c r="O154" s="18" t="s">
        <v>268</v>
      </c>
      <c r="P154" s="18" t="s">
        <v>466</v>
      </c>
      <c r="Q154" s="18" t="s">
        <v>467</v>
      </c>
      <c r="R154" s="18" t="str">
        <f t="shared" si="3"/>
        <v>Thread Ring Gauge (S-2171-14)</v>
      </c>
    </row>
    <row r="155" spans="15:18" ht="15" customHeight="1">
      <c r="O155" s="18" t="s">
        <v>268</v>
      </c>
      <c r="P155" s="18" t="s">
        <v>468</v>
      </c>
      <c r="Q155" s="18" t="s">
        <v>469</v>
      </c>
      <c r="R155" s="18" t="str">
        <f t="shared" si="3"/>
        <v>Thread Ring Gauge (S-2171-15)</v>
      </c>
    </row>
    <row r="156" spans="15:18" ht="15" customHeight="1">
      <c r="O156" s="18" t="s">
        <v>268</v>
      </c>
      <c r="P156" s="18" t="s">
        <v>470</v>
      </c>
      <c r="Q156" s="18" t="s">
        <v>471</v>
      </c>
      <c r="R156" s="18" t="str">
        <f t="shared" si="3"/>
        <v>Thread Ring Gauge (S-2171-16)</v>
      </c>
    </row>
    <row r="157" spans="15:18" ht="15" customHeight="1">
      <c r="O157" s="18" t="s">
        <v>268</v>
      </c>
      <c r="P157" s="18" t="s">
        <v>472</v>
      </c>
      <c r="Q157" s="18" t="s">
        <v>473</v>
      </c>
      <c r="R157" s="18" t="str">
        <f t="shared" si="3"/>
        <v>Thread Ring Gauge (S-2171-49)</v>
      </c>
    </row>
    <row r="158" spans="15:18" ht="15" customHeight="1">
      <c r="O158" s="18" t="s">
        <v>268</v>
      </c>
      <c r="P158" s="18" t="s">
        <v>474</v>
      </c>
      <c r="Q158" s="18" t="s">
        <v>475</v>
      </c>
      <c r="R158" s="18" t="str">
        <f t="shared" si="3"/>
        <v>Thread Ring Gauge (S-2171-50)</v>
      </c>
    </row>
    <row r="159" spans="15:18" ht="15" customHeight="1">
      <c r="O159" s="18" t="s">
        <v>268</v>
      </c>
      <c r="P159" s="18" t="s">
        <v>476</v>
      </c>
      <c r="Q159" s="18" t="s">
        <v>477</v>
      </c>
      <c r="R159" s="18" t="str">
        <f t="shared" si="3"/>
        <v>Thread Ring Gauge (S-2171-51)</v>
      </c>
    </row>
    <row r="160" spans="15:18" ht="15" customHeight="1">
      <c r="O160" s="18" t="s">
        <v>268</v>
      </c>
      <c r="P160" s="18" t="s">
        <v>478</v>
      </c>
      <c r="Q160" s="18" t="s">
        <v>479</v>
      </c>
      <c r="R160" s="18" t="str">
        <f t="shared" si="3"/>
        <v>Thread Ring Gauge (S-2171-52)</v>
      </c>
    </row>
  </sheetData>
  <mergeCells count="12">
    <mergeCell ref="G2:H2"/>
    <mergeCell ref="I2:L2"/>
    <mergeCell ref="G11:H11"/>
    <mergeCell ref="I11:L11"/>
    <mergeCell ref="G20:H20"/>
    <mergeCell ref="I20:L20"/>
    <mergeCell ref="G47:H47"/>
    <mergeCell ref="I47:L47"/>
    <mergeCell ref="G38:H38"/>
    <mergeCell ref="I38:L38"/>
    <mergeCell ref="G29:H29"/>
    <mergeCell ref="I29:L29"/>
  </mergeCells>
  <phoneticPr fontId="12" type="noConversion"/>
  <pageMargins left="0.7" right="0.7" top="0.75" bottom="0.75" header="0.3" footer="0.3"/>
  <pageSetup orientation="portrait" r:id="rId1"/>
  <drawing r:id="rId2"/>
</worksheet>
</file>

<file path=customUI/customUI14.xml><?xml version="1.0" encoding="utf-8"?>
<customUI xmlns="http://schemas.microsoft.com/office/2009/07/customui">
  <ribbon>
    <tabs>
      <tab id="tabCustom" label="DIR Tools">
        <!-- Batch Input group -->
        <group id="grpBatchInput" label="Batch Input">
          <button id="btnBatchInput" label="Batch Input Mode" onAction="BatchInputButton_Click" imageMso="TableDesign" size="large"/>
        </group>
        <!-- Data group -->
        <group id="grpRandomNumber" label="Data">
          <button id="btnRandomNumber" label="Random Number Generator" onAction="RandomNumberButton_Click" imageMso="HeaderFooterPageNumberInsert" size="large"/>
        </group>
        <!-- Format Cell group -->
        <group id="grpRemoveLeadingZero" label="Format Cell">
          <button id="btnRemoveLeadingZero" label="Remove Leading Zero" onAction="RemoveLeadingZeroButton_Click" imageMso="FormattingDecreaseDecimals" size="large"/>
        </group>
        <!-- GD&T Input group -->
        <group id="grpGDandT" label="GD_T Input">
          <button id="btnOpenGDandTForm" label="GD_T Input Panel" onAction="OpenGDandTForm" imageMso="FormControlEditBox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F05-01 (1)</vt:lpstr>
      <vt:lpstr>Data</vt:lpstr>
      <vt:lpstr>'F05-01 (1)'!Print_Area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Leon</cp:lastModifiedBy>
  <cp:lastPrinted>2025-10-27T12:52:05Z</cp:lastPrinted>
  <dcterms:created xsi:type="dcterms:W3CDTF">2006-10-20T15:25:20Z</dcterms:created>
  <dcterms:modified xsi:type="dcterms:W3CDTF">2025-10-30T12:26:16Z</dcterms:modified>
</cp:coreProperties>
</file>